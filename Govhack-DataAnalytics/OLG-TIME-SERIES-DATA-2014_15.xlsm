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nne\Desktop\Govhack\"/>
    </mc:Choice>
  </mc:AlternateContent>
  <xr:revisionPtr revIDLastSave="0" documentId="13_ncr:1_{3EC2E153-DD32-454E-B351-5B1C46646204}" xr6:coauthVersionLast="47" xr6:coauthVersionMax="47" xr10:uidLastSave="{00000000-0000-0000-0000-000000000000}"/>
  <bookViews>
    <workbookView xWindow="-110" yWindow="-110" windowWidth="19420" windowHeight="10560" tabRatio="793" xr2:uid="{00000000-000D-0000-FFFF-FFFF00000000}"/>
  </bookViews>
  <sheets>
    <sheet name="2014-15 Time Series Data" sheetId="27" r:id="rId1"/>
    <sheet name="Sheet1" sheetId="25" state="hidden" r:id="rId2"/>
  </sheets>
  <definedNames>
    <definedName name="_xlnm._FilterDatabase" localSheetId="0" hidden="1">'2014-15 Time Series Data'!$A$1:$EL$1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5" l="1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53" i="25"/>
  <c r="I154" i="25"/>
  <c r="I3" i="25"/>
  <c r="G4" i="25" l="1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G139" i="25"/>
  <c r="G140" i="25"/>
  <c r="G141" i="25"/>
  <c r="G142" i="25"/>
  <c r="G143" i="25"/>
  <c r="G144" i="25"/>
  <c r="G145" i="25"/>
  <c r="G146" i="25"/>
  <c r="G147" i="25"/>
  <c r="G148" i="25"/>
  <c r="G149" i="25"/>
  <c r="G150" i="25"/>
  <c r="G151" i="25"/>
  <c r="G152" i="25"/>
  <c r="G153" i="25"/>
  <c r="G154" i="25"/>
  <c r="G3" i="25"/>
  <c r="E4" i="25" l="1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3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Helen Pearce</author>
  </authors>
  <commentList>
    <comment ref="CJ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As reported by Council</t>
        </r>
      </text>
    </comment>
  </commentList>
</comments>
</file>

<file path=xl/sharedStrings.xml><?xml version="1.0" encoding="utf-8"?>
<sst xmlns="http://schemas.openxmlformats.org/spreadsheetml/2006/main" count="1465" uniqueCount="464">
  <si>
    <t>Guyra</t>
  </si>
  <si>
    <t>Gwydir</t>
  </si>
  <si>
    <t>Harden</t>
  </si>
  <si>
    <t>Hay</t>
  </si>
  <si>
    <t>Lismore</t>
  </si>
  <si>
    <t>Lithgow</t>
  </si>
  <si>
    <t>Liverpool Plains</t>
  </si>
  <si>
    <t>Lockhart</t>
  </si>
  <si>
    <t>Maitland</t>
  </si>
  <si>
    <t>Manly</t>
  </si>
  <si>
    <t>Marrickville</t>
  </si>
  <si>
    <t>Moree Plains</t>
  </si>
  <si>
    <t>Mosman</t>
  </si>
  <si>
    <t>Murray</t>
  </si>
  <si>
    <t>Murrumbidgee</t>
  </si>
  <si>
    <t>Muswellbrook</t>
  </si>
  <si>
    <t>Nambucca</t>
  </si>
  <si>
    <t>Narrabri</t>
  </si>
  <si>
    <t>Narrandera</t>
  </si>
  <si>
    <t>Narromine</t>
  </si>
  <si>
    <t>Newcastle</t>
  </si>
  <si>
    <t>North Sydney</t>
  </si>
  <si>
    <t>Oberon</t>
  </si>
  <si>
    <t>Orange</t>
  </si>
  <si>
    <t>Palerang</t>
  </si>
  <si>
    <t>Parkes</t>
  </si>
  <si>
    <t>Pittwater</t>
  </si>
  <si>
    <t>Ryde</t>
  </si>
  <si>
    <t>Shellharbour</t>
  </si>
  <si>
    <t>Shoalhaven</t>
  </si>
  <si>
    <t>Singleton</t>
  </si>
  <si>
    <t>Snowy River</t>
  </si>
  <si>
    <t>Number of Public Swimming Pools</t>
  </si>
  <si>
    <t>Number of Public Halls</t>
  </si>
  <si>
    <t>Albury</t>
  </si>
  <si>
    <t>Armidale Dumaresq</t>
  </si>
  <si>
    <t>Ashfield</t>
  </si>
  <si>
    <t>Ballina</t>
  </si>
  <si>
    <t>Balranald</t>
  </si>
  <si>
    <t>Walcha</t>
  </si>
  <si>
    <t>Walgett</t>
  </si>
  <si>
    <t>Warren</t>
  </si>
  <si>
    <t>Warringah</t>
  </si>
  <si>
    <t>Warrumbungle</t>
  </si>
  <si>
    <t>Waverley</t>
  </si>
  <si>
    <t>Weddin</t>
  </si>
  <si>
    <t>Wellington</t>
  </si>
  <si>
    <t>Wentworth</t>
  </si>
  <si>
    <t>Willoughby</t>
  </si>
  <si>
    <t>Wingecarribee</t>
  </si>
  <si>
    <t>Wollondilly</t>
  </si>
  <si>
    <t>% Residential assessments connect to the internet</t>
  </si>
  <si>
    <t>Bathurst Regional</t>
  </si>
  <si>
    <t>Bega Valley</t>
  </si>
  <si>
    <t>Bellingen</t>
  </si>
  <si>
    <t>Berrigan</t>
  </si>
  <si>
    <t>Bland</t>
  </si>
  <si>
    <t>Blayney</t>
  </si>
  <si>
    <t>Port Macquarie-Hastings</t>
  </si>
  <si>
    <t>Port Stephens</t>
  </si>
  <si>
    <t>Queanbeyan</t>
  </si>
  <si>
    <t>Richmond Valley</t>
  </si>
  <si>
    <t>Broken Hill</t>
  </si>
  <si>
    <t>Burwood</t>
  </si>
  <si>
    <t>Byron</t>
  </si>
  <si>
    <t>Cabonne</t>
  </si>
  <si>
    <t>Camden</t>
  </si>
  <si>
    <t>Campbelltown</t>
  </si>
  <si>
    <t>Canada Bay</t>
  </si>
  <si>
    <t>Strathfield</t>
  </si>
  <si>
    <t>Sydney</t>
  </si>
  <si>
    <t>Tamworth Regional</t>
  </si>
  <si>
    <t>Temora</t>
  </si>
  <si>
    <t>Tenterfield</t>
  </si>
  <si>
    <t>Tumbarumba</t>
  </si>
  <si>
    <t>Tumut</t>
  </si>
  <si>
    <t>Tweed</t>
  </si>
  <si>
    <t>Upper Hunter</t>
  </si>
  <si>
    <t>Upper Lachlan</t>
  </si>
  <si>
    <t>Uralla</t>
  </si>
  <si>
    <t>Urana</t>
  </si>
  <si>
    <t>Wagga Wagga</t>
  </si>
  <si>
    <t>Wakool</t>
  </si>
  <si>
    <t>Deniliquin</t>
  </si>
  <si>
    <t>Dubbo</t>
  </si>
  <si>
    <t>Dungog</t>
  </si>
  <si>
    <t>Eurobodalla</t>
  </si>
  <si>
    <t>Forbes</t>
  </si>
  <si>
    <t>Gilgandra</t>
  </si>
  <si>
    <t>Glen Innes Severn</t>
  </si>
  <si>
    <t>Gloucester</t>
  </si>
  <si>
    <t>Gosford</t>
  </si>
  <si>
    <t>Goulburn Mulwaree</t>
  </si>
  <si>
    <t>Agriculture, forestry &amp; Fishing</t>
  </si>
  <si>
    <t>Mining</t>
  </si>
  <si>
    <t xml:space="preserve">Manufacturing </t>
  </si>
  <si>
    <t>Wollongong</t>
  </si>
  <si>
    <t>Woollahra</t>
  </si>
  <si>
    <t>Wyong</t>
  </si>
  <si>
    <t>Yass Valley</t>
  </si>
  <si>
    <t>Young</t>
  </si>
  <si>
    <t>Mid Western Regional</t>
  </si>
  <si>
    <t>Hornsby</t>
  </si>
  <si>
    <t>Hunters Hill</t>
  </si>
  <si>
    <t>Inverell</t>
  </si>
  <si>
    <t>Jerilderie</t>
  </si>
  <si>
    <t>Junee</t>
  </si>
  <si>
    <t>Kempsey</t>
  </si>
  <si>
    <t>Kiama</t>
  </si>
  <si>
    <t>Ku-Ring-Gai</t>
  </si>
  <si>
    <t>Kyogle</t>
  </si>
  <si>
    <t>Lachlan</t>
  </si>
  <si>
    <t>Lake Macquarie</t>
  </si>
  <si>
    <t>Lane Cove</t>
  </si>
  <si>
    <t>Leeton</t>
  </si>
  <si>
    <t>Open Public Space</t>
  </si>
  <si>
    <t>Census 2011 - Average Household Size (Number)</t>
  </si>
  <si>
    <t>Population Density per capita/km2</t>
  </si>
  <si>
    <t>Number of Public Libraries</t>
  </si>
  <si>
    <t>Library Circular per capita</t>
  </si>
  <si>
    <t>Bogan</t>
  </si>
  <si>
    <t>Bombala</t>
  </si>
  <si>
    <t>Boorowa</t>
  </si>
  <si>
    <t>Botany Bay</t>
  </si>
  <si>
    <t>Bourke</t>
  </si>
  <si>
    <t>Brewarrina</t>
  </si>
  <si>
    <t>Carrathool</t>
  </si>
  <si>
    <t>Central Darling</t>
  </si>
  <si>
    <t>Cessnock</t>
  </si>
  <si>
    <t>Clarence Valley</t>
  </si>
  <si>
    <t>Cobar</t>
  </si>
  <si>
    <t>Coffs Harbour</t>
  </si>
  <si>
    <t>Conargo</t>
  </si>
  <si>
    <t>Coolamon</t>
  </si>
  <si>
    <t>Cooma-Monaro</t>
  </si>
  <si>
    <t>Coonamble</t>
  </si>
  <si>
    <t>Cootamundra</t>
  </si>
  <si>
    <t>Corowa</t>
  </si>
  <si>
    <t>Cowra</t>
  </si>
  <si>
    <t>Retail Trade</t>
  </si>
  <si>
    <t>Education and training</t>
  </si>
  <si>
    <t>Largest Industry Employer</t>
  </si>
  <si>
    <t xml:space="preserve">Professional </t>
  </si>
  <si>
    <t>Great Lakes</t>
  </si>
  <si>
    <t>Greater Hume</t>
  </si>
  <si>
    <t>Greater Taree</t>
  </si>
  <si>
    <t>Griffith</t>
  </si>
  <si>
    <t>Gundagai</t>
  </si>
  <si>
    <t>Gunnedah</t>
  </si>
  <si>
    <t>Albury City Council</t>
  </si>
  <si>
    <t>Armidale Dumaresq Council</t>
  </si>
  <si>
    <t>Ashfield Council</t>
  </si>
  <si>
    <t>Auburn City Council</t>
  </si>
  <si>
    <t>Ballina Shire Council</t>
  </si>
  <si>
    <t>Balranald Shire Council</t>
  </si>
  <si>
    <t>Bankstown City Council</t>
  </si>
  <si>
    <t>Bathurst Regional Council</t>
  </si>
  <si>
    <t>The Hills Shire Council</t>
  </si>
  <si>
    <t>Bega Valley Shire Council</t>
  </si>
  <si>
    <t>Bellingen Shire Council</t>
  </si>
  <si>
    <t>Berrigan Shire Council</t>
  </si>
  <si>
    <t>Blacktown City Council</t>
  </si>
  <si>
    <t>Bland Shire Council</t>
  </si>
  <si>
    <t>Blayney Shire Council</t>
  </si>
  <si>
    <t>Blue Mountains City Council</t>
  </si>
  <si>
    <t>Bogan Shire Council</t>
  </si>
  <si>
    <t>Bombala Council</t>
  </si>
  <si>
    <t>Boorowa Council</t>
  </si>
  <si>
    <t>The Council of the City of Botany Bay</t>
  </si>
  <si>
    <t>Bourke Shire Council</t>
  </si>
  <si>
    <t>Brewarrina Shire Council</t>
  </si>
  <si>
    <t>Broken Hill City Council</t>
  </si>
  <si>
    <t>Burwood Council</t>
  </si>
  <si>
    <t>Byron Shire Council</t>
  </si>
  <si>
    <t>Cabonne Council</t>
  </si>
  <si>
    <t>Camden Council</t>
  </si>
  <si>
    <t>Campbelltown City Council</t>
  </si>
  <si>
    <t>City of Canada Bay Council</t>
  </si>
  <si>
    <t>Canterbury City Council</t>
  </si>
  <si>
    <t>Carrathool Shire Council</t>
  </si>
  <si>
    <t>Central Darling Shire Council</t>
  </si>
  <si>
    <t>Cessnock City Council</t>
  </si>
  <si>
    <t>Clarence Valley Council</t>
  </si>
  <si>
    <t>Cobar Shire Council</t>
  </si>
  <si>
    <t>Coffs Harbour City Council</t>
  </si>
  <si>
    <t>Conargo Shire Council</t>
  </si>
  <si>
    <t>Coolamon Shire Council</t>
  </si>
  <si>
    <t>Cooma-Monaro Shire Council</t>
  </si>
  <si>
    <t>Coonamble Shire Council</t>
  </si>
  <si>
    <t>Cootamundra Shire Council</t>
  </si>
  <si>
    <t>Corowa Shire Council</t>
  </si>
  <si>
    <t>Cowra Shire Council</t>
  </si>
  <si>
    <t>Deniliquin Council</t>
  </si>
  <si>
    <t>Dubbo City Council</t>
  </si>
  <si>
    <t>Dungog Shire Council</t>
  </si>
  <si>
    <t>Eurobodalla Shire Council</t>
  </si>
  <si>
    <t>Fairfield City Council</t>
  </si>
  <si>
    <t>Forbes Shire Council</t>
  </si>
  <si>
    <t>Gilgandra Shire Council</t>
  </si>
  <si>
    <t>Glen Innes Severn Council</t>
  </si>
  <si>
    <t>Gloucester Shire Council</t>
  </si>
  <si>
    <t>Gosford City Council</t>
  </si>
  <si>
    <t>Goulburn Mulwaree Council</t>
  </si>
  <si>
    <t>Greater Taree City Council</t>
  </si>
  <si>
    <t>Greater Hume Shire Council</t>
  </si>
  <si>
    <t>Great Lakes Council</t>
  </si>
  <si>
    <t>Griffith City Council</t>
  </si>
  <si>
    <t>Gundagai Shire Council</t>
  </si>
  <si>
    <t>Gunnedah Shire Council</t>
  </si>
  <si>
    <t>Guyra Shire Council</t>
  </si>
  <si>
    <t>Gwydir Shire Council</t>
  </si>
  <si>
    <t>Harden Shire Council</t>
  </si>
  <si>
    <t>Port Macquarie-Hastings Council</t>
  </si>
  <si>
    <t>Hawkesbury City Council</t>
  </si>
  <si>
    <t>Hay Shire Council</t>
  </si>
  <si>
    <t>Holroyd City Council</t>
  </si>
  <si>
    <t>The Council of the Shire of Hornsby</t>
  </si>
  <si>
    <t>The Council of the Municipality of Hunters Hill</t>
  </si>
  <si>
    <t>Hurstville City Council</t>
  </si>
  <si>
    <t>Inverell Shire Council</t>
  </si>
  <si>
    <t>Jerilderie Shire Council</t>
  </si>
  <si>
    <t>Junee Shire Council</t>
  </si>
  <si>
    <t>Kempsey Shire Council</t>
  </si>
  <si>
    <t>The Council of the Municipality of Kiama</t>
  </si>
  <si>
    <t>Kogarah City Council</t>
  </si>
  <si>
    <t>Ku-ring-gai Council</t>
  </si>
  <si>
    <t>Kyogle Council</t>
  </si>
  <si>
    <t>Lachlan Shire Council</t>
  </si>
  <si>
    <t>Lake Macquarie City Council</t>
  </si>
  <si>
    <t>Lane Cove Municipal Council</t>
  </si>
  <si>
    <t>Leeton Shire Council</t>
  </si>
  <si>
    <t>Leichhardt Municipal Council</t>
  </si>
  <si>
    <t>Lismore City Council</t>
  </si>
  <si>
    <t>City of Lithgow Council</t>
  </si>
  <si>
    <t>Liverpool City Council</t>
  </si>
  <si>
    <t>Liverpool Plains Shire Council</t>
  </si>
  <si>
    <t>Lockhart Shire Council</t>
  </si>
  <si>
    <t>Maitland City Council</t>
  </si>
  <si>
    <t>Manly Council</t>
  </si>
  <si>
    <t>Marrickville Council</t>
  </si>
  <si>
    <t>Mid-Western Regional Council</t>
  </si>
  <si>
    <t>Moree Plains Shire Council</t>
  </si>
  <si>
    <t>Mosman Municipal Council</t>
  </si>
  <si>
    <t>Murray Shire Council</t>
  </si>
  <si>
    <t>Murrumbidgee Shire Council</t>
  </si>
  <si>
    <t>Muswellbrook Shire Council</t>
  </si>
  <si>
    <t>Nambucca Shire Council</t>
  </si>
  <si>
    <t>Narrabri Shire Council</t>
  </si>
  <si>
    <t>Narrandera Shire Council</t>
  </si>
  <si>
    <t>Narromine Shire Council</t>
  </si>
  <si>
    <t>Newcastle City Council</t>
  </si>
  <si>
    <t>North Sydney Council</t>
  </si>
  <si>
    <t>Oberon Council</t>
  </si>
  <si>
    <t>Orange City Council</t>
  </si>
  <si>
    <t>Palerang Council</t>
  </si>
  <si>
    <t>Parkes Shire Council</t>
  </si>
  <si>
    <t>Parramatta City Council</t>
  </si>
  <si>
    <t>Penrith City Council</t>
  </si>
  <si>
    <t>Pittwater Council</t>
  </si>
  <si>
    <t>Port Stephens Council</t>
  </si>
  <si>
    <t>Queanbeyan City Council</t>
  </si>
  <si>
    <t>Randwick City Council</t>
  </si>
  <si>
    <t>Richmond Valley Council</t>
  </si>
  <si>
    <t>Rockdale City Council</t>
  </si>
  <si>
    <t>Ryde City Council</t>
  </si>
  <si>
    <t>Shellharbour City Council</t>
  </si>
  <si>
    <t>Shoalhaven City Council</t>
  </si>
  <si>
    <t>Singleton Council</t>
  </si>
  <si>
    <t>Snowy River Shire Council</t>
  </si>
  <si>
    <t>Strathfield Municipal Council</t>
  </si>
  <si>
    <t>Sutherland Shire Council</t>
  </si>
  <si>
    <t>Council of the City of Sydney</t>
  </si>
  <si>
    <t>Tamworth Regional Council</t>
  </si>
  <si>
    <t>Temora Shire Council</t>
  </si>
  <si>
    <t>Tenterfield Shire Council</t>
  </si>
  <si>
    <t>Tumbarumba Shire Council</t>
  </si>
  <si>
    <t>Tumut Shire Council</t>
  </si>
  <si>
    <t>Tweed Shire Council</t>
  </si>
  <si>
    <t>Upper Hunter Shire Council</t>
  </si>
  <si>
    <t>Upper Lachlan Shire Council</t>
  </si>
  <si>
    <t>Uralla Shire Council</t>
  </si>
  <si>
    <t>Urana Shire Council</t>
  </si>
  <si>
    <t>Wagga Wagga City Council</t>
  </si>
  <si>
    <t>The Council of the Shire of Wakool</t>
  </si>
  <si>
    <t>Walcha Council</t>
  </si>
  <si>
    <t>Walgett Shire Council</t>
  </si>
  <si>
    <t>Warren Shire Council</t>
  </si>
  <si>
    <t>Warringah Council</t>
  </si>
  <si>
    <t>Warrumbungle Shire Council</t>
  </si>
  <si>
    <t>Waverley Council</t>
  </si>
  <si>
    <t>Weddin Shire Council</t>
  </si>
  <si>
    <t>Wellington Council</t>
  </si>
  <si>
    <t>Wentworth Shire Council</t>
  </si>
  <si>
    <t>Willoughby City Council</t>
  </si>
  <si>
    <t>Wingecarribee Shire Council</t>
  </si>
  <si>
    <t>Wollondilly Shire Council</t>
  </si>
  <si>
    <t>Wollongong City Council</t>
  </si>
  <si>
    <t>Woollahra Municipal Council</t>
  </si>
  <si>
    <t>Wyong Shire Council</t>
  </si>
  <si>
    <t>Yass Valley Council</t>
  </si>
  <si>
    <t>Young Shire Council</t>
  </si>
  <si>
    <t>Blue Mountains</t>
  </si>
  <si>
    <t>Hurstville</t>
  </si>
  <si>
    <t>Kogarah</t>
  </si>
  <si>
    <t>Leichhardt</t>
  </si>
  <si>
    <t>Randwick</t>
  </si>
  <si>
    <t>Rockdale</t>
  </si>
  <si>
    <t>Sutherland</t>
  </si>
  <si>
    <t>Auburn</t>
  </si>
  <si>
    <t>Bankstown</t>
  </si>
  <si>
    <t>Blacktown</t>
  </si>
  <si>
    <t>Canterbury</t>
  </si>
  <si>
    <t>Fairfield</t>
  </si>
  <si>
    <t>Holroyd</t>
  </si>
  <si>
    <t>Liverpool</t>
  </si>
  <si>
    <t>Penrith</t>
  </si>
  <si>
    <t>Hills</t>
  </si>
  <si>
    <t>Hawkesbury</t>
  </si>
  <si>
    <t>Parramatta</t>
  </si>
  <si>
    <t xml:space="preserve">Council  </t>
  </si>
  <si>
    <t>Classification</t>
  </si>
  <si>
    <t>Population</t>
  </si>
  <si>
    <t>Socio-Economic Index Rating</t>
  </si>
  <si>
    <t>Number of  Councillors</t>
  </si>
  <si>
    <t>Number of Councillors /Population</t>
  </si>
  <si>
    <t xml:space="preserve">Full Time Equivalent Staff </t>
  </si>
  <si>
    <t>% of Total Expenditure on Governance &amp; Administration</t>
  </si>
  <si>
    <t>% of Total Expenditure on Public Order, Safety, Health, Water &amp; Sewer</t>
  </si>
  <si>
    <t>% of Total Expenditure on Environmental</t>
  </si>
  <si>
    <t>Total Community Services, Education &amp; Housing Expenditure ($)</t>
  </si>
  <si>
    <t xml:space="preserve">% of Total Expenditure on Community Services, Education &amp; Housing </t>
  </si>
  <si>
    <t>Total Recreational &amp; Cultural Expenditure ($)</t>
  </si>
  <si>
    <t>% of Total Expenditure on Recreational &amp; Cultural</t>
  </si>
  <si>
    <t>Total Roads, Bridges &amp; Footpaths Expenditure ($)</t>
  </si>
  <si>
    <t>% of Total Expenditure on Roads, Bridges &amp; Footpaths</t>
  </si>
  <si>
    <t>% of Total Expenditure on Other Services</t>
  </si>
  <si>
    <t>Tonnes Collected of Dry Recycling</t>
  </si>
  <si>
    <t>% Dry Recycling of Total Waste</t>
  </si>
  <si>
    <t>Tonnes Collected of Organics</t>
  </si>
  <si>
    <t>% Organics of Total Waste</t>
  </si>
  <si>
    <t>Tonnes Collected of Residual Waste</t>
  </si>
  <si>
    <t>% Residual Waste of Total Waste</t>
  </si>
  <si>
    <t>Regional Town/City</t>
  </si>
  <si>
    <t>Metropolitan</t>
  </si>
  <si>
    <t>Rural</t>
  </si>
  <si>
    <t>Large Rural</t>
  </si>
  <si>
    <t>Metropolitan Fringe</t>
  </si>
  <si>
    <t>Number of Development Applications Determined</t>
  </si>
  <si>
    <t>Library Services Expenditure per Capita ($)</t>
  </si>
  <si>
    <t>Number of Active Businesses in LGA</t>
  </si>
  <si>
    <t xml:space="preserve">Health care/social assistance  </t>
  </si>
  <si>
    <t>Agriculture, forestry &amp; fishing</t>
  </si>
  <si>
    <t>Public administration &amp; safety</t>
  </si>
  <si>
    <t xml:space="preserve">Accommodation/food </t>
  </si>
  <si>
    <t xml:space="preserve">Construction </t>
  </si>
  <si>
    <t>Number of Residential Rating Assessments 2012/13</t>
  </si>
  <si>
    <t>Male Population</t>
  </si>
  <si>
    <t>Female Population</t>
  </si>
  <si>
    <t>Population %&gt;60</t>
  </si>
  <si>
    <t xml:space="preserve">Total Farmland Rates Revenue ($)  </t>
  </si>
  <si>
    <t>Total Business Rates Revenue ($)</t>
  </si>
  <si>
    <t xml:space="preserve">Total Mining Rates Revenue ($) </t>
  </si>
  <si>
    <t xml:space="preserve">% Own Source Revenue </t>
  </si>
  <si>
    <t xml:space="preserve">% Grants Revenue  </t>
  </si>
  <si>
    <t xml:space="preserve">Unrestricted Current Ratio </t>
  </si>
  <si>
    <t xml:space="preserve">Building &amp; Infrastructure Renewal Ratio  </t>
  </si>
  <si>
    <t xml:space="preserve">Infrastructure Backlog Ratio </t>
  </si>
  <si>
    <t>Governance &amp; Administration Expenditure per capita ($)</t>
  </si>
  <si>
    <t>Environmental Expenditure per capita ($)</t>
  </si>
  <si>
    <t>Total Water &amp; Sewer Expenditure per capita ($)</t>
  </si>
  <si>
    <t xml:space="preserve">Recreational &amp; Cultural Expenditure per capita ($) </t>
  </si>
  <si>
    <t>Number of Code of Conduct Complaints</t>
  </si>
  <si>
    <t>Cash Expense Cover Ratio</t>
  </si>
  <si>
    <t xml:space="preserve">Total Number Business Assessments </t>
  </si>
  <si>
    <t>Total Number Mining Assessments</t>
  </si>
  <si>
    <t xml:space="preserve">Total Number Farmland Assessments </t>
  </si>
  <si>
    <t>Average Domestic Waste Annual Charge ($)</t>
  </si>
  <si>
    <t>Equivalent Full Time Staff / Population</t>
  </si>
  <si>
    <t xml:space="preserve">Metre Road Length per '000 capita </t>
  </si>
  <si>
    <t xml:space="preserve">Operating Performance Ratio  </t>
  </si>
  <si>
    <t xml:space="preserve">Other Services Expenditure per capita ($) </t>
  </si>
  <si>
    <t>Audited Financial Statements Submitted on Time</t>
  </si>
  <si>
    <t>n/a</t>
  </si>
  <si>
    <t>Value of Development Applications Determined</t>
  </si>
  <si>
    <t>Asset Maintenance Ratio</t>
  </si>
  <si>
    <t xml:space="preserve">Total Road Length (inlcuding local, regional &amp; state) (km) </t>
  </si>
  <si>
    <t>Companion Animals micro chipped (No.)</t>
  </si>
  <si>
    <t>Number of Residential Rating Assessments 2013/14</t>
  </si>
  <si>
    <t xml:space="preserve">Yes </t>
  </si>
  <si>
    <t>No</t>
  </si>
  <si>
    <t>Yes</t>
  </si>
  <si>
    <t>Complaints Investigated for Breach (No.)</t>
  </si>
  <si>
    <t>% Recycling Rate</t>
  </si>
  <si>
    <t>Debt Service Ratio</t>
  </si>
  <si>
    <t>SALM % Unemployment Rate at 30 June 2015</t>
  </si>
  <si>
    <t>Number of Residential Rating Assessments 2014/15</t>
  </si>
  <si>
    <t>Number Development Applications Determined by Councillors</t>
  </si>
  <si>
    <t>Area</t>
  </si>
  <si>
    <t>Pop</t>
  </si>
  <si>
    <t>EFT</t>
  </si>
  <si>
    <t>Road legth per capita</t>
  </si>
  <si>
    <t>Population %&lt;30</t>
  </si>
  <si>
    <t>Population %&gt;30&lt;60</t>
  </si>
  <si>
    <t xml:space="preserve"> Average Farmland Rate ($)</t>
  </si>
  <si>
    <t>Average Business Assessment  ($)</t>
  </si>
  <si>
    <t>Average  Mining Rates ($)</t>
  </si>
  <si>
    <t>Mayoral &amp; Councillor Conference Expenses ($)</t>
  </si>
  <si>
    <t>Rates and Annual Charges Outstanding (%)</t>
  </si>
  <si>
    <t>Debt Service Cover Ratio</t>
  </si>
  <si>
    <t>% Pensioner Residential Rate</t>
  </si>
  <si>
    <t>Total Revenue from Continuing Operations 2014/15  
($,000)</t>
  </si>
  <si>
    <t xml:space="preserve"> Total Expenses from Continuing Operations 2014/15 
($'000) </t>
  </si>
  <si>
    <t>Total Expenses from Continuing Operations 2012/13 
($'000)</t>
  </si>
  <si>
    <t>Total Expenses from Continuing Operations 2013/14 
($'000)</t>
  </si>
  <si>
    <t>Total Governance &amp; Administration Expenditure 
($)</t>
  </si>
  <si>
    <t>Total Public Order, Safety, Health, Water &amp; Sewer Expenditure 
($)</t>
  </si>
  <si>
    <t>Total Environmental Expenditure 
($)</t>
  </si>
  <si>
    <t>Total Other Services Expenditure 
($)</t>
  </si>
  <si>
    <t>Community Services &amp; Education, Housing  &amp; Community Amenities Expenditure per capita ($)</t>
  </si>
  <si>
    <t xml:space="preserve">Public Order, Safety &amp; Health Expenditure per capita 
($) </t>
  </si>
  <si>
    <t>Roads, Bridges &amp; Footpaths Expenditure per capita 
($)</t>
  </si>
  <si>
    <t>Typical Water &amp; Sewer Bill 
($)</t>
  </si>
  <si>
    <t>Companion Animals micro chipped and registered 
(%)</t>
  </si>
  <si>
    <t>Actual Asset Maintenance Expenditure 2012/13 
($)</t>
  </si>
  <si>
    <t>Required Asset Maintenance Expenditure 2012/13 
($)</t>
  </si>
  <si>
    <t>Actual Asset Maintenance Expenditure 2013/14 
($)</t>
  </si>
  <si>
    <t>Required Asset Maintenance Expenditure 2013/14 
($)</t>
  </si>
  <si>
    <t>Actual Asset Maintenance Expenditure 2014/15 
($)</t>
  </si>
  <si>
    <t>Required Asset Maintenance Expenditure 2014/15 
($)</t>
  </si>
  <si>
    <t>Councillor Expenses 
($)</t>
  </si>
  <si>
    <t>Total Mayoral &amp; Councillor Fees 
($)</t>
  </si>
  <si>
    <t>Mayoral &amp; Councillor Overseas Travel 
($)</t>
  </si>
  <si>
    <t>Mayoral &amp; Councillor Interstate Travel  
($)</t>
  </si>
  <si>
    <t>General Manager's Remuneration 
($)</t>
  </si>
  <si>
    <t>Cost of dealing with Code of Conduct Complaints 
($)</t>
  </si>
  <si>
    <t>Population Change  over 5 years 
(%)</t>
  </si>
  <si>
    <t>Population  aged between 20  &amp; 60 
(%)</t>
  </si>
  <si>
    <t>Male Population
(%)</t>
  </si>
  <si>
    <t>Female Population
(%)</t>
  </si>
  <si>
    <t>Population aged 19 
and less 
(%)</t>
  </si>
  <si>
    <t>Population aged 
over 60 
(%)</t>
  </si>
  <si>
    <t>2010 Average taxable income (taxable and non-taxable individuals) ($)</t>
  </si>
  <si>
    <t>Total Residential Rating Revenue 2012/13 
($)</t>
  </si>
  <si>
    <t>Average Residential Rate 2012/13 
($)</t>
  </si>
  <si>
    <t>Total Residential Rating Revenue 2013/14 
($)</t>
  </si>
  <si>
    <t>Average Residential Rate 2013/14 
($)</t>
  </si>
  <si>
    <t>Total Residential Rating Revenue 2014/15
($)</t>
  </si>
  <si>
    <t>Average Residential Rate 2014/15 
($)</t>
  </si>
  <si>
    <t>Aboriginal &amp; Torres Strait Islanders
Pop’n (%)</t>
  </si>
  <si>
    <t>Language other than English
Pop’n (%)</t>
  </si>
  <si>
    <t>Mean Gross Days for  Development Applications</t>
  </si>
  <si>
    <t>Total Rate Income /
Total Land Value ($)</t>
  </si>
  <si>
    <t>Elected Female Councillors 
(%)</t>
  </si>
  <si>
    <t>Elected Male Councillors 
(%)</t>
  </si>
  <si>
    <t>Councillors ATSI 
(%)</t>
  </si>
  <si>
    <t>Councillors NESB
(%)</t>
  </si>
  <si>
    <t>Elected Age &lt; 30 years
(%)</t>
  </si>
  <si>
    <t>Elected Age between 30 and 59
(%)</t>
  </si>
  <si>
    <t>Elected Age 60+ years
(%)</t>
  </si>
  <si>
    <t>Council Area
km2</t>
  </si>
  <si>
    <t>No Data</t>
  </si>
  <si>
    <t>No data</t>
  </si>
  <si>
    <t>OLG Group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</si>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</sst>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* #,##0"/>
    <numFmt numFmtId="166" formatCode="0.0"/>
    <numFmt numFmtId="167" formatCode="_(* #,##0.00_);_(* \(#,##0.00\);_(* &quot;-&quot;??_);_(@_)"/>
    <numFmt numFmtId="168" formatCode="#,##0_ ;\-#,##0\ "/>
    <numFmt numFmtId="169" formatCode="#,##0.0"/>
    <numFmt numFmtId="170" formatCode="_-* #,##0.0_-;\-* #,##0.0_-;_-* &quot;-&quot;??_-;_-@_-"/>
  </numFmts>
  <fonts count="3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 (W1)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Arial"/>
    </font>
  </fonts>
  <fills count="3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79">
    <xf numFmtId="0" fontId="0" fillId="0" borderId="0"/>
    <xf numFmtId="0" fontId="12" fillId="2" borderId="2" applyNumberFormat="0" applyAlignment="0" applyProtection="0"/>
    <xf numFmtId="43" fontId="7" fillId="0" borderId="0" applyFont="0" applyFill="0" applyBorder="0" applyAlignment="0" applyProtection="0"/>
    <xf numFmtId="167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/>
    <xf numFmtId="0" fontId="9" fillId="0" borderId="0"/>
    <xf numFmtId="0" fontId="6" fillId="0" borderId="0"/>
    <xf numFmtId="0" fontId="8" fillId="0" borderId="0"/>
    <xf numFmtId="0" fontId="6" fillId="0" borderId="0"/>
    <xf numFmtId="0" fontId="13" fillId="0" borderId="0"/>
    <xf numFmtId="9" fontId="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2" fontId="7" fillId="0" borderId="0">
      <alignment vertical="distributed"/>
    </xf>
    <xf numFmtId="0" fontId="14" fillId="0" borderId="0" applyNumberFormat="0" applyFill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0" applyNumberFormat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6" borderId="6" applyNumberFormat="0" applyAlignment="0" applyProtection="0"/>
    <xf numFmtId="0" fontId="22" fillId="7" borderId="7" applyNumberFormat="0" applyAlignment="0" applyProtection="0"/>
    <xf numFmtId="0" fontId="23" fillId="7" borderId="6" applyNumberFormat="0" applyAlignment="0" applyProtection="0"/>
    <xf numFmtId="0" fontId="24" fillId="0" borderId="8" applyNumberFormat="0" applyFill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0" applyNumberFormat="0" applyFill="0" applyAlignment="0" applyProtection="0"/>
    <xf numFmtId="0" fontId="28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8" fillId="32" borderId="0" applyNumberFormat="0" applyBorder="0" applyAlignment="0" applyProtection="0"/>
    <xf numFmtId="0" fontId="5" fillId="0" borderId="0"/>
    <xf numFmtId="0" fontId="5" fillId="8" borderId="9" applyNumberFormat="0" applyFont="0" applyAlignment="0" applyProtection="0"/>
    <xf numFmtId="9" fontId="7" fillId="0" borderId="0" applyFont="0" applyFill="0" applyBorder="0" applyAlignment="0" applyProtection="0"/>
    <xf numFmtId="0" fontId="3" fillId="0" borderId="0"/>
    <xf numFmtId="0" fontId="3" fillId="8" borderId="9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3" fillId="0" borderId="0"/>
    <xf numFmtId="0" fontId="2" fillId="0" borderId="0"/>
    <xf numFmtId="0" fontId="7" fillId="0" borderId="0"/>
  </cellStyleXfs>
  <cellXfs count="286">
    <xf numFmtId="0" fontId="0" fillId="0" borderId="0" xfId="0"/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7" fillId="0" borderId="0" xfId="0" applyFont="1"/>
    <xf numFmtId="0" fontId="0" fillId="0" borderId="0" xfId="0" applyAlignment="1">
      <alignment vertical="center"/>
    </xf>
    <xf numFmtId="0" fontId="7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0" fillId="0" borderId="0" xfId="0" applyBorder="1" applyAlignment="1">
      <alignment vertical="center"/>
    </xf>
    <xf numFmtId="164" fontId="32" fillId="0" borderId="0" xfId="2" applyNumberFormat="1" applyFont="1" applyFill="1" applyBorder="1"/>
    <xf numFmtId="164" fontId="32" fillId="0" borderId="0" xfId="2" applyNumberFormat="1" applyFont="1" applyBorder="1"/>
    <xf numFmtId="164" fontId="32" fillId="0" borderId="1" xfId="2" applyNumberFormat="1" applyFont="1" applyBorder="1"/>
    <xf numFmtId="3" fontId="32" fillId="0" borderId="0" xfId="0" applyNumberFormat="1" applyFont="1"/>
    <xf numFmtId="0" fontId="32" fillId="0" borderId="0" xfId="0" applyFont="1" applyBorder="1"/>
    <xf numFmtId="3" fontId="32" fillId="0" borderId="1" xfId="0" applyNumberFormat="1" applyFont="1" applyBorder="1"/>
    <xf numFmtId="0" fontId="32" fillId="0" borderId="0" xfId="0" applyFont="1" applyFill="1"/>
    <xf numFmtId="9" fontId="32" fillId="0" borderId="0" xfId="0" applyNumberFormat="1" applyFont="1" applyFill="1"/>
    <xf numFmtId="3" fontId="32" fillId="0" borderId="0" xfId="0" applyNumberFormat="1" applyFont="1" applyAlignment="1">
      <alignment vertical="center"/>
    </xf>
    <xf numFmtId="164" fontId="32" fillId="0" borderId="0" xfId="2" applyNumberFormat="1" applyFont="1" applyBorder="1" applyAlignment="1">
      <alignment vertical="center"/>
    </xf>
    <xf numFmtId="3" fontId="32" fillId="0" borderId="0" xfId="0" applyNumberFormat="1" applyFont="1" applyAlignment="1"/>
    <xf numFmtId="164" fontId="32" fillId="0" borderId="0" xfId="2" applyNumberFormat="1" applyFont="1" applyBorder="1" applyAlignment="1"/>
    <xf numFmtId="0" fontId="4" fillId="0" borderId="0" xfId="0" applyFont="1" applyFill="1"/>
    <xf numFmtId="3" fontId="32" fillId="0" borderId="0" xfId="0" applyNumberFormat="1" applyFont="1" applyFill="1"/>
    <xf numFmtId="164" fontId="32" fillId="0" borderId="0" xfId="2" applyNumberFormat="1" applyFont="1" applyFill="1"/>
    <xf numFmtId="0" fontId="32" fillId="0" borderId="0" xfId="0" applyFont="1" applyFill="1" applyAlignment="1">
      <alignment horizontal="right"/>
    </xf>
    <xf numFmtId="0" fontId="7" fillId="0" borderId="0" xfId="76" applyFont="1" applyAlignment="1">
      <alignment vertical="top" wrapText="1"/>
    </xf>
    <xf numFmtId="0" fontId="7" fillId="0" borderId="0" xfId="0" applyFont="1" applyAlignment="1">
      <alignment wrapText="1"/>
    </xf>
    <xf numFmtId="10" fontId="30" fillId="34" borderId="11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Border="1" applyAlignment="1">
      <alignment vertical="center" wrapText="1"/>
    </xf>
    <xf numFmtId="0" fontId="7" fillId="0" borderId="0" xfId="77" applyFont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7" fillId="0" borderId="0" xfId="0" applyFont="1" applyBorder="1" applyAlignment="1">
      <alignment wrapText="1"/>
    </xf>
    <xf numFmtId="169" fontId="0" fillId="0" borderId="0" xfId="0" applyNumberFormat="1"/>
    <xf numFmtId="168" fontId="0" fillId="0" borderId="0" xfId="0" applyNumberFormat="1"/>
    <xf numFmtId="0" fontId="32" fillId="0" borderId="12" xfId="0" applyFont="1" applyBorder="1" applyAlignment="1">
      <alignment horizontal="center"/>
    </xf>
    <xf numFmtId="0" fontId="32" fillId="0" borderId="12" xfId="0" applyFont="1" applyBorder="1"/>
    <xf numFmtId="164" fontId="32" fillId="0" borderId="12" xfId="2" applyNumberFormat="1" applyFont="1" applyBorder="1"/>
    <xf numFmtId="3" fontId="32" fillId="0" borderId="12" xfId="0" applyNumberFormat="1" applyFont="1" applyBorder="1"/>
    <xf numFmtId="166" fontId="32" fillId="0" borderId="12" xfId="0" applyNumberFormat="1" applyFont="1" applyBorder="1"/>
    <xf numFmtId="165" fontId="32" fillId="0" borderId="12" xfId="0" applyNumberFormat="1" applyFont="1" applyBorder="1" applyAlignment="1">
      <alignment horizontal="left"/>
    </xf>
    <xf numFmtId="3" fontId="32" fillId="0" borderId="12" xfId="0" applyNumberFormat="1" applyFont="1" applyBorder="1" applyAlignment="1">
      <alignment horizontal="right"/>
    </xf>
    <xf numFmtId="2" fontId="32" fillId="0" borderId="12" xfId="0" applyNumberFormat="1" applyFont="1" applyBorder="1"/>
    <xf numFmtId="1" fontId="32" fillId="0" borderId="12" xfId="0" applyNumberFormat="1" applyFont="1" applyBorder="1"/>
    <xf numFmtId="3" fontId="32" fillId="0" borderId="12" xfId="0" applyNumberFormat="1" applyFont="1" applyFill="1" applyBorder="1" applyAlignment="1">
      <alignment horizontal="right"/>
    </xf>
    <xf numFmtId="4" fontId="32" fillId="0" borderId="12" xfId="0" applyNumberFormat="1" applyFont="1" applyBorder="1"/>
    <xf numFmtId="4" fontId="32" fillId="0" borderId="12" xfId="0" applyNumberFormat="1" applyFont="1" applyFill="1" applyBorder="1" applyAlignment="1">
      <alignment horizontal="right"/>
    </xf>
    <xf numFmtId="164" fontId="32" fillId="0" borderId="12" xfId="2" applyNumberFormat="1" applyFont="1" applyBorder="1" applyAlignment="1">
      <alignment horizontal="right"/>
    </xf>
    <xf numFmtId="2" fontId="32" fillId="0" borderId="12" xfId="0" applyNumberFormat="1" applyFont="1" applyFill="1" applyBorder="1"/>
    <xf numFmtId="1" fontId="32" fillId="0" borderId="12" xfId="0" applyNumberFormat="1" applyFont="1" applyFill="1" applyBorder="1" applyAlignment="1">
      <alignment horizontal="right"/>
    </xf>
    <xf numFmtId="169" fontId="32" fillId="0" borderId="12" xfId="0" applyNumberFormat="1" applyFont="1" applyBorder="1"/>
    <xf numFmtId="164" fontId="32" fillId="0" borderId="12" xfId="2" applyNumberFormat="1" applyFont="1" applyFill="1" applyBorder="1" applyAlignment="1">
      <alignment horizontal="right" vertical="center"/>
    </xf>
    <xf numFmtId="164" fontId="32" fillId="0" borderId="12" xfId="2" applyNumberFormat="1" applyFont="1" applyFill="1" applyBorder="1" applyAlignment="1">
      <alignment vertical="center"/>
    </xf>
    <xf numFmtId="168" fontId="32" fillId="0" borderId="12" xfId="2" applyNumberFormat="1" applyFont="1" applyFill="1" applyBorder="1"/>
    <xf numFmtId="164" fontId="32" fillId="0" borderId="12" xfId="2" applyNumberFormat="1" applyFont="1" applyFill="1" applyBorder="1"/>
    <xf numFmtId="4" fontId="32" fillId="0" borderId="12" xfId="2" applyNumberFormat="1" applyFont="1" applyFill="1" applyBorder="1"/>
    <xf numFmtId="2" fontId="32" fillId="0" borderId="12" xfId="2" applyNumberFormat="1" applyFont="1" applyFill="1" applyBorder="1"/>
    <xf numFmtId="2" fontId="32" fillId="0" borderId="12" xfId="2" applyNumberFormat="1" applyFont="1" applyBorder="1"/>
    <xf numFmtId="166" fontId="32" fillId="0" borderId="12" xfId="61" applyNumberFormat="1" applyFont="1" applyBorder="1" applyAlignment="1"/>
    <xf numFmtId="166" fontId="32" fillId="0" borderId="12" xfId="12" applyNumberFormat="1" applyFont="1" applyBorder="1"/>
    <xf numFmtId="168" fontId="32" fillId="0" borderId="12" xfId="2" applyNumberFormat="1" applyFont="1" applyBorder="1"/>
    <xf numFmtId="165" fontId="32" fillId="0" borderId="12" xfId="0" applyNumberFormat="1" applyFont="1" applyBorder="1" applyAlignment="1">
      <alignment horizontal="right"/>
    </xf>
    <xf numFmtId="0" fontId="32" fillId="0" borderId="12" xfId="0" applyFont="1" applyBorder="1" applyAlignment="1">
      <alignment vertical="center"/>
    </xf>
    <xf numFmtId="0" fontId="32" fillId="0" borderId="12" xfId="0" applyFont="1" applyBorder="1" applyAlignment="1">
      <alignment horizontal="center" vertical="center"/>
    </xf>
    <xf numFmtId="3" fontId="32" fillId="0" borderId="12" xfId="2" applyNumberFormat="1" applyFont="1" applyBorder="1"/>
    <xf numFmtId="0" fontId="32" fillId="0" borderId="12" xfId="0" applyFont="1" applyBorder="1" applyAlignment="1">
      <alignment horizontal="right"/>
    </xf>
    <xf numFmtId="0" fontId="32" fillId="0" borderId="12" xfId="0" applyFont="1" applyBorder="1" applyAlignment="1"/>
    <xf numFmtId="164" fontId="32" fillId="0" borderId="12" xfId="2" applyNumberFormat="1" applyFont="1" applyBorder="1" applyAlignment="1"/>
    <xf numFmtId="166" fontId="32" fillId="0" borderId="12" xfId="0" applyNumberFormat="1" applyFont="1" applyBorder="1" applyAlignment="1"/>
    <xf numFmtId="3" fontId="32" fillId="0" borderId="12" xfId="0" applyNumberFormat="1" applyFont="1" applyBorder="1" applyAlignment="1"/>
    <xf numFmtId="2" fontId="32" fillId="0" borderId="12" xfId="0" applyNumberFormat="1" applyFont="1" applyFill="1" applyBorder="1" applyAlignment="1"/>
    <xf numFmtId="169" fontId="32" fillId="0" borderId="12" xfId="0" applyNumberFormat="1" applyFont="1" applyBorder="1" applyAlignment="1"/>
    <xf numFmtId="164" fontId="32" fillId="0" borderId="12" xfId="2" applyNumberFormat="1" applyFont="1" applyFill="1" applyBorder="1" applyAlignment="1">
      <alignment horizontal="right"/>
    </xf>
    <xf numFmtId="164" fontId="32" fillId="0" borderId="12" xfId="2" applyNumberFormat="1" applyFont="1" applyFill="1" applyBorder="1" applyAlignment="1"/>
    <xf numFmtId="168" fontId="32" fillId="0" borderId="12" xfId="2" applyNumberFormat="1" applyFont="1" applyFill="1" applyBorder="1" applyAlignment="1"/>
    <xf numFmtId="168" fontId="32" fillId="0" borderId="12" xfId="2" applyNumberFormat="1" applyFont="1" applyBorder="1" applyAlignment="1"/>
    <xf numFmtId="166" fontId="32" fillId="0" borderId="12" xfId="12" applyNumberFormat="1" applyFont="1" applyBorder="1" applyAlignment="1">
      <alignment horizontal="right"/>
    </xf>
    <xf numFmtId="166" fontId="32" fillId="0" borderId="12" xfId="0" applyNumberFormat="1" applyFont="1" applyFill="1" applyBorder="1" applyAlignment="1">
      <alignment horizontal="right"/>
    </xf>
    <xf numFmtId="0" fontId="32" fillId="0" borderId="12" xfId="0" applyFont="1" applyFill="1" applyBorder="1"/>
    <xf numFmtId="3" fontId="32" fillId="0" borderId="12" xfId="0" applyNumberFormat="1" applyFont="1" applyFill="1" applyBorder="1"/>
    <xf numFmtId="166" fontId="32" fillId="0" borderId="12" xfId="0" applyNumberFormat="1" applyFont="1" applyFill="1" applyBorder="1" applyAlignment="1">
      <alignment horizontal="right" indent="1"/>
    </xf>
    <xf numFmtId="166" fontId="32" fillId="0" borderId="12" xfId="0" applyNumberFormat="1" applyFont="1" applyFill="1" applyBorder="1" applyProtection="1">
      <protection locked="0"/>
    </xf>
    <xf numFmtId="166" fontId="32" fillId="0" borderId="12" xfId="0" applyNumberFormat="1" applyFont="1" applyFill="1" applyBorder="1"/>
    <xf numFmtId="165" fontId="32" fillId="0" borderId="12" xfId="0" applyNumberFormat="1" applyFont="1" applyFill="1" applyBorder="1" applyAlignment="1">
      <alignment horizontal="left"/>
    </xf>
    <xf numFmtId="4" fontId="32" fillId="0" borderId="12" xfId="0" applyNumberFormat="1" applyFont="1" applyFill="1" applyBorder="1"/>
    <xf numFmtId="169" fontId="32" fillId="0" borderId="12" xfId="0" applyNumberFormat="1" applyFont="1" applyFill="1" applyBorder="1"/>
    <xf numFmtId="43" fontId="32" fillId="0" borderId="12" xfId="2" applyNumberFormat="1" applyFont="1" applyFill="1" applyBorder="1"/>
    <xf numFmtId="166" fontId="32" fillId="0" borderId="12" xfId="61" applyNumberFormat="1" applyFont="1" applyFill="1" applyBorder="1" applyAlignment="1"/>
    <xf numFmtId="166" fontId="32" fillId="0" borderId="12" xfId="12" applyNumberFormat="1" applyFont="1" applyFill="1" applyBorder="1"/>
    <xf numFmtId="1" fontId="32" fillId="0" borderId="12" xfId="0" applyNumberFormat="1" applyFont="1" applyFill="1" applyBorder="1"/>
    <xf numFmtId="165" fontId="32" fillId="0" borderId="12" xfId="0" applyNumberFormat="1" applyFont="1" applyFill="1" applyBorder="1" applyAlignment="1">
      <alignment horizontal="right"/>
    </xf>
    <xf numFmtId="0" fontId="32" fillId="0" borderId="12" xfId="0" applyFont="1" applyFill="1" applyBorder="1" applyAlignment="1">
      <alignment vertical="center"/>
    </xf>
    <xf numFmtId="0" fontId="32" fillId="0" borderId="12" xfId="0" applyFont="1" applyFill="1" applyBorder="1" applyAlignment="1">
      <alignment horizontal="center" vertical="center"/>
    </xf>
    <xf numFmtId="164" fontId="32" fillId="0" borderId="12" xfId="2" applyNumberFormat="1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right"/>
    </xf>
    <xf numFmtId="166" fontId="32" fillId="0" borderId="12" xfId="0" applyNumberFormat="1" applyFont="1" applyBorder="1" applyAlignment="1">
      <alignment horizontal="right"/>
    </xf>
    <xf numFmtId="1" fontId="32" fillId="0" borderId="12" xfId="0" applyNumberFormat="1" applyFont="1" applyBorder="1" applyAlignment="1">
      <alignment horizontal="center" vertical="center"/>
    </xf>
    <xf numFmtId="164" fontId="32" fillId="0" borderId="12" xfId="2" applyNumberFormat="1" applyFont="1" applyBorder="1" applyAlignment="1">
      <alignment vertical="center"/>
    </xf>
    <xf numFmtId="166" fontId="32" fillId="0" borderId="12" xfId="0" applyNumberFormat="1" applyFont="1" applyBorder="1" applyAlignment="1">
      <alignment vertical="center"/>
    </xf>
    <xf numFmtId="3" fontId="32" fillId="0" borderId="12" xfId="0" applyNumberFormat="1" applyFont="1" applyBorder="1" applyAlignment="1">
      <alignment vertical="center"/>
    </xf>
    <xf numFmtId="165" fontId="32" fillId="0" borderId="12" xfId="0" applyNumberFormat="1" applyFont="1" applyFill="1" applyBorder="1" applyAlignment="1">
      <alignment horizontal="left" vertical="center"/>
    </xf>
    <xf numFmtId="3" fontId="32" fillId="0" borderId="12" xfId="0" applyNumberFormat="1" applyFont="1" applyBorder="1" applyAlignment="1">
      <alignment horizontal="right" vertical="center"/>
    </xf>
    <xf numFmtId="4" fontId="32" fillId="0" borderId="12" xfId="0" applyNumberFormat="1" applyFont="1" applyBorder="1" applyAlignment="1"/>
    <xf numFmtId="3" fontId="32" fillId="0" borderId="12" xfId="0" applyNumberFormat="1" applyFont="1" applyFill="1" applyBorder="1" applyAlignment="1">
      <alignment horizontal="right" vertical="center"/>
    </xf>
    <xf numFmtId="2" fontId="32" fillId="0" borderId="12" xfId="0" applyNumberFormat="1" applyFont="1" applyFill="1" applyBorder="1" applyAlignment="1">
      <alignment vertical="center"/>
    </xf>
    <xf numFmtId="1" fontId="32" fillId="0" borderId="12" xfId="0" applyNumberFormat="1" applyFont="1" applyFill="1" applyBorder="1" applyAlignment="1">
      <alignment horizontal="right" vertical="center"/>
    </xf>
    <xf numFmtId="169" fontId="32" fillId="0" borderId="12" xfId="0" applyNumberFormat="1" applyFont="1" applyBorder="1" applyAlignment="1">
      <alignment vertical="center"/>
    </xf>
    <xf numFmtId="168" fontId="32" fillId="0" borderId="12" xfId="2" applyNumberFormat="1" applyFont="1" applyFill="1" applyBorder="1" applyAlignment="1">
      <alignment vertical="center"/>
    </xf>
    <xf numFmtId="4" fontId="32" fillId="0" borderId="12" xfId="2" applyNumberFormat="1" applyFont="1" applyFill="1" applyBorder="1" applyAlignment="1"/>
    <xf numFmtId="2" fontId="32" fillId="0" borderId="12" xfId="2" applyNumberFormat="1" applyFont="1" applyFill="1" applyBorder="1" applyAlignment="1"/>
    <xf numFmtId="2" fontId="32" fillId="0" borderId="12" xfId="2" applyNumberFormat="1" applyFont="1" applyBorder="1" applyAlignment="1"/>
    <xf numFmtId="2" fontId="32" fillId="0" borderId="12" xfId="0" applyNumberFormat="1" applyFont="1" applyBorder="1" applyAlignment="1"/>
    <xf numFmtId="168" fontId="32" fillId="0" borderId="12" xfId="2" applyNumberFormat="1" applyFont="1" applyBorder="1" applyAlignment="1">
      <alignment vertical="center"/>
    </xf>
    <xf numFmtId="1" fontId="32" fillId="0" borderId="12" xfId="0" applyNumberFormat="1" applyFont="1" applyBorder="1" applyAlignment="1"/>
    <xf numFmtId="165" fontId="32" fillId="0" borderId="12" xfId="0" applyNumberFormat="1" applyFont="1" applyBorder="1" applyAlignment="1">
      <alignment horizontal="right" vertical="center"/>
    </xf>
    <xf numFmtId="1" fontId="32" fillId="0" borderId="12" xfId="0" applyNumberFormat="1" applyFont="1" applyBorder="1" applyAlignment="1">
      <alignment horizontal="center"/>
    </xf>
    <xf numFmtId="0" fontId="32" fillId="0" borderId="0" xfId="0" applyNumberFormat="1" applyFont="1" applyFill="1"/>
    <xf numFmtId="0" fontId="4" fillId="0" borderId="0" xfId="0" applyNumberFormat="1" applyFont="1" applyFill="1"/>
    <xf numFmtId="0" fontId="32" fillId="0" borderId="14" xfId="0" applyFont="1" applyBorder="1" applyAlignment="1">
      <alignment horizontal="center"/>
    </xf>
    <xf numFmtId="0" fontId="32" fillId="0" borderId="14" xfId="0" applyFont="1" applyBorder="1"/>
    <xf numFmtId="164" fontId="32" fillId="0" borderId="14" xfId="2" applyNumberFormat="1" applyFont="1" applyBorder="1"/>
    <xf numFmtId="166" fontId="32" fillId="0" borderId="14" xfId="0" applyNumberFormat="1" applyFont="1" applyBorder="1"/>
    <xf numFmtId="3" fontId="32" fillId="0" borderId="14" xfId="0" applyNumberFormat="1" applyFont="1" applyBorder="1"/>
    <xf numFmtId="1" fontId="32" fillId="0" borderId="14" xfId="0" applyNumberFormat="1" applyFont="1" applyBorder="1"/>
    <xf numFmtId="165" fontId="32" fillId="0" borderId="14" xfId="0" applyNumberFormat="1" applyFont="1" applyBorder="1" applyAlignment="1">
      <alignment horizontal="left"/>
    </xf>
    <xf numFmtId="3" fontId="32" fillId="0" borderId="14" xfId="0" applyNumberFormat="1" applyFont="1" applyBorder="1" applyAlignment="1">
      <alignment horizontal="right"/>
    </xf>
    <xf numFmtId="165" fontId="32" fillId="0" borderId="14" xfId="0" applyNumberFormat="1" applyFont="1" applyBorder="1" applyAlignment="1">
      <alignment horizontal="right"/>
    </xf>
    <xf numFmtId="2" fontId="32" fillId="0" borderId="14" xfId="0" applyNumberFormat="1" applyFont="1" applyBorder="1"/>
    <xf numFmtId="3" fontId="32" fillId="0" borderId="14" xfId="0" applyNumberFormat="1" applyFont="1" applyFill="1" applyBorder="1" applyAlignment="1">
      <alignment horizontal="right"/>
    </xf>
    <xf numFmtId="2" fontId="32" fillId="0" borderId="14" xfId="0" applyNumberFormat="1" applyFont="1" applyFill="1" applyBorder="1"/>
    <xf numFmtId="4" fontId="32" fillId="0" borderId="14" xfId="0" applyNumberFormat="1" applyFont="1" applyBorder="1"/>
    <xf numFmtId="4" fontId="32" fillId="0" borderId="14" xfId="0" applyNumberFormat="1" applyFont="1" applyFill="1" applyBorder="1" applyAlignment="1">
      <alignment horizontal="right"/>
    </xf>
    <xf numFmtId="164" fontId="32" fillId="0" borderId="14" xfId="2" applyNumberFormat="1" applyFont="1" applyBorder="1" applyAlignment="1">
      <alignment horizontal="right"/>
    </xf>
    <xf numFmtId="168" fontId="32" fillId="0" borderId="14" xfId="2" applyNumberFormat="1" applyFont="1" applyFill="1" applyBorder="1"/>
    <xf numFmtId="164" fontId="32" fillId="0" borderId="14" xfId="2" applyNumberFormat="1" applyFont="1" applyFill="1" applyBorder="1"/>
    <xf numFmtId="4" fontId="32" fillId="0" borderId="14" xfId="2" applyNumberFormat="1" applyFont="1" applyFill="1" applyBorder="1"/>
    <xf numFmtId="2" fontId="32" fillId="0" borderId="14" xfId="2" applyNumberFormat="1" applyFont="1" applyFill="1" applyBorder="1"/>
    <xf numFmtId="2" fontId="32" fillId="0" borderId="14" xfId="2" applyNumberFormat="1" applyFont="1" applyBorder="1"/>
    <xf numFmtId="166" fontId="32" fillId="0" borderId="14" xfId="61" applyNumberFormat="1" applyFont="1" applyBorder="1" applyAlignment="1"/>
    <xf numFmtId="164" fontId="32" fillId="0" borderId="14" xfId="2" applyNumberFormat="1" applyFont="1" applyFill="1" applyBorder="1" applyAlignment="1">
      <alignment horizontal="right" vertical="center"/>
    </xf>
    <xf numFmtId="164" fontId="32" fillId="0" borderId="14" xfId="2" applyNumberFormat="1" applyFont="1" applyFill="1" applyBorder="1" applyAlignment="1">
      <alignment vertical="center"/>
    </xf>
    <xf numFmtId="169" fontId="32" fillId="0" borderId="14" xfId="0" applyNumberFormat="1" applyFont="1" applyBorder="1"/>
    <xf numFmtId="1" fontId="32" fillId="0" borderId="14" xfId="0" applyNumberFormat="1" applyFont="1" applyFill="1" applyBorder="1" applyAlignment="1">
      <alignment horizontal="right"/>
    </xf>
    <xf numFmtId="168" fontId="32" fillId="0" borderId="14" xfId="2" applyNumberFormat="1" applyFont="1" applyBorder="1"/>
    <xf numFmtId="0" fontId="32" fillId="0" borderId="14" xfId="0" applyFont="1" applyBorder="1" applyAlignment="1">
      <alignment vertical="center"/>
    </xf>
    <xf numFmtId="1" fontId="32" fillId="0" borderId="14" xfId="0" applyNumberFormat="1" applyFont="1" applyBorder="1" applyAlignment="1">
      <alignment horizontal="center" vertical="center"/>
    </xf>
    <xf numFmtId="3" fontId="32" fillId="0" borderId="14" xfId="2" applyNumberFormat="1" applyFont="1" applyBorder="1"/>
    <xf numFmtId="166" fontId="32" fillId="0" borderId="12" xfId="0" applyNumberFormat="1" applyFont="1" applyFill="1" applyBorder="1" applyAlignment="1" applyProtection="1">
      <protection locked="0"/>
    </xf>
    <xf numFmtId="166" fontId="32" fillId="0" borderId="12" xfId="0" applyNumberFormat="1" applyFont="1" applyFill="1" applyBorder="1" applyAlignment="1">
      <alignment horizontal="right" vertical="center" indent="1"/>
    </xf>
    <xf numFmtId="166" fontId="32" fillId="0" borderId="12" xfId="0" applyNumberFormat="1" applyFont="1" applyFill="1" applyBorder="1" applyAlignment="1" applyProtection="1">
      <alignment vertical="center"/>
      <protection locked="0"/>
    </xf>
    <xf numFmtId="166" fontId="32" fillId="0" borderId="14" xfId="0" applyNumberFormat="1" applyFont="1" applyFill="1" applyBorder="1" applyAlignment="1">
      <alignment horizontal="right" indent="1"/>
    </xf>
    <xf numFmtId="166" fontId="32" fillId="0" borderId="14" xfId="0" applyNumberFormat="1" applyFont="1" applyFill="1" applyBorder="1" applyProtection="1">
      <protection locked="0"/>
    </xf>
    <xf numFmtId="0" fontId="32" fillId="0" borderId="12" xfId="0" applyFont="1" applyFill="1" applyBorder="1" applyAlignment="1"/>
    <xf numFmtId="0" fontId="32" fillId="0" borderId="14" xfId="0" applyFont="1" applyFill="1" applyBorder="1"/>
    <xf numFmtId="0" fontId="31" fillId="35" borderId="16" xfId="12" applyFont="1" applyFill="1" applyBorder="1"/>
    <xf numFmtId="0" fontId="31" fillId="35" borderId="16" xfId="12" applyFont="1" applyFill="1" applyBorder="1" applyAlignment="1"/>
    <xf numFmtId="0" fontId="31" fillId="35" borderId="16" xfId="12" applyFont="1" applyFill="1" applyBorder="1" applyAlignment="1">
      <alignment vertical="center"/>
    </xf>
    <xf numFmtId="0" fontId="31" fillId="35" borderId="17" xfId="12" applyFont="1" applyFill="1" applyBorder="1"/>
    <xf numFmtId="166" fontId="1" fillId="0" borderId="12" xfId="10" applyNumberFormat="1" applyFont="1" applyFill="1" applyBorder="1"/>
    <xf numFmtId="166" fontId="1" fillId="0" borderId="12" xfId="10" applyNumberFormat="1" applyFont="1" applyFill="1" applyBorder="1" applyAlignment="1"/>
    <xf numFmtId="166" fontId="1" fillId="0" borderId="12" xfId="10" applyNumberFormat="1" applyFont="1" applyFill="1" applyBorder="1" applyAlignment="1">
      <alignment vertical="center"/>
    </xf>
    <xf numFmtId="166" fontId="1" fillId="0" borderId="14" xfId="10" applyNumberFormat="1" applyFont="1" applyFill="1" applyBorder="1"/>
    <xf numFmtId="166" fontId="32" fillId="33" borderId="12" xfId="0" applyNumberFormat="1" applyFont="1" applyFill="1" applyBorder="1"/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/>
    <xf numFmtId="166" fontId="32" fillId="0" borderId="0" xfId="0" applyNumberFormat="1" applyFont="1" applyFill="1"/>
    <xf numFmtId="9" fontId="4" fillId="0" borderId="0" xfId="0" applyNumberFormat="1" applyFont="1" applyFill="1"/>
    <xf numFmtId="0" fontId="4" fillId="0" borderId="0" xfId="0" applyFont="1" applyFill="1" applyBorder="1"/>
    <xf numFmtId="2" fontId="32" fillId="0" borderId="0" xfId="2" applyNumberFormat="1" applyFont="1" applyFill="1"/>
    <xf numFmtId="2" fontId="32" fillId="0" borderId="0" xfId="0" applyNumberFormat="1" applyFont="1" applyFill="1"/>
    <xf numFmtId="3" fontId="4" fillId="0" borderId="0" xfId="0" applyNumberFormat="1" applyFont="1" applyFill="1"/>
    <xf numFmtId="164" fontId="4" fillId="0" borderId="0" xfId="2" applyNumberFormat="1" applyFont="1" applyFill="1"/>
    <xf numFmtId="0" fontId="4" fillId="0" borderId="0" xfId="0" applyFont="1" applyFill="1" applyBorder="1" applyAlignment="1"/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3" fontId="32" fillId="0" borderId="0" xfId="2" applyNumberFormat="1" applyFont="1" applyFill="1"/>
    <xf numFmtId="0" fontId="0" fillId="0" borderId="0" xfId="0" applyFill="1" applyBorder="1"/>
    <xf numFmtId="170" fontId="32" fillId="0" borderId="12" xfId="2" applyNumberFormat="1" applyFont="1" applyFill="1" applyBorder="1"/>
    <xf numFmtId="170" fontId="32" fillId="0" borderId="14" xfId="2" applyNumberFormat="1" applyFont="1" applyFill="1" applyBorder="1"/>
    <xf numFmtId="1" fontId="32" fillId="0" borderId="12" xfId="0" applyNumberFormat="1" applyFont="1" applyFill="1" applyBorder="1" applyAlignment="1">
      <alignment horizontal="center"/>
    </xf>
    <xf numFmtId="0" fontId="31" fillId="35" borderId="19" xfId="12" applyFont="1" applyFill="1" applyBorder="1"/>
    <xf numFmtId="169" fontId="32" fillId="0" borderId="12" xfId="0" applyNumberFormat="1" applyFont="1" applyBorder="1" applyAlignment="1">
      <alignment horizontal="right"/>
    </xf>
    <xf numFmtId="3" fontId="32" fillId="0" borderId="13" xfId="0" applyNumberFormat="1" applyFont="1" applyBorder="1" applyAlignment="1">
      <alignment horizontal="right" wrapText="1"/>
    </xf>
    <xf numFmtId="3" fontId="32" fillId="0" borderId="13" xfId="0" applyNumberFormat="1" applyFont="1" applyFill="1" applyBorder="1" applyAlignment="1">
      <alignment horizontal="right" wrapText="1"/>
    </xf>
    <xf numFmtId="3" fontId="32" fillId="0" borderId="15" xfId="0" applyNumberFormat="1" applyFont="1" applyBorder="1" applyAlignment="1">
      <alignment horizontal="right" wrapText="1"/>
    </xf>
    <xf numFmtId="169" fontId="32" fillId="0" borderId="12" xfId="0" applyNumberFormat="1" applyFont="1" applyBorder="1" applyAlignment="1">
      <alignment horizontal="center"/>
    </xf>
    <xf numFmtId="169" fontId="32" fillId="0" borderId="13" xfId="0" applyNumberFormat="1" applyFont="1" applyBorder="1" applyAlignment="1">
      <alignment horizontal="center"/>
    </xf>
    <xf numFmtId="0" fontId="32" fillId="0" borderId="20" xfId="0" applyFont="1" applyFill="1" applyBorder="1"/>
    <xf numFmtId="0" fontId="32" fillId="0" borderId="11" xfId="0" applyFont="1" applyFill="1" applyBorder="1" applyAlignment="1">
      <alignment horizontal="center"/>
    </xf>
    <xf numFmtId="0" fontId="32" fillId="0" borderId="11" xfId="0" applyFont="1" applyFill="1" applyBorder="1"/>
    <xf numFmtId="164" fontId="32" fillId="0" borderId="11" xfId="2" applyNumberFormat="1" applyFont="1" applyFill="1" applyBorder="1"/>
    <xf numFmtId="0" fontId="32" fillId="0" borderId="11" xfId="0" applyNumberFormat="1" applyFont="1" applyFill="1" applyBorder="1"/>
    <xf numFmtId="166" fontId="32" fillId="0" borderId="11" xfId="0" applyNumberFormat="1" applyFont="1" applyFill="1" applyBorder="1"/>
    <xf numFmtId="0" fontId="4" fillId="0" borderId="11" xfId="0" applyFont="1" applyFill="1" applyBorder="1"/>
    <xf numFmtId="9" fontId="4" fillId="0" borderId="11" xfId="0" applyNumberFormat="1" applyFont="1" applyFill="1" applyBorder="1"/>
    <xf numFmtId="0" fontId="4" fillId="0" borderId="11" xfId="0" applyNumberFormat="1" applyFont="1" applyFill="1" applyBorder="1"/>
    <xf numFmtId="2" fontId="32" fillId="0" borderId="11" xfId="2" applyNumberFormat="1" applyFont="1" applyFill="1" applyBorder="1"/>
    <xf numFmtId="2" fontId="32" fillId="0" borderId="11" xfId="0" applyNumberFormat="1" applyFont="1" applyFill="1" applyBorder="1"/>
    <xf numFmtId="3" fontId="4" fillId="0" borderId="11" xfId="0" applyNumberFormat="1" applyFont="1" applyFill="1" applyBorder="1"/>
    <xf numFmtId="9" fontId="32" fillId="0" borderId="11" xfId="0" applyNumberFormat="1" applyFont="1" applyFill="1" applyBorder="1"/>
    <xf numFmtId="164" fontId="4" fillId="0" borderId="11" xfId="2" applyNumberFormat="1" applyFont="1" applyFill="1" applyBorder="1"/>
    <xf numFmtId="0" fontId="4" fillId="0" borderId="11" xfId="0" applyFont="1" applyFill="1" applyBorder="1" applyAlignment="1"/>
    <xf numFmtId="0" fontId="32" fillId="0" borderId="11" xfId="0" applyFont="1" applyFill="1" applyBorder="1" applyAlignment="1">
      <alignment horizontal="right"/>
    </xf>
    <xf numFmtId="0" fontId="4" fillId="0" borderId="11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vertical="center"/>
    </xf>
    <xf numFmtId="3" fontId="32" fillId="0" borderId="11" xfId="2" applyNumberFormat="1" applyFont="1" applyFill="1" applyBorder="1"/>
    <xf numFmtId="3" fontId="32" fillId="0" borderId="11" xfId="0" applyNumberFormat="1" applyFont="1" applyFill="1" applyBorder="1"/>
    <xf numFmtId="0" fontId="4" fillId="0" borderId="21" xfId="0" applyFont="1" applyFill="1" applyBorder="1" applyAlignment="1">
      <alignment horizontal="center" vertical="center"/>
    </xf>
    <xf numFmtId="2" fontId="32" fillId="0" borderId="12" xfId="0" applyNumberFormat="1" applyFont="1" applyFill="1" applyBorder="1" applyAlignment="1">
      <alignment horizontal="center"/>
    </xf>
    <xf numFmtId="166" fontId="32" fillId="0" borderId="12" xfId="0" applyNumberFormat="1" applyFont="1" applyFill="1" applyBorder="1" applyAlignment="1">
      <alignment horizontal="center"/>
    </xf>
    <xf numFmtId="168" fontId="32" fillId="0" borderId="12" xfId="2" applyNumberFormat="1" applyFont="1" applyBorder="1" applyAlignment="1">
      <alignment horizontal="right"/>
    </xf>
    <xf numFmtId="1" fontId="32" fillId="0" borderId="12" xfId="2" applyNumberFormat="1" applyFont="1" applyBorder="1" applyAlignment="1">
      <alignment horizontal="right"/>
    </xf>
    <xf numFmtId="1" fontId="32" fillId="0" borderId="12" xfId="2" applyNumberFormat="1" applyFont="1" applyFill="1" applyBorder="1" applyAlignment="1">
      <alignment horizontal="right"/>
    </xf>
    <xf numFmtId="166" fontId="32" fillId="0" borderId="12" xfId="0" applyNumberFormat="1" applyFont="1" applyBorder="1" applyAlignment="1">
      <alignment horizontal="center"/>
    </xf>
    <xf numFmtId="2" fontId="32" fillId="0" borderId="12" xfId="2" applyNumberFormat="1" applyFont="1" applyBorder="1" applyAlignment="1">
      <alignment horizontal="right"/>
    </xf>
    <xf numFmtId="2" fontId="32" fillId="0" borderId="12" xfId="2" applyNumberFormat="1" applyFont="1" applyFill="1" applyBorder="1" applyAlignment="1">
      <alignment horizontal="right"/>
    </xf>
    <xf numFmtId="166" fontId="32" fillId="0" borderId="14" xfId="0" applyNumberFormat="1" applyFont="1" applyFill="1" applyBorder="1"/>
    <xf numFmtId="0" fontId="32" fillId="0" borderId="26" xfId="0" applyFont="1" applyFill="1" applyBorder="1" applyAlignment="1">
      <alignment horizontal="center"/>
    </xf>
    <xf numFmtId="0" fontId="32" fillId="0" borderId="27" xfId="0" applyFont="1" applyFill="1" applyBorder="1"/>
    <xf numFmtId="164" fontId="32" fillId="0" borderId="27" xfId="2" applyNumberFormat="1" applyFont="1" applyFill="1" applyBorder="1"/>
    <xf numFmtId="166" fontId="32" fillId="0" borderId="27" xfId="0" applyNumberFormat="1" applyFont="1" applyFill="1" applyBorder="1" applyAlignment="1">
      <alignment horizontal="right" indent="1"/>
    </xf>
    <xf numFmtId="170" fontId="32" fillId="0" borderId="27" xfId="2" applyNumberFormat="1" applyFont="1" applyFill="1" applyBorder="1"/>
    <xf numFmtId="166" fontId="32" fillId="0" borderId="27" xfId="0" applyNumberFormat="1" applyFont="1" applyFill="1" applyBorder="1"/>
    <xf numFmtId="166" fontId="1" fillId="0" borderId="27" xfId="10" applyNumberFormat="1" applyFont="1" applyFill="1" applyBorder="1"/>
    <xf numFmtId="166" fontId="32" fillId="0" borderId="27" xfId="0" applyNumberFormat="1" applyFont="1" applyFill="1" applyBorder="1" applyProtection="1">
      <protection locked="0"/>
    </xf>
    <xf numFmtId="0" fontId="32" fillId="0" borderId="27" xfId="0" applyFont="1" applyBorder="1"/>
    <xf numFmtId="166" fontId="32" fillId="0" borderId="27" xfId="0" applyNumberFormat="1" applyFont="1" applyBorder="1"/>
    <xf numFmtId="3" fontId="32" fillId="0" borderId="27" xfId="0" applyNumberFormat="1" applyFont="1" applyBorder="1"/>
    <xf numFmtId="165" fontId="32" fillId="0" borderId="27" xfId="0" applyNumberFormat="1" applyFont="1" applyBorder="1" applyAlignment="1">
      <alignment horizontal="left"/>
    </xf>
    <xf numFmtId="3" fontId="32" fillId="0" borderId="27" xfId="0" applyNumberFormat="1" applyFont="1" applyBorder="1" applyAlignment="1">
      <alignment horizontal="right"/>
    </xf>
    <xf numFmtId="1" fontId="32" fillId="0" borderId="27" xfId="0" applyNumberFormat="1" applyFont="1" applyBorder="1"/>
    <xf numFmtId="165" fontId="32" fillId="0" borderId="27" xfId="0" applyNumberFormat="1" applyFont="1" applyBorder="1" applyAlignment="1">
      <alignment horizontal="right"/>
    </xf>
    <xf numFmtId="2" fontId="32" fillId="0" borderId="27" xfId="0" applyNumberFormat="1" applyFont="1" applyBorder="1"/>
    <xf numFmtId="164" fontId="32" fillId="0" borderId="27" xfId="2" applyNumberFormat="1" applyFont="1" applyBorder="1"/>
    <xf numFmtId="3" fontId="32" fillId="0" borderId="27" xfId="0" applyNumberFormat="1" applyFont="1" applyFill="1" applyBorder="1" applyAlignment="1">
      <alignment horizontal="right"/>
    </xf>
    <xf numFmtId="2" fontId="32" fillId="0" borderId="27" xfId="0" applyNumberFormat="1" applyFont="1" applyFill="1" applyBorder="1"/>
    <xf numFmtId="4" fontId="32" fillId="0" borderId="27" xfId="0" applyNumberFormat="1" applyFont="1" applyBorder="1"/>
    <xf numFmtId="4" fontId="32" fillId="0" borderId="27" xfId="0" applyNumberFormat="1" applyFont="1" applyFill="1" applyBorder="1" applyAlignment="1">
      <alignment horizontal="right"/>
    </xf>
    <xf numFmtId="164" fontId="32" fillId="0" borderId="27" xfId="2" applyNumberFormat="1" applyFont="1" applyBorder="1" applyAlignment="1">
      <alignment horizontal="right"/>
    </xf>
    <xf numFmtId="1" fontId="32" fillId="0" borderId="27" xfId="2" applyNumberFormat="1" applyFont="1" applyBorder="1" applyAlignment="1">
      <alignment horizontal="right"/>
    </xf>
    <xf numFmtId="168" fontId="32" fillId="0" borderId="27" xfId="2" applyNumberFormat="1" applyFont="1" applyFill="1" applyBorder="1"/>
    <xf numFmtId="4" fontId="32" fillId="0" borderId="27" xfId="2" applyNumberFormat="1" applyFont="1" applyFill="1" applyBorder="1"/>
    <xf numFmtId="2" fontId="32" fillId="0" borderId="27" xfId="2" applyNumberFormat="1" applyFont="1" applyFill="1" applyBorder="1"/>
    <xf numFmtId="2" fontId="32" fillId="0" borderId="27" xfId="2" applyNumberFormat="1" applyFont="1" applyBorder="1"/>
    <xf numFmtId="2" fontId="32" fillId="0" borderId="27" xfId="0" applyNumberFormat="1" applyFont="1" applyBorder="1" applyAlignment="1">
      <alignment wrapText="1"/>
    </xf>
    <xf numFmtId="166" fontId="32" fillId="0" borderId="27" xfId="61" applyNumberFormat="1" applyFont="1" applyBorder="1" applyAlignment="1"/>
    <xf numFmtId="164" fontId="32" fillId="0" borderId="27" xfId="2" applyNumberFormat="1" applyFont="1" applyFill="1" applyBorder="1" applyAlignment="1">
      <alignment horizontal="right" vertical="center"/>
    </xf>
    <xf numFmtId="164" fontId="32" fillId="0" borderId="27" xfId="2" applyNumberFormat="1" applyFont="1" applyFill="1" applyBorder="1" applyAlignment="1">
      <alignment vertical="center"/>
    </xf>
    <xf numFmtId="169" fontId="32" fillId="0" borderId="27" xfId="0" applyNumberFormat="1" applyFont="1" applyBorder="1"/>
    <xf numFmtId="1" fontId="32" fillId="0" borderId="27" xfId="0" applyNumberFormat="1" applyFont="1" applyFill="1" applyBorder="1" applyAlignment="1">
      <alignment horizontal="right"/>
    </xf>
    <xf numFmtId="166" fontId="32" fillId="0" borderId="27" xfId="12" applyNumberFormat="1" applyFont="1" applyBorder="1"/>
    <xf numFmtId="168" fontId="32" fillId="0" borderId="27" xfId="2" applyNumberFormat="1" applyFont="1" applyBorder="1"/>
    <xf numFmtId="0" fontId="32" fillId="0" borderId="27" xfId="0" applyFont="1" applyBorder="1" applyAlignment="1">
      <alignment horizontal="center"/>
    </xf>
    <xf numFmtId="0" fontId="32" fillId="0" borderId="27" xfId="0" applyFont="1" applyBorder="1" applyAlignment="1">
      <alignment vertical="center"/>
    </xf>
    <xf numFmtId="0" fontId="32" fillId="0" borderId="27" xfId="0" applyFont="1" applyBorder="1" applyAlignment="1">
      <alignment horizontal="center" vertical="center"/>
    </xf>
    <xf numFmtId="3" fontId="32" fillId="0" borderId="27" xfId="2" applyNumberFormat="1" applyFont="1" applyBorder="1"/>
    <xf numFmtId="3" fontId="32" fillId="0" borderId="28" xfId="0" applyNumberFormat="1" applyFont="1" applyBorder="1" applyAlignment="1">
      <alignment horizontal="right" wrapText="1"/>
    </xf>
    <xf numFmtId="0" fontId="32" fillId="0" borderId="29" xfId="0" applyFont="1" applyFill="1" applyBorder="1" applyAlignment="1">
      <alignment horizontal="center"/>
    </xf>
    <xf numFmtId="0" fontId="32" fillId="0" borderId="29" xfId="0" applyFont="1" applyFill="1" applyBorder="1" applyAlignment="1">
      <alignment horizontal="center" vertical="center"/>
    </xf>
    <xf numFmtId="0" fontId="32" fillId="0" borderId="30" xfId="0" applyFont="1" applyFill="1" applyBorder="1" applyAlignment="1">
      <alignment horizontal="center"/>
    </xf>
    <xf numFmtId="0" fontId="30" fillId="37" borderId="24" xfId="0" applyNumberFormat="1" applyFont="1" applyFill="1" applyBorder="1" applyAlignment="1">
      <alignment horizontal="center" vertical="center" wrapText="1"/>
    </xf>
    <xf numFmtId="166" fontId="27" fillId="37" borderId="24" xfId="0" applyNumberFormat="1" applyFont="1" applyFill="1" applyBorder="1" applyAlignment="1">
      <alignment horizontal="center" vertical="center" wrapText="1"/>
    </xf>
    <xf numFmtId="0" fontId="27" fillId="37" borderId="24" xfId="0" applyFont="1" applyFill="1" applyBorder="1" applyAlignment="1">
      <alignment horizontal="center" vertical="center" wrapText="1"/>
    </xf>
    <xf numFmtId="9" fontId="27" fillId="37" borderId="24" xfId="0" applyNumberFormat="1" applyFont="1" applyFill="1" applyBorder="1" applyAlignment="1">
      <alignment horizontal="center" vertical="center" wrapText="1"/>
    </xf>
    <xf numFmtId="9" fontId="27" fillId="37" borderId="24" xfId="26" applyNumberFormat="1" applyFont="1" applyFill="1" applyBorder="1" applyAlignment="1">
      <alignment horizontal="center" vertical="center" wrapText="1"/>
    </xf>
    <xf numFmtId="0" fontId="30" fillId="37" borderId="24" xfId="0" quotePrefix="1" applyFont="1" applyFill="1" applyBorder="1" applyAlignment="1">
      <alignment horizontal="center" vertical="center" wrapText="1"/>
    </xf>
    <xf numFmtId="0" fontId="27" fillId="36" borderId="24" xfId="0" applyFont="1" applyFill="1" applyBorder="1" applyAlignment="1">
      <alignment horizontal="center" vertical="center" wrapText="1"/>
    </xf>
    <xf numFmtId="166" fontId="30" fillId="36" borderId="24" xfId="0" applyNumberFormat="1" applyFont="1" applyFill="1" applyBorder="1" applyAlignment="1">
      <alignment horizontal="center" vertical="center" wrapText="1"/>
    </xf>
    <xf numFmtId="3" fontId="27" fillId="36" borderId="24" xfId="0" applyNumberFormat="1" applyFont="1" applyFill="1" applyBorder="1" applyAlignment="1">
      <alignment horizontal="center" vertical="center" wrapText="1"/>
    </xf>
    <xf numFmtId="0" fontId="30" fillId="36" borderId="24" xfId="0" applyFont="1" applyFill="1" applyBorder="1" applyAlignment="1">
      <alignment horizontal="center" vertical="center" wrapText="1"/>
    </xf>
    <xf numFmtId="164" fontId="30" fillId="36" borderId="24" xfId="2" applyNumberFormat="1" applyFont="1" applyFill="1" applyBorder="1" applyAlignment="1">
      <alignment horizontal="center" vertical="center" wrapText="1"/>
    </xf>
    <xf numFmtId="164" fontId="27" fillId="36" borderId="24" xfId="2" applyNumberFormat="1" applyFont="1" applyFill="1" applyBorder="1" applyAlignment="1">
      <alignment horizontal="center" vertical="center" wrapText="1"/>
    </xf>
    <xf numFmtId="9" fontId="27" fillId="36" borderId="24" xfId="0" applyNumberFormat="1" applyFont="1" applyFill="1" applyBorder="1" applyAlignment="1">
      <alignment horizontal="center" vertical="center" wrapText="1"/>
    </xf>
    <xf numFmtId="2" fontId="30" fillId="36" borderId="24" xfId="0" applyNumberFormat="1" applyFont="1" applyFill="1" applyBorder="1" applyAlignment="1" applyProtection="1">
      <alignment horizontal="center" vertical="center" wrapText="1"/>
    </xf>
    <xf numFmtId="9" fontId="30" fillId="36" borderId="24" xfId="0" applyNumberFormat="1" applyFont="1" applyFill="1" applyBorder="1" applyAlignment="1">
      <alignment horizontal="center" vertical="center" wrapText="1"/>
    </xf>
    <xf numFmtId="3" fontId="27" fillId="36" borderId="24" xfId="2" applyNumberFormat="1" applyFont="1" applyFill="1" applyBorder="1" applyAlignment="1">
      <alignment horizontal="center" vertical="center" wrapText="1"/>
    </xf>
    <xf numFmtId="0" fontId="30" fillId="36" borderId="25" xfId="0" applyFont="1" applyFill="1" applyBorder="1" applyAlignment="1">
      <alignment horizontal="center" vertical="center" wrapText="1"/>
    </xf>
    <xf numFmtId="166" fontId="32" fillId="0" borderId="12" xfId="0" applyNumberFormat="1" applyFont="1" applyFill="1" applyBorder="1" applyAlignment="1">
      <alignment horizontal="left"/>
    </xf>
    <xf numFmtId="0" fontId="34" fillId="38" borderId="18" xfId="0" applyFont="1" applyFill="1" applyBorder="1" applyAlignment="1">
      <alignment horizontal="center" vertical="center" wrapText="1"/>
    </xf>
    <xf numFmtId="0" fontId="27" fillId="38" borderId="22" xfId="0" applyFont="1" applyFill="1" applyBorder="1" applyAlignment="1">
      <alignment horizontal="center" vertical="center" wrapText="1"/>
    </xf>
    <xf numFmtId="0" fontId="27" fillId="38" borderId="23" xfId="0" applyFont="1" applyFill="1" applyBorder="1" applyAlignment="1">
      <alignment horizontal="center" vertical="center" wrapText="1"/>
    </xf>
    <xf numFmtId="0" fontId="30" fillId="38" borderId="24" xfId="0" applyNumberFormat="1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31" fillId="35" borderId="31" xfId="12" applyFont="1" applyFill="1" applyBorder="1"/>
  </cellXfs>
  <cellStyles count="79">
    <cellStyle name="20% - Accent1" xfId="36" builtinId="30" customBuiltin="1"/>
    <cellStyle name="20% - Accent1 2" xfId="64" xr:uid="{00000000-0005-0000-0000-000001000000}"/>
    <cellStyle name="20% - Accent2" xfId="40" builtinId="34" customBuiltin="1"/>
    <cellStyle name="20% - Accent2 2" xfId="66" xr:uid="{00000000-0005-0000-0000-000003000000}"/>
    <cellStyle name="20% - Accent3" xfId="44" builtinId="38" customBuiltin="1"/>
    <cellStyle name="20% - Accent3 2" xfId="68" xr:uid="{00000000-0005-0000-0000-000005000000}"/>
    <cellStyle name="20% - Accent4" xfId="48" builtinId="42" customBuiltin="1"/>
    <cellStyle name="20% - Accent4 2" xfId="70" xr:uid="{00000000-0005-0000-0000-000007000000}"/>
    <cellStyle name="20% - Accent5" xfId="52" builtinId="46" customBuiltin="1"/>
    <cellStyle name="20% - Accent5 2" xfId="72" xr:uid="{00000000-0005-0000-0000-000009000000}"/>
    <cellStyle name="20% - Accent6" xfId="56" builtinId="50" customBuiltin="1"/>
    <cellStyle name="20% - Accent6 2" xfId="74" xr:uid="{00000000-0005-0000-0000-00000B000000}"/>
    <cellStyle name="40% - Accent1" xfId="37" builtinId="31" customBuiltin="1"/>
    <cellStyle name="40% - Accent1 2" xfId="65" xr:uid="{00000000-0005-0000-0000-00000D000000}"/>
    <cellStyle name="40% - Accent2" xfId="41" builtinId="35" customBuiltin="1"/>
    <cellStyle name="40% - Accent2 2" xfId="67" xr:uid="{00000000-0005-0000-0000-00000F000000}"/>
    <cellStyle name="40% - Accent3" xfId="45" builtinId="39" customBuiltin="1"/>
    <cellStyle name="40% - Accent3 2" xfId="69" xr:uid="{00000000-0005-0000-0000-000011000000}"/>
    <cellStyle name="40% - Accent4" xfId="49" builtinId="43" customBuiltin="1"/>
    <cellStyle name="40% - Accent4 2" xfId="71" xr:uid="{00000000-0005-0000-0000-000013000000}"/>
    <cellStyle name="40% - Accent5" xfId="53" builtinId="47" customBuiltin="1"/>
    <cellStyle name="40% - Accent5 2" xfId="73" xr:uid="{00000000-0005-0000-0000-000015000000}"/>
    <cellStyle name="40% - Accent6" xfId="57" builtinId="51" customBuiltin="1"/>
    <cellStyle name="40% - Accent6 2" xfId="75" xr:uid="{00000000-0005-0000-0000-000017000000}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6" builtinId="27" customBuiltin="1"/>
    <cellStyle name="Calculation" xfId="30" builtinId="22" customBuiltin="1"/>
    <cellStyle name="Check Cell" xfId="1" builtinId="23" customBuiltin="1"/>
    <cellStyle name="Comma" xfId="2" builtinId="3"/>
    <cellStyle name="Comma 2" xfId="3" xr:uid="{00000000-0005-0000-0000-000028000000}"/>
    <cellStyle name="Comma 3" xfId="4" xr:uid="{00000000-0005-0000-0000-000029000000}"/>
    <cellStyle name="Comma 4" xfId="5" xr:uid="{00000000-0005-0000-0000-00002A000000}"/>
    <cellStyle name="Comma 4 2" xfId="6" xr:uid="{00000000-0005-0000-0000-00002B000000}"/>
    <cellStyle name="Currency 2" xfId="7" xr:uid="{00000000-0005-0000-0000-00002C000000}"/>
    <cellStyle name="Currency 3" xfId="8" xr:uid="{00000000-0005-0000-0000-00002D000000}"/>
    <cellStyle name="Currency 3 2" xfId="9" xr:uid="{00000000-0005-0000-0000-00002E000000}"/>
    <cellStyle name="Explanatory Text" xfId="33" builtinId="53" customBuiltin="1"/>
    <cellStyle name="Good" xfId="25" builtinId="26" customBuiltin="1"/>
    <cellStyle name="Heading 1" xfId="21" builtinId="16" customBuiltin="1"/>
    <cellStyle name="Heading 2" xfId="22" builtinId="17" customBuiltin="1"/>
    <cellStyle name="Heading 3" xfId="23" builtinId="18" customBuiltin="1"/>
    <cellStyle name="Heading 4" xfId="24" builtinId="19" customBuiltin="1"/>
    <cellStyle name="Input" xfId="28" builtinId="20" customBuiltin="1"/>
    <cellStyle name="Linked Cell" xfId="31" builtinId="24" customBuiltin="1"/>
    <cellStyle name="Neutral" xfId="27" builtinId="28" customBuiltin="1"/>
    <cellStyle name="Normal" xfId="0" builtinId="0"/>
    <cellStyle name="Normal 2" xfId="10" xr:uid="{00000000-0005-0000-0000-000039000000}"/>
    <cellStyle name="Normal 2 2" xfId="11" xr:uid="{00000000-0005-0000-0000-00003A000000}"/>
    <cellStyle name="Normal 2 2 2" xfId="12" xr:uid="{00000000-0005-0000-0000-00003B000000}"/>
    <cellStyle name="Normal 2 3" xfId="13" xr:uid="{00000000-0005-0000-0000-00003C000000}"/>
    <cellStyle name="Normal 2 3 2" xfId="78" xr:uid="{00000000-0005-0000-0000-00003D000000}"/>
    <cellStyle name="Normal 2 4" xfId="14" xr:uid="{00000000-0005-0000-0000-00003E000000}"/>
    <cellStyle name="Normal 3" xfId="15" xr:uid="{00000000-0005-0000-0000-00003F000000}"/>
    <cellStyle name="Normal 4" xfId="59" xr:uid="{00000000-0005-0000-0000-000040000000}"/>
    <cellStyle name="Normal 5" xfId="62" xr:uid="{00000000-0005-0000-0000-000041000000}"/>
    <cellStyle name="Normal 6" xfId="76" xr:uid="{00000000-0005-0000-0000-000042000000}"/>
    <cellStyle name="Normal 7" xfId="77" xr:uid="{00000000-0005-0000-0000-000043000000}"/>
    <cellStyle name="Note 2" xfId="60" xr:uid="{00000000-0005-0000-0000-000044000000}"/>
    <cellStyle name="Note 3" xfId="63" xr:uid="{00000000-0005-0000-0000-000045000000}"/>
    <cellStyle name="Output" xfId="29" builtinId="21" customBuiltin="1"/>
    <cellStyle name="Percent 2" xfId="16" xr:uid="{00000000-0005-0000-0000-000047000000}"/>
    <cellStyle name="Percent 3" xfId="17" xr:uid="{00000000-0005-0000-0000-000048000000}"/>
    <cellStyle name="Percent 3 2" xfId="18" xr:uid="{00000000-0005-0000-0000-000049000000}"/>
    <cellStyle name="Percent 8" xfId="61" xr:uid="{00000000-0005-0000-0000-00004A000000}"/>
    <cellStyle name="Style 1" xfId="19" xr:uid="{00000000-0005-0000-0000-00004B000000}"/>
    <cellStyle name="Title" xfId="20" builtinId="15" customBuiltin="1"/>
    <cellStyle name="Total" xfId="34" builtinId="25" customBuiltin="1"/>
    <cellStyle name="Warning Text" xfId="32" builtinId="11" customBuiltin="1"/>
  </cellStyles>
  <dxfs count="0"/>
  <tableStyles count="0" defaultTableStyle="TableStyleMedium2" defaultPivotStyle="PivotStyleLight16"/>
  <colors>
    <mruColors>
      <color rgb="FFFFFFCC"/>
      <color rgb="FFCCFFFF"/>
      <color rgb="FF66FFFF"/>
      <color rgb="FFFFFF99"/>
      <color rgb="FF0099FF"/>
      <color rgb="FFFFCC66"/>
      <color rgb="FFFFCCCC"/>
      <color rgb="FFFFCCFF"/>
      <color rgb="FFFF0000"/>
      <color rgb="FF7F9E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D154"/>
  <sheetViews>
    <sheetView tabSelected="1" zoomScale="70" zoomScaleNormal="70" workbookViewId="0">
      <pane xSplit="1" ySplit="1" topLeftCell="B35" activePane="bottomRight" state="frozen"/>
      <selection pane="topRight" activeCell="B1" sqref="B1"/>
      <selection pane="bottomLeft" activeCell="A4" sqref="A4"/>
      <selection pane="bottomRight" activeCell="B35" sqref="B35"/>
    </sheetView>
  </sheetViews>
  <sheetFormatPr defaultColWidth="9.08984375" defaultRowHeight="14.5"/>
  <cols>
    <col min="1" max="1" width="42.6328125" style="15" bestFit="1" customWidth="1"/>
    <col min="2" max="2" width="10.08984375" style="15" customWidth="1"/>
    <col min="3" max="3" width="15.08984375" style="165" bestFit="1" customWidth="1"/>
    <col min="4" max="4" width="21.36328125" style="166" customWidth="1"/>
    <col min="5" max="5" width="21" style="166" bestFit="1" customWidth="1"/>
    <col min="6" max="6" width="18" style="23" customWidth="1"/>
    <col min="7" max="7" width="18" style="118" customWidth="1"/>
    <col min="8" max="8" width="18" style="167" customWidth="1"/>
    <col min="9" max="9" width="18" style="21" customWidth="1"/>
    <col min="10" max="10" width="18" style="168" customWidth="1"/>
    <col min="11" max="11" width="18" style="21" customWidth="1"/>
    <col min="12" max="12" width="18" style="168" customWidth="1"/>
    <col min="13" max="15" width="18" style="15" customWidth="1"/>
    <col min="16" max="18" width="18" style="119" customWidth="1"/>
    <col min="19" max="21" width="18" style="15" customWidth="1"/>
    <col min="22" max="22" width="18" style="167" customWidth="1"/>
    <col min="23" max="24" width="18" style="15" customWidth="1"/>
    <col min="25" max="25" width="30.36328125" style="15" customWidth="1"/>
    <col min="26" max="26" width="18" style="15" customWidth="1"/>
    <col min="27" max="27" width="18" style="21" customWidth="1"/>
    <col min="28" max="28" width="18" style="169" customWidth="1"/>
    <col min="29" max="29" width="18" style="15" customWidth="1"/>
    <col min="30" max="30" width="18" style="169" customWidth="1"/>
    <col min="31" max="38" width="18" style="21" customWidth="1"/>
    <col min="39" max="42" width="18" style="15" customWidth="1"/>
    <col min="43" max="43" width="18" style="23" customWidth="1"/>
    <col min="44" max="44" width="18" style="170" customWidth="1"/>
    <col min="45" max="45" width="18" style="23" customWidth="1"/>
    <col min="46" max="46" width="18" style="15" customWidth="1"/>
    <col min="47" max="47" width="18" style="171" customWidth="1"/>
    <col min="48" max="49" width="18" style="15" customWidth="1"/>
    <col min="50" max="50" width="18" style="171" customWidth="1"/>
    <col min="51" max="51" width="18" style="23" customWidth="1"/>
    <col min="52" max="53" width="18" style="15" customWidth="1"/>
    <col min="54" max="60" width="18" style="21" customWidth="1"/>
    <col min="61" max="61" width="18" style="172" customWidth="1"/>
    <col min="62" max="62" width="18" style="21" customWidth="1"/>
    <col min="63" max="63" width="18" style="172" customWidth="1"/>
    <col min="64" max="64" width="18" style="15" customWidth="1"/>
    <col min="65" max="65" width="18" style="16" customWidth="1"/>
    <col min="66" max="66" width="18" style="15" customWidth="1"/>
    <col min="67" max="67" width="18" style="16" customWidth="1"/>
    <col min="68" max="68" width="18" style="15" customWidth="1"/>
    <col min="69" max="69" width="18" style="16" customWidth="1"/>
    <col min="70" max="70" width="18" style="15" customWidth="1"/>
    <col min="71" max="71" width="18" style="16" customWidth="1"/>
    <col min="72" max="72" width="18" style="15" customWidth="1"/>
    <col min="73" max="73" width="18" style="16" customWidth="1"/>
    <col min="74" max="74" width="18" style="15" customWidth="1"/>
    <col min="75" max="75" width="18" style="16" customWidth="1"/>
    <col min="76" max="76" width="18" style="15" customWidth="1"/>
    <col min="77" max="77" width="18" style="16" customWidth="1"/>
    <col min="78" max="84" width="18" style="21" customWidth="1"/>
    <col min="85" max="85" width="18" style="169" customWidth="1"/>
    <col min="86" max="86" width="18" style="21" customWidth="1"/>
    <col min="87" max="87" width="18" style="173" customWidth="1"/>
    <col min="88" max="88" width="18" style="21" customWidth="1"/>
    <col min="89" max="89" width="18" style="174" customWidth="1"/>
    <col min="90" max="90" width="18" style="24" customWidth="1"/>
    <col min="91" max="91" width="18" style="15" customWidth="1"/>
    <col min="92" max="93" width="18" style="24" customWidth="1"/>
    <col min="94" max="95" width="18" style="15" customWidth="1"/>
    <col min="96" max="97" width="18" style="169" customWidth="1"/>
    <col min="98" max="98" width="18" style="15" customWidth="1"/>
    <col min="99" max="99" width="18" style="21" customWidth="1"/>
    <col min="100" max="103" width="18" style="15" customWidth="1"/>
    <col min="104" max="104" width="18" style="169" customWidth="1"/>
    <col min="105" max="110" width="18" style="15" customWidth="1"/>
    <col min="111" max="113" width="18" style="173" customWidth="1"/>
    <col min="114" max="114" width="18" style="175" customWidth="1"/>
    <col min="115" max="119" width="18" style="166" customWidth="1"/>
    <col min="120" max="120" width="18" style="21" customWidth="1"/>
    <col min="121" max="121" width="18" style="176" customWidth="1"/>
    <col min="122" max="123" width="18" style="175" customWidth="1"/>
    <col min="124" max="124" width="18" style="15" customWidth="1"/>
    <col min="125" max="125" width="18" style="177" customWidth="1"/>
    <col min="126" max="129" width="18" style="168" customWidth="1"/>
    <col min="130" max="132" width="18" style="21" customWidth="1"/>
    <col min="133" max="133" width="18" style="22" customWidth="1"/>
    <col min="134" max="134" width="18" style="175" customWidth="1"/>
    <col min="135" max="16384" width="9.08984375" style="178"/>
  </cols>
  <sheetData>
    <row r="1" spans="1:134" s="1" customFormat="1" ht="102" thickBot="1">
      <c r="A1" s="280" t="s">
        <v>319</v>
      </c>
      <c r="B1" s="284" t="s">
        <v>463</v>
      </c>
      <c r="C1" s="281" t="s">
        <v>462</v>
      </c>
      <c r="D1" s="282" t="s">
        <v>320</v>
      </c>
      <c r="E1" s="283" t="s">
        <v>459</v>
      </c>
      <c r="F1" s="262" t="s">
        <v>321</v>
      </c>
      <c r="G1" s="262" t="s">
        <v>435</v>
      </c>
      <c r="H1" s="263" t="s">
        <v>117</v>
      </c>
      <c r="I1" s="264" t="s">
        <v>356</v>
      </c>
      <c r="J1" s="265" t="s">
        <v>437</v>
      </c>
      <c r="K1" s="264" t="s">
        <v>357</v>
      </c>
      <c r="L1" s="265" t="s">
        <v>438</v>
      </c>
      <c r="M1" s="265" t="s">
        <v>439</v>
      </c>
      <c r="N1" s="265" t="s">
        <v>436</v>
      </c>
      <c r="O1" s="265" t="s">
        <v>440</v>
      </c>
      <c r="P1" s="266" t="s">
        <v>401</v>
      </c>
      <c r="Q1" s="266" t="s">
        <v>402</v>
      </c>
      <c r="R1" s="266" t="s">
        <v>358</v>
      </c>
      <c r="S1" s="267" t="s">
        <v>448</v>
      </c>
      <c r="T1" s="267" t="s">
        <v>449</v>
      </c>
      <c r="U1" s="268" t="s">
        <v>322</v>
      </c>
      <c r="V1" s="269" t="s">
        <v>394</v>
      </c>
      <c r="W1" s="270" t="s">
        <v>441</v>
      </c>
      <c r="X1" s="271" t="s">
        <v>116</v>
      </c>
      <c r="Y1" s="268" t="s">
        <v>141</v>
      </c>
      <c r="Z1" s="271" t="s">
        <v>349</v>
      </c>
      <c r="AA1" s="271" t="s">
        <v>396</v>
      </c>
      <c r="AB1" s="271" t="s">
        <v>347</v>
      </c>
      <c r="AC1" s="271" t="s">
        <v>383</v>
      </c>
      <c r="AD1" s="268" t="s">
        <v>450</v>
      </c>
      <c r="AE1" s="265" t="s">
        <v>379</v>
      </c>
      <c r="AF1" s="265" t="s">
        <v>364</v>
      </c>
      <c r="AG1" s="265" t="s">
        <v>362</v>
      </c>
      <c r="AH1" s="265" t="s">
        <v>363</v>
      </c>
      <c r="AI1" s="265" t="s">
        <v>407</v>
      </c>
      <c r="AJ1" s="265" t="s">
        <v>408</v>
      </c>
      <c r="AK1" s="265" t="s">
        <v>393</v>
      </c>
      <c r="AL1" s="265" t="s">
        <v>372</v>
      </c>
      <c r="AM1" s="272" t="s">
        <v>412</v>
      </c>
      <c r="AN1" s="272" t="s">
        <v>413</v>
      </c>
      <c r="AO1" s="273" t="s">
        <v>411</v>
      </c>
      <c r="AP1" s="273" t="s">
        <v>410</v>
      </c>
      <c r="AQ1" s="265" t="s">
        <v>442</v>
      </c>
      <c r="AR1" s="265" t="s">
        <v>443</v>
      </c>
      <c r="AS1" s="265" t="s">
        <v>355</v>
      </c>
      <c r="AT1" s="265" t="s">
        <v>444</v>
      </c>
      <c r="AU1" s="265" t="s">
        <v>445</v>
      </c>
      <c r="AV1" s="265" t="s">
        <v>387</v>
      </c>
      <c r="AW1" s="265" t="s">
        <v>446</v>
      </c>
      <c r="AX1" s="265" t="s">
        <v>447</v>
      </c>
      <c r="AY1" s="265" t="s">
        <v>395</v>
      </c>
      <c r="AZ1" s="265" t="s">
        <v>51</v>
      </c>
      <c r="BA1" s="265" t="s">
        <v>409</v>
      </c>
      <c r="BB1" s="274" t="s">
        <v>359</v>
      </c>
      <c r="BC1" s="274" t="s">
        <v>403</v>
      </c>
      <c r="BD1" s="274" t="s">
        <v>375</v>
      </c>
      <c r="BE1" s="274" t="s">
        <v>360</v>
      </c>
      <c r="BF1" s="274" t="s">
        <v>404</v>
      </c>
      <c r="BG1" s="274" t="s">
        <v>373</v>
      </c>
      <c r="BH1" s="274" t="s">
        <v>361</v>
      </c>
      <c r="BI1" s="274" t="s">
        <v>405</v>
      </c>
      <c r="BJ1" s="274" t="s">
        <v>374</v>
      </c>
      <c r="BK1" s="274" t="s">
        <v>451</v>
      </c>
      <c r="BL1" s="265" t="s">
        <v>414</v>
      </c>
      <c r="BM1" s="265" t="s">
        <v>326</v>
      </c>
      <c r="BN1" s="265" t="s">
        <v>415</v>
      </c>
      <c r="BO1" s="265" t="s">
        <v>327</v>
      </c>
      <c r="BP1" s="265" t="s">
        <v>416</v>
      </c>
      <c r="BQ1" s="265" t="s">
        <v>328</v>
      </c>
      <c r="BR1" s="265" t="s">
        <v>329</v>
      </c>
      <c r="BS1" s="265" t="s">
        <v>330</v>
      </c>
      <c r="BT1" s="265" t="s">
        <v>331</v>
      </c>
      <c r="BU1" s="265" t="s">
        <v>332</v>
      </c>
      <c r="BV1" s="265" t="s">
        <v>333</v>
      </c>
      <c r="BW1" s="265" t="s">
        <v>334</v>
      </c>
      <c r="BX1" s="265" t="s">
        <v>417</v>
      </c>
      <c r="BY1" s="265" t="s">
        <v>335</v>
      </c>
      <c r="BZ1" s="265" t="s">
        <v>367</v>
      </c>
      <c r="CA1" s="265" t="s">
        <v>368</v>
      </c>
      <c r="CB1" s="265" t="s">
        <v>369</v>
      </c>
      <c r="CC1" s="265" t="s">
        <v>418</v>
      </c>
      <c r="CD1" s="265" t="s">
        <v>370</v>
      </c>
      <c r="CE1" s="265" t="s">
        <v>419</v>
      </c>
      <c r="CF1" s="265" t="s">
        <v>380</v>
      </c>
      <c r="CG1" s="265" t="s">
        <v>348</v>
      </c>
      <c r="CH1" s="265" t="s">
        <v>420</v>
      </c>
      <c r="CI1" s="272" t="s">
        <v>421</v>
      </c>
      <c r="CJ1" s="271" t="s">
        <v>376</v>
      </c>
      <c r="CK1" s="275" t="s">
        <v>392</v>
      </c>
      <c r="CL1" s="271" t="s">
        <v>336</v>
      </c>
      <c r="CM1" s="271" t="s">
        <v>337</v>
      </c>
      <c r="CN1" s="271" t="s">
        <v>338</v>
      </c>
      <c r="CO1" s="271" t="s">
        <v>339</v>
      </c>
      <c r="CP1" s="271" t="s">
        <v>340</v>
      </c>
      <c r="CQ1" s="271" t="s">
        <v>341</v>
      </c>
      <c r="CR1" s="265" t="s">
        <v>386</v>
      </c>
      <c r="CS1" s="265" t="s">
        <v>422</v>
      </c>
      <c r="CT1" s="265" t="s">
        <v>385</v>
      </c>
      <c r="CU1" s="265" t="s">
        <v>378</v>
      </c>
      <c r="CV1" s="265" t="s">
        <v>115</v>
      </c>
      <c r="CW1" s="265" t="s">
        <v>32</v>
      </c>
      <c r="CX1" s="265" t="s">
        <v>33</v>
      </c>
      <c r="CY1" s="265" t="s">
        <v>118</v>
      </c>
      <c r="CZ1" s="265" t="s">
        <v>119</v>
      </c>
      <c r="DA1" s="272" t="s">
        <v>423</v>
      </c>
      <c r="DB1" s="272" t="s">
        <v>424</v>
      </c>
      <c r="DC1" s="272" t="s">
        <v>425</v>
      </c>
      <c r="DD1" s="272" t="s">
        <v>426</v>
      </c>
      <c r="DE1" s="272" t="s">
        <v>427</v>
      </c>
      <c r="DF1" s="272" t="s">
        <v>428</v>
      </c>
      <c r="DG1" s="276" t="s">
        <v>384</v>
      </c>
      <c r="DH1" s="271" t="s">
        <v>365</v>
      </c>
      <c r="DI1" s="276" t="s">
        <v>366</v>
      </c>
      <c r="DJ1" s="265" t="s">
        <v>381</v>
      </c>
      <c r="DK1" s="265" t="s">
        <v>429</v>
      </c>
      <c r="DL1" s="265" t="s">
        <v>430</v>
      </c>
      <c r="DM1" s="265" t="s">
        <v>431</v>
      </c>
      <c r="DN1" s="265" t="s">
        <v>406</v>
      </c>
      <c r="DO1" s="265" t="s">
        <v>432</v>
      </c>
      <c r="DP1" s="265" t="s">
        <v>433</v>
      </c>
      <c r="DQ1" s="265" t="s">
        <v>371</v>
      </c>
      <c r="DR1" s="265" t="s">
        <v>434</v>
      </c>
      <c r="DS1" s="265" t="s">
        <v>391</v>
      </c>
      <c r="DT1" s="268" t="s">
        <v>323</v>
      </c>
      <c r="DU1" s="277" t="s">
        <v>324</v>
      </c>
      <c r="DV1" s="274" t="s">
        <v>452</v>
      </c>
      <c r="DW1" s="274" t="s">
        <v>453</v>
      </c>
      <c r="DX1" s="274" t="s">
        <v>454</v>
      </c>
      <c r="DY1" s="274" t="s">
        <v>455</v>
      </c>
      <c r="DZ1" s="268" t="s">
        <v>456</v>
      </c>
      <c r="EA1" s="268" t="s">
        <v>457</v>
      </c>
      <c r="EB1" s="268" t="s">
        <v>458</v>
      </c>
      <c r="EC1" s="277" t="s">
        <v>325</v>
      </c>
      <c r="ED1" s="278" t="s">
        <v>377</v>
      </c>
    </row>
    <row r="2" spans="1:134" s="13" customFormat="1">
      <c r="A2" s="182" t="s">
        <v>149</v>
      </c>
      <c r="B2" s="285">
        <v>2014</v>
      </c>
      <c r="C2" s="219">
        <v>4</v>
      </c>
      <c r="D2" s="220" t="s">
        <v>342</v>
      </c>
      <c r="E2" s="221">
        <v>305.89999999999998</v>
      </c>
      <c r="F2" s="221">
        <v>51082</v>
      </c>
      <c r="G2" s="222">
        <v>4.6462080550661691</v>
      </c>
      <c r="H2" s="223">
        <v>167</v>
      </c>
      <c r="I2" s="221">
        <v>24801</v>
      </c>
      <c r="J2" s="221">
        <v>48.551348811714504</v>
      </c>
      <c r="K2" s="221">
        <v>26281</v>
      </c>
      <c r="L2" s="224">
        <v>51.448651188285496</v>
      </c>
      <c r="M2" s="225">
        <v>25.697897498140243</v>
      </c>
      <c r="N2" s="225">
        <v>52.200383696801225</v>
      </c>
      <c r="O2" s="225">
        <v>22.101718805058535</v>
      </c>
      <c r="P2" s="225">
        <v>40.374300144865117</v>
      </c>
      <c r="Q2" s="225">
        <v>37.523981050076351</v>
      </c>
      <c r="R2" s="225">
        <v>22.101718805058535</v>
      </c>
      <c r="S2" s="226">
        <v>2.3175552720199124</v>
      </c>
      <c r="T2" s="226">
        <v>5.3</v>
      </c>
      <c r="U2" s="227">
        <v>87</v>
      </c>
      <c r="V2" s="228">
        <v>12.6</v>
      </c>
      <c r="W2" s="229">
        <v>46736</v>
      </c>
      <c r="X2" s="228">
        <v>2.4</v>
      </c>
      <c r="Y2" s="230" t="s">
        <v>350</v>
      </c>
      <c r="Z2" s="231">
        <v>4342</v>
      </c>
      <c r="AA2" s="232">
        <v>5</v>
      </c>
      <c r="AB2" s="233">
        <v>750</v>
      </c>
      <c r="AC2" s="233">
        <v>169334.74299999999</v>
      </c>
      <c r="AD2" s="231">
        <v>39</v>
      </c>
      <c r="AE2" s="234">
        <v>14.48</v>
      </c>
      <c r="AF2" s="234">
        <v>2.7318000000000002</v>
      </c>
      <c r="AG2" s="228">
        <v>82.46</v>
      </c>
      <c r="AH2" s="228">
        <v>17.540000000000006</v>
      </c>
      <c r="AI2" s="234">
        <v>11.07</v>
      </c>
      <c r="AJ2" s="228">
        <v>7.2002999999999995</v>
      </c>
      <c r="AK2" s="228">
        <v>5.4542134733766918</v>
      </c>
      <c r="AL2" s="228">
        <v>9.5414999999999992</v>
      </c>
      <c r="AM2" s="235">
        <v>99331</v>
      </c>
      <c r="AN2" s="235">
        <v>100676</v>
      </c>
      <c r="AO2" s="229">
        <v>101221</v>
      </c>
      <c r="AP2" s="229">
        <v>127668</v>
      </c>
      <c r="AQ2" s="235">
        <v>22593000</v>
      </c>
      <c r="AR2" s="234">
        <v>1091.2911172293871</v>
      </c>
      <c r="AS2" s="235">
        <v>20703</v>
      </c>
      <c r="AT2" s="236">
        <v>24086000</v>
      </c>
      <c r="AU2" s="237">
        <v>1145.0984120947039</v>
      </c>
      <c r="AV2" s="235">
        <v>21034</v>
      </c>
      <c r="AW2" s="236">
        <v>25396000</v>
      </c>
      <c r="AX2" s="238">
        <v>1189.3410761953824</v>
      </c>
      <c r="AY2" s="235">
        <v>21353</v>
      </c>
      <c r="AZ2" s="228">
        <v>69.899999999999991</v>
      </c>
      <c r="BA2" s="228">
        <v>17.988104715964969</v>
      </c>
      <c r="BB2" s="236">
        <v>532000</v>
      </c>
      <c r="BC2" s="239">
        <v>3005.6497175141244</v>
      </c>
      <c r="BD2" s="229">
        <v>177</v>
      </c>
      <c r="BE2" s="236">
        <v>9445000</v>
      </c>
      <c r="BF2" s="234">
        <v>5507.288629737609</v>
      </c>
      <c r="BG2" s="229">
        <v>1715</v>
      </c>
      <c r="BH2" s="240" t="s">
        <v>382</v>
      </c>
      <c r="BI2" s="240" t="s">
        <v>382</v>
      </c>
      <c r="BJ2" s="241">
        <v>0</v>
      </c>
      <c r="BK2" s="238">
        <v>86.001958895202549</v>
      </c>
      <c r="BL2" s="242">
        <v>10770000</v>
      </c>
      <c r="BM2" s="228">
        <v>10.640084567431659</v>
      </c>
      <c r="BN2" s="221">
        <v>26264000</v>
      </c>
      <c r="BO2" s="228">
        <v>25.94718487270428</v>
      </c>
      <c r="BP2" s="221">
        <v>13431000</v>
      </c>
      <c r="BQ2" s="228">
        <v>13.268985684788728</v>
      </c>
      <c r="BR2" s="235">
        <v>10312000</v>
      </c>
      <c r="BS2" s="228">
        <v>10.187609290562236</v>
      </c>
      <c r="BT2" s="235">
        <v>18802000</v>
      </c>
      <c r="BU2" s="228">
        <v>18.575196846504184</v>
      </c>
      <c r="BV2" s="221">
        <v>8984000</v>
      </c>
      <c r="BW2" s="228">
        <v>8.8756285750980535</v>
      </c>
      <c r="BX2" s="229">
        <v>12658000</v>
      </c>
      <c r="BY2" s="228">
        <v>12.505310162910858</v>
      </c>
      <c r="BZ2" s="243">
        <v>210.83747699776831</v>
      </c>
      <c r="CA2" s="244">
        <v>262.93019067381857</v>
      </c>
      <c r="CB2" s="245">
        <v>471.12485807133629</v>
      </c>
      <c r="CC2" s="238">
        <v>201.87150072432559</v>
      </c>
      <c r="CD2" s="244">
        <v>324.36083160408754</v>
      </c>
      <c r="CE2" s="245">
        <v>43.028855565561251</v>
      </c>
      <c r="CF2" s="245">
        <v>247.79765866645786</v>
      </c>
      <c r="CG2" s="245">
        <v>43.714028424885477</v>
      </c>
      <c r="CH2" s="238">
        <v>175.87408480482361</v>
      </c>
      <c r="CI2" s="231">
        <v>993</v>
      </c>
      <c r="CJ2" s="246">
        <v>196.55317753945582</v>
      </c>
      <c r="CK2" s="247">
        <v>44.03102206571603</v>
      </c>
      <c r="CL2" s="248">
        <v>8502.3739999999998</v>
      </c>
      <c r="CM2" s="228">
        <v>26.483537726043188</v>
      </c>
      <c r="CN2" s="248">
        <v>5633.51</v>
      </c>
      <c r="CO2" s="228">
        <v>17.547484339672845</v>
      </c>
      <c r="CP2" s="249">
        <v>17968.5</v>
      </c>
      <c r="CQ2" s="228">
        <v>55.969009082687613</v>
      </c>
      <c r="CR2" s="231">
        <v>29780</v>
      </c>
      <c r="CS2" s="250">
        <v>52.374076561450636</v>
      </c>
      <c r="CT2" s="228">
        <v>565.11</v>
      </c>
      <c r="CU2" s="228">
        <v>11.062800986648918</v>
      </c>
      <c r="CV2" s="250">
        <v>2024.98</v>
      </c>
      <c r="CW2" s="227">
        <v>2</v>
      </c>
      <c r="CX2" s="227">
        <v>13</v>
      </c>
      <c r="CY2" s="251">
        <v>2</v>
      </c>
      <c r="CZ2" s="252">
        <v>7.2286715477076076</v>
      </c>
      <c r="DA2" s="235">
        <v>8694000</v>
      </c>
      <c r="DB2" s="235">
        <v>7816000</v>
      </c>
      <c r="DC2" s="235">
        <v>10185000</v>
      </c>
      <c r="DD2" s="235">
        <v>7817000</v>
      </c>
      <c r="DE2" s="235">
        <v>9074000</v>
      </c>
      <c r="DF2" s="253">
        <v>8951000</v>
      </c>
      <c r="DG2" s="228">
        <v>101.37</v>
      </c>
      <c r="DH2" s="228">
        <v>81.42</v>
      </c>
      <c r="DI2" s="228">
        <v>2.7</v>
      </c>
      <c r="DJ2" s="254" t="s">
        <v>388</v>
      </c>
      <c r="DK2" s="229">
        <v>13000</v>
      </c>
      <c r="DL2" s="229">
        <v>214000</v>
      </c>
      <c r="DM2" s="229">
        <v>0</v>
      </c>
      <c r="DN2" s="229">
        <v>5620</v>
      </c>
      <c r="DO2" s="229">
        <v>14535</v>
      </c>
      <c r="DP2" s="229">
        <v>304000</v>
      </c>
      <c r="DQ2" s="255">
        <v>1</v>
      </c>
      <c r="DR2" s="229">
        <v>6585</v>
      </c>
      <c r="DS2" s="256">
        <v>0</v>
      </c>
      <c r="DT2" s="227">
        <v>9</v>
      </c>
      <c r="DU2" s="257">
        <v>5675.7777777777774</v>
      </c>
      <c r="DV2" s="228">
        <v>22.222222222222221</v>
      </c>
      <c r="DW2" s="228">
        <v>77.777777777777786</v>
      </c>
      <c r="DX2" s="228">
        <v>0</v>
      </c>
      <c r="DY2" s="228">
        <v>0</v>
      </c>
      <c r="DZ2" s="228">
        <v>0</v>
      </c>
      <c r="EA2" s="228">
        <v>55.555555555555557</v>
      </c>
      <c r="EB2" s="228">
        <v>44.444444444444443</v>
      </c>
      <c r="EC2" s="229">
        <v>456</v>
      </c>
      <c r="ED2" s="258">
        <v>112.0219298245614</v>
      </c>
    </row>
    <row r="3" spans="1:134" s="13" customFormat="1">
      <c r="A3" s="156" t="s">
        <v>150</v>
      </c>
      <c r="B3" s="285">
        <v>2014</v>
      </c>
      <c r="C3" s="259">
        <v>4</v>
      </c>
      <c r="D3" s="80" t="s">
        <v>342</v>
      </c>
      <c r="E3" s="56">
        <v>4230.8</v>
      </c>
      <c r="F3" s="56">
        <v>25327</v>
      </c>
      <c r="G3" s="82">
        <v>1.8703241895261846</v>
      </c>
      <c r="H3" s="179">
        <v>6</v>
      </c>
      <c r="I3" s="56">
        <v>12125</v>
      </c>
      <c r="J3" s="56">
        <v>47.873810557902637</v>
      </c>
      <c r="K3" s="56">
        <v>13202</v>
      </c>
      <c r="L3" s="84">
        <v>52.12618944209737</v>
      </c>
      <c r="M3" s="160">
        <v>27.800371145417934</v>
      </c>
      <c r="N3" s="160">
        <v>51.743198957634142</v>
      </c>
      <c r="O3" s="160">
        <v>20.456429896947924</v>
      </c>
      <c r="P3" s="160">
        <v>45.887787736407788</v>
      </c>
      <c r="Q3" s="160">
        <v>33.655782366644296</v>
      </c>
      <c r="R3" s="160">
        <v>20.456429896947924</v>
      </c>
      <c r="S3" s="83">
        <v>6.2894125456355798</v>
      </c>
      <c r="T3" s="83">
        <v>6.5</v>
      </c>
      <c r="U3" s="38">
        <v>103</v>
      </c>
      <c r="V3" s="41">
        <v>7.6</v>
      </c>
      <c r="W3" s="40">
        <v>42594</v>
      </c>
      <c r="X3" s="41">
        <v>2.4</v>
      </c>
      <c r="Y3" s="42" t="s">
        <v>140</v>
      </c>
      <c r="Z3" s="43">
        <v>2277</v>
      </c>
      <c r="AA3" s="45">
        <v>1</v>
      </c>
      <c r="AB3" s="63">
        <v>154</v>
      </c>
      <c r="AC3" s="63">
        <v>18988.026999999998</v>
      </c>
      <c r="AD3" s="43">
        <v>68</v>
      </c>
      <c r="AE3" s="44">
        <v>0.51</v>
      </c>
      <c r="AF3" s="44">
        <v>1.5724</v>
      </c>
      <c r="AG3" s="41">
        <v>81.06</v>
      </c>
      <c r="AH3" s="41">
        <v>18.939999999999998</v>
      </c>
      <c r="AI3" s="44">
        <v>8.85</v>
      </c>
      <c r="AJ3" s="41">
        <v>4.5924000000000005</v>
      </c>
      <c r="AK3" s="41">
        <v>7.1101292750777283</v>
      </c>
      <c r="AL3" s="41">
        <v>14.5014</v>
      </c>
      <c r="AM3" s="39">
        <v>49115</v>
      </c>
      <c r="AN3" s="39">
        <v>50003</v>
      </c>
      <c r="AO3" s="40">
        <v>48637</v>
      </c>
      <c r="AP3" s="40">
        <v>52051</v>
      </c>
      <c r="AQ3" s="39">
        <v>7659000</v>
      </c>
      <c r="AR3" s="44">
        <v>873.31812998859755</v>
      </c>
      <c r="AS3" s="39">
        <v>8770</v>
      </c>
      <c r="AT3" s="46">
        <v>7950000</v>
      </c>
      <c r="AU3" s="50">
        <v>901.36054421768711</v>
      </c>
      <c r="AV3" s="39">
        <v>8820</v>
      </c>
      <c r="AW3" s="46">
        <v>8775000</v>
      </c>
      <c r="AX3" s="47">
        <v>986.06585009551634</v>
      </c>
      <c r="AY3" s="39">
        <v>8899</v>
      </c>
      <c r="AZ3" s="41">
        <v>71.5</v>
      </c>
      <c r="BA3" s="41">
        <v>17.676143386897404</v>
      </c>
      <c r="BB3" s="46">
        <v>2547000</v>
      </c>
      <c r="BC3" s="48">
        <v>2842.6339285714284</v>
      </c>
      <c r="BD3" s="40">
        <v>896</v>
      </c>
      <c r="BE3" s="46">
        <v>2246000</v>
      </c>
      <c r="BF3" s="44">
        <v>3852.4871355060036</v>
      </c>
      <c r="BG3" s="40">
        <v>583</v>
      </c>
      <c r="BH3" s="46">
        <v>24000</v>
      </c>
      <c r="BI3" s="49">
        <v>2400</v>
      </c>
      <c r="BJ3" s="45">
        <v>10</v>
      </c>
      <c r="BK3" s="47">
        <v>140.17675470865214</v>
      </c>
      <c r="BL3" s="55">
        <v>1267000</v>
      </c>
      <c r="BM3" s="41">
        <v>2.6050126446943684</v>
      </c>
      <c r="BN3" s="56">
        <v>13131000</v>
      </c>
      <c r="BO3" s="41">
        <v>26.997964512613855</v>
      </c>
      <c r="BP3" s="56">
        <v>6924000</v>
      </c>
      <c r="BQ3" s="41">
        <v>14.23607541583568</v>
      </c>
      <c r="BR3" s="39">
        <v>4206000</v>
      </c>
      <c r="BS3" s="41">
        <v>8.6477373193247935</v>
      </c>
      <c r="BT3" s="39">
        <v>6572000</v>
      </c>
      <c r="BU3" s="41">
        <v>13.512346567428091</v>
      </c>
      <c r="BV3" s="56">
        <v>7491000</v>
      </c>
      <c r="BW3" s="41">
        <v>15.401854555174044</v>
      </c>
      <c r="BX3" s="40">
        <v>9046000</v>
      </c>
      <c r="BY3" s="41">
        <v>18.599008984929171</v>
      </c>
      <c r="BZ3" s="57">
        <v>50.025664310814548</v>
      </c>
      <c r="CA3" s="58">
        <v>273.3841355075611</v>
      </c>
      <c r="CB3" s="59">
        <v>422.63197378291943</v>
      </c>
      <c r="CC3" s="47">
        <v>166.06783274766059</v>
      </c>
      <c r="CD3" s="58">
        <v>192.24542977849725</v>
      </c>
      <c r="CE3" s="59">
        <v>95.826588226003864</v>
      </c>
      <c r="CF3" s="59">
        <v>357.16823942827813</v>
      </c>
      <c r="CG3" s="59">
        <v>67.24049433410984</v>
      </c>
      <c r="CH3" s="47">
        <v>295.77131124886483</v>
      </c>
      <c r="CI3" s="43">
        <v>1070</v>
      </c>
      <c r="CJ3" s="44">
        <v>297.22440723676817</v>
      </c>
      <c r="CK3" s="60">
        <v>49.518915405270796</v>
      </c>
      <c r="CL3" s="53">
        <v>3817.6970000000001</v>
      </c>
      <c r="CM3" s="41">
        <v>29.034727088029133</v>
      </c>
      <c r="CN3" s="53">
        <v>2693.41</v>
      </c>
      <c r="CO3" s="41">
        <v>20.48418831724166</v>
      </c>
      <c r="CP3" s="54">
        <v>6637.62</v>
      </c>
      <c r="CQ3" s="41">
        <v>50.481084594729211</v>
      </c>
      <c r="CR3" s="43">
        <v>13891</v>
      </c>
      <c r="CS3" s="52">
        <v>57.173709596141386</v>
      </c>
      <c r="CT3" s="41">
        <v>1064.9399999999998</v>
      </c>
      <c r="CU3" s="41">
        <v>42.047617167449751</v>
      </c>
      <c r="CV3" s="52">
        <v>1972</v>
      </c>
      <c r="CW3" s="38">
        <v>1</v>
      </c>
      <c r="CX3" s="38">
        <v>6</v>
      </c>
      <c r="CY3" s="51">
        <v>1</v>
      </c>
      <c r="CZ3" s="61">
        <v>10.1</v>
      </c>
      <c r="DA3" s="39">
        <v>10818000</v>
      </c>
      <c r="DB3" s="39">
        <v>5817000</v>
      </c>
      <c r="DC3" s="39">
        <v>10508000</v>
      </c>
      <c r="DD3" s="39">
        <v>8966000</v>
      </c>
      <c r="DE3" s="39">
        <v>7987000</v>
      </c>
      <c r="DF3" s="62">
        <v>9189000</v>
      </c>
      <c r="DG3" s="41">
        <v>86.92</v>
      </c>
      <c r="DH3" s="41">
        <v>41.48</v>
      </c>
      <c r="DI3" s="41">
        <v>5.27</v>
      </c>
      <c r="DJ3" s="37" t="s">
        <v>388</v>
      </c>
      <c r="DK3" s="40">
        <v>8000</v>
      </c>
      <c r="DL3" s="40">
        <v>197000</v>
      </c>
      <c r="DM3" s="40">
        <v>0</v>
      </c>
      <c r="DN3" s="40">
        <v>13213.51</v>
      </c>
      <c r="DO3" s="40">
        <v>1986.1599999999999</v>
      </c>
      <c r="DP3" s="40">
        <v>208330</v>
      </c>
      <c r="DQ3" s="64">
        <v>0</v>
      </c>
      <c r="DR3" s="40">
        <v>32000</v>
      </c>
      <c r="DS3" s="65">
        <v>1</v>
      </c>
      <c r="DT3" s="38">
        <v>10</v>
      </c>
      <c r="DU3" s="66">
        <v>2532.6999999999998</v>
      </c>
      <c r="DV3" s="41">
        <v>20</v>
      </c>
      <c r="DW3" s="41">
        <v>80</v>
      </c>
      <c r="DX3" s="41">
        <v>10</v>
      </c>
      <c r="DY3" s="41">
        <v>20</v>
      </c>
      <c r="DZ3" s="41">
        <v>0</v>
      </c>
      <c r="EA3" s="41">
        <v>70</v>
      </c>
      <c r="EB3" s="41">
        <v>30</v>
      </c>
      <c r="EC3" s="40">
        <v>231</v>
      </c>
      <c r="ED3" s="184">
        <v>109.64069264069263</v>
      </c>
    </row>
    <row r="4" spans="1:134" s="13" customFormat="1">
      <c r="A4" s="156" t="s">
        <v>151</v>
      </c>
      <c r="B4" s="285">
        <v>2014</v>
      </c>
      <c r="C4" s="259">
        <v>2</v>
      </c>
      <c r="D4" s="80" t="s">
        <v>343</v>
      </c>
      <c r="E4" s="56">
        <v>8.3000000000000007</v>
      </c>
      <c r="F4" s="56">
        <v>44498</v>
      </c>
      <c r="G4" s="82">
        <v>4.0499462189589854</v>
      </c>
      <c r="H4" s="179">
        <v>5373.4</v>
      </c>
      <c r="I4" s="56">
        <v>21819</v>
      </c>
      <c r="J4" s="56">
        <v>49.033664434356602</v>
      </c>
      <c r="K4" s="56">
        <v>22679</v>
      </c>
      <c r="L4" s="84">
        <v>50.966335565643398</v>
      </c>
      <c r="M4" s="160">
        <v>20.023371836936491</v>
      </c>
      <c r="N4" s="160">
        <v>61.178030473279698</v>
      </c>
      <c r="O4" s="160">
        <v>18.798597689783811</v>
      </c>
      <c r="P4" s="160">
        <v>37.794957076722554</v>
      </c>
      <c r="Q4" s="160">
        <v>43.406445233493642</v>
      </c>
      <c r="R4" s="160">
        <v>18.798597689783811</v>
      </c>
      <c r="S4" s="83">
        <v>0.57022226535960396</v>
      </c>
      <c r="T4" s="83">
        <v>44.4</v>
      </c>
      <c r="U4" s="38">
        <v>122</v>
      </c>
      <c r="V4" s="41">
        <v>4.7</v>
      </c>
      <c r="W4" s="40">
        <v>55015</v>
      </c>
      <c r="X4" s="41">
        <v>2.5</v>
      </c>
      <c r="Y4" s="42" t="s">
        <v>350</v>
      </c>
      <c r="Z4" s="43">
        <v>3738</v>
      </c>
      <c r="AA4" s="45">
        <v>36</v>
      </c>
      <c r="AB4" s="63">
        <v>269</v>
      </c>
      <c r="AC4" s="63">
        <v>246349.50399999999</v>
      </c>
      <c r="AD4" s="43">
        <v>56</v>
      </c>
      <c r="AE4" s="44">
        <v>-6.59</v>
      </c>
      <c r="AF4" s="44">
        <v>1.5091999999999999</v>
      </c>
      <c r="AG4" s="41">
        <v>83.07</v>
      </c>
      <c r="AH4" s="41">
        <v>16.930000000000007</v>
      </c>
      <c r="AI4" s="44">
        <v>4</v>
      </c>
      <c r="AJ4" s="41">
        <v>0.64760000000000006</v>
      </c>
      <c r="AK4" s="41">
        <v>13.977965499330217</v>
      </c>
      <c r="AL4" s="41">
        <v>7.3449</v>
      </c>
      <c r="AM4" s="39">
        <v>33969</v>
      </c>
      <c r="AN4" s="39">
        <v>35854</v>
      </c>
      <c r="AO4" s="40">
        <v>40551</v>
      </c>
      <c r="AP4" s="40">
        <v>41100</v>
      </c>
      <c r="AQ4" s="39">
        <v>14800000</v>
      </c>
      <c r="AR4" s="44">
        <v>979.74314841784724</v>
      </c>
      <c r="AS4" s="39">
        <v>15106</v>
      </c>
      <c r="AT4" s="46">
        <v>15810000</v>
      </c>
      <c r="AU4" s="50">
        <v>1044.184664156925</v>
      </c>
      <c r="AV4" s="39">
        <v>15141</v>
      </c>
      <c r="AW4" s="46">
        <v>15670000</v>
      </c>
      <c r="AX4" s="47">
        <v>1021.2460896767466</v>
      </c>
      <c r="AY4" s="39">
        <v>15344</v>
      </c>
      <c r="AZ4" s="41">
        <v>75.900000000000006</v>
      </c>
      <c r="BA4" s="41">
        <v>14.240093847758081</v>
      </c>
      <c r="BB4" s="48" t="s">
        <v>382</v>
      </c>
      <c r="BC4" s="48" t="s">
        <v>382</v>
      </c>
      <c r="BD4" s="40">
        <v>0</v>
      </c>
      <c r="BE4" s="46">
        <v>3757000</v>
      </c>
      <c r="BF4" s="44">
        <v>4542.9262394195885</v>
      </c>
      <c r="BG4" s="40">
        <v>827</v>
      </c>
      <c r="BH4" s="49" t="s">
        <v>382</v>
      </c>
      <c r="BI4" s="49" t="s">
        <v>382</v>
      </c>
      <c r="BJ4" s="213">
        <v>0</v>
      </c>
      <c r="BK4" s="47">
        <v>345.60838781077882</v>
      </c>
      <c r="BL4" s="55">
        <v>13182000</v>
      </c>
      <c r="BM4" s="41">
        <v>32.507213139010133</v>
      </c>
      <c r="BN4" s="56">
        <v>1534000</v>
      </c>
      <c r="BO4" s="41">
        <v>3.7828906808710019</v>
      </c>
      <c r="BP4" s="56">
        <v>7995000</v>
      </c>
      <c r="BQ4" s="41">
        <v>19.715913294370051</v>
      </c>
      <c r="BR4" s="39">
        <v>5382000</v>
      </c>
      <c r="BS4" s="41">
        <v>13.272175778649109</v>
      </c>
      <c r="BT4" s="39">
        <v>7704000</v>
      </c>
      <c r="BU4" s="41">
        <v>18.998298439002738</v>
      </c>
      <c r="BV4" s="56">
        <v>3717000</v>
      </c>
      <c r="BW4" s="41">
        <v>9.1662351113412743</v>
      </c>
      <c r="BX4" s="40">
        <v>1037000</v>
      </c>
      <c r="BY4" s="41">
        <v>2.5572735567556903</v>
      </c>
      <c r="BZ4" s="57">
        <v>296.23803317003012</v>
      </c>
      <c r="CA4" s="58">
        <v>179.67099644927862</v>
      </c>
      <c r="CB4" s="43" t="s">
        <v>382</v>
      </c>
      <c r="CC4" s="47">
        <v>120.94925614634366</v>
      </c>
      <c r="CD4" s="58">
        <v>132.90484965616432</v>
      </c>
      <c r="CE4" s="59">
        <v>34.473459481325001</v>
      </c>
      <c r="CF4" s="59">
        <v>23.304418176097801</v>
      </c>
      <c r="CG4" s="59">
        <v>40.226527034922917</v>
      </c>
      <c r="CH4" s="47">
        <v>83.531844127825963</v>
      </c>
      <c r="CI4" s="43" t="s">
        <v>382</v>
      </c>
      <c r="CJ4" s="44">
        <v>402.56777893639207</v>
      </c>
      <c r="CK4" s="60">
        <v>31.339761859375219</v>
      </c>
      <c r="CL4" s="53">
        <v>3649.4</v>
      </c>
      <c r="CM4" s="41">
        <v>21.209254101904847</v>
      </c>
      <c r="CN4" s="53">
        <v>1743.12</v>
      </c>
      <c r="CO4" s="41">
        <v>10.130507757470372</v>
      </c>
      <c r="CP4" s="54">
        <v>11814.13</v>
      </c>
      <c r="CQ4" s="41">
        <v>68.660296257723758</v>
      </c>
      <c r="CR4" s="43">
        <v>7892</v>
      </c>
      <c r="CS4" s="52">
        <v>57.767359351241765</v>
      </c>
      <c r="CT4" s="41">
        <v>97.62</v>
      </c>
      <c r="CU4" s="41">
        <v>2.1938064632118301</v>
      </c>
      <c r="CV4" s="52">
        <v>51</v>
      </c>
      <c r="CW4" s="38">
        <v>1</v>
      </c>
      <c r="CX4" s="38">
        <v>4</v>
      </c>
      <c r="CY4" s="51">
        <v>2</v>
      </c>
      <c r="CZ4" s="61">
        <v>7.8082160995999823</v>
      </c>
      <c r="DA4" s="39">
        <v>1825000</v>
      </c>
      <c r="DB4" s="39">
        <v>2332000</v>
      </c>
      <c r="DC4" s="39">
        <v>2743000</v>
      </c>
      <c r="DD4" s="39">
        <v>3301000</v>
      </c>
      <c r="DE4" s="39">
        <v>2937000</v>
      </c>
      <c r="DF4" s="62">
        <v>3144000</v>
      </c>
      <c r="DG4" s="41">
        <v>93.42</v>
      </c>
      <c r="DH4" s="41">
        <v>105.60000000000001</v>
      </c>
      <c r="DI4" s="41">
        <v>11.37</v>
      </c>
      <c r="DJ4" s="37" t="s">
        <v>388</v>
      </c>
      <c r="DK4" s="40">
        <v>34000</v>
      </c>
      <c r="DL4" s="40">
        <v>254000</v>
      </c>
      <c r="DM4" s="40">
        <v>0</v>
      </c>
      <c r="DN4" s="40">
        <v>16637</v>
      </c>
      <c r="DO4" s="40">
        <v>0</v>
      </c>
      <c r="DP4" s="40">
        <v>230000</v>
      </c>
      <c r="DQ4" s="64">
        <v>14</v>
      </c>
      <c r="DR4" s="40">
        <v>20356</v>
      </c>
      <c r="DS4" s="65">
        <v>1</v>
      </c>
      <c r="DT4" s="38">
        <v>12</v>
      </c>
      <c r="DU4" s="66">
        <v>3708.1666666666665</v>
      </c>
      <c r="DV4" s="41">
        <v>50</v>
      </c>
      <c r="DW4" s="41">
        <v>50</v>
      </c>
      <c r="DX4" s="41">
        <v>0</v>
      </c>
      <c r="DY4" s="41">
        <v>41.666666666666671</v>
      </c>
      <c r="DZ4" s="41">
        <v>8.3333333333333321</v>
      </c>
      <c r="EA4" s="41">
        <v>33.333333333333329</v>
      </c>
      <c r="EB4" s="41">
        <v>58.333333333333336</v>
      </c>
      <c r="EC4" s="40">
        <v>178</v>
      </c>
      <c r="ED4" s="184">
        <v>249.98876404494382</v>
      </c>
    </row>
    <row r="5" spans="1:134" s="13" customFormat="1">
      <c r="A5" s="156" t="s">
        <v>152</v>
      </c>
      <c r="B5" s="285">
        <v>2014</v>
      </c>
      <c r="C5" s="259">
        <v>3</v>
      </c>
      <c r="D5" s="80" t="s">
        <v>343</v>
      </c>
      <c r="E5" s="56">
        <v>32.5</v>
      </c>
      <c r="F5" s="56">
        <v>85446</v>
      </c>
      <c r="G5" s="82">
        <v>14.049652963160705</v>
      </c>
      <c r="H5" s="179">
        <v>2631</v>
      </c>
      <c r="I5" s="56">
        <v>44426</v>
      </c>
      <c r="J5" s="56">
        <v>51.993071647590291</v>
      </c>
      <c r="K5" s="56">
        <v>41020</v>
      </c>
      <c r="L5" s="84">
        <v>48.006928352409709</v>
      </c>
      <c r="M5" s="160">
        <v>25.742574257425744</v>
      </c>
      <c r="N5" s="160">
        <v>61.662336446410606</v>
      </c>
      <c r="O5" s="160">
        <v>12.595089296163659</v>
      </c>
      <c r="P5" s="160">
        <v>45.352620368419821</v>
      </c>
      <c r="Q5" s="160">
        <v>42.052290335416522</v>
      </c>
      <c r="R5" s="160">
        <v>12.595089296163659</v>
      </c>
      <c r="S5" s="83">
        <v>0.61026051343251198</v>
      </c>
      <c r="T5" s="83">
        <v>71</v>
      </c>
      <c r="U5" s="38">
        <v>62</v>
      </c>
      <c r="V5" s="41">
        <v>7.4</v>
      </c>
      <c r="W5" s="40">
        <v>41553</v>
      </c>
      <c r="X5" s="41">
        <v>3.1</v>
      </c>
      <c r="Y5" s="42" t="s">
        <v>95</v>
      </c>
      <c r="Z5" s="43">
        <v>8042</v>
      </c>
      <c r="AA5" s="45">
        <v>9</v>
      </c>
      <c r="AB5" s="63">
        <v>403</v>
      </c>
      <c r="AC5" s="63">
        <v>860177.32900000003</v>
      </c>
      <c r="AD5" s="43">
        <v>111</v>
      </c>
      <c r="AE5" s="44">
        <v>2</v>
      </c>
      <c r="AF5" s="44">
        <v>6.0060000000000002</v>
      </c>
      <c r="AG5" s="41">
        <v>79.760000000000005</v>
      </c>
      <c r="AH5" s="41">
        <v>20.239999999999995</v>
      </c>
      <c r="AI5" s="44">
        <v>1.87</v>
      </c>
      <c r="AJ5" s="41">
        <v>5.6847000000000003</v>
      </c>
      <c r="AK5" s="41">
        <v>3.9113781449493055</v>
      </c>
      <c r="AL5" s="41">
        <v>11.4366</v>
      </c>
      <c r="AM5" s="39">
        <v>60026</v>
      </c>
      <c r="AN5" s="39">
        <v>60103</v>
      </c>
      <c r="AO5" s="40">
        <v>65246</v>
      </c>
      <c r="AP5" s="40">
        <v>73808</v>
      </c>
      <c r="AQ5" s="39">
        <v>14464000</v>
      </c>
      <c r="AR5" s="44">
        <v>583.95575114053861</v>
      </c>
      <c r="AS5" s="39">
        <v>24769</v>
      </c>
      <c r="AT5" s="46">
        <v>15496000</v>
      </c>
      <c r="AU5" s="50">
        <v>625.64599483204131</v>
      </c>
      <c r="AV5" s="39">
        <v>24768</v>
      </c>
      <c r="AW5" s="46">
        <v>15954000</v>
      </c>
      <c r="AX5" s="47">
        <v>628.01133679735472</v>
      </c>
      <c r="AY5" s="39">
        <v>25404</v>
      </c>
      <c r="AZ5" s="41">
        <v>73.7</v>
      </c>
      <c r="BA5" s="41">
        <v>14.537080774681153</v>
      </c>
      <c r="BB5" s="48" t="s">
        <v>382</v>
      </c>
      <c r="BC5" s="48" t="s">
        <v>382</v>
      </c>
      <c r="BD5" s="40">
        <v>0</v>
      </c>
      <c r="BE5" s="46">
        <v>18160000</v>
      </c>
      <c r="BF5" s="44">
        <v>7409.2207262341899</v>
      </c>
      <c r="BG5" s="40">
        <v>2451</v>
      </c>
      <c r="BH5" s="49" t="s">
        <v>382</v>
      </c>
      <c r="BI5" s="49" t="s">
        <v>382</v>
      </c>
      <c r="BJ5" s="213">
        <v>0</v>
      </c>
      <c r="BK5" s="47">
        <v>235.51184780442048</v>
      </c>
      <c r="BL5" s="55">
        <v>13747000</v>
      </c>
      <c r="BM5" s="41">
        <v>21.069490850013793</v>
      </c>
      <c r="BN5" s="56">
        <v>1971000</v>
      </c>
      <c r="BO5" s="41">
        <v>3.0208748429022467</v>
      </c>
      <c r="BP5" s="56">
        <v>13318000</v>
      </c>
      <c r="BQ5" s="41">
        <v>20.411979278423196</v>
      </c>
      <c r="BR5" s="39">
        <v>7654000</v>
      </c>
      <c r="BS5" s="41">
        <v>11.730987340220091</v>
      </c>
      <c r="BT5" s="39">
        <v>11667000</v>
      </c>
      <c r="BU5" s="41">
        <v>17.88155595745333</v>
      </c>
      <c r="BV5" s="56">
        <v>3073000</v>
      </c>
      <c r="BW5" s="41">
        <v>4.7098672715568775</v>
      </c>
      <c r="BX5" s="40">
        <v>13816000</v>
      </c>
      <c r="BY5" s="41">
        <v>21.175244459430466</v>
      </c>
      <c r="BZ5" s="57">
        <v>160.8852374599162</v>
      </c>
      <c r="CA5" s="58">
        <v>155.86452262247502</v>
      </c>
      <c r="CB5" s="43" t="s">
        <v>382</v>
      </c>
      <c r="CC5" s="47">
        <v>89.57704281066404</v>
      </c>
      <c r="CD5" s="58">
        <v>106.69896776911733</v>
      </c>
      <c r="CE5" s="59">
        <v>23.067200337054981</v>
      </c>
      <c r="CF5" s="59">
        <v>161.69276502118296</v>
      </c>
      <c r="CG5" s="59">
        <v>29.843409872902185</v>
      </c>
      <c r="CH5" s="47">
        <v>35.964234721344475</v>
      </c>
      <c r="CI5" s="43" t="s">
        <v>382</v>
      </c>
      <c r="CJ5" s="44">
        <v>420.68178239647301</v>
      </c>
      <c r="CK5" s="60">
        <v>33.595293568254881</v>
      </c>
      <c r="CL5" s="53">
        <v>3938.53</v>
      </c>
      <c r="CM5" s="41">
        <v>11.699923387399828</v>
      </c>
      <c r="CN5" s="53">
        <v>6196.0599999999995</v>
      </c>
      <c r="CO5" s="41">
        <v>18.406214324565909</v>
      </c>
      <c r="CP5" s="54">
        <v>22353.74</v>
      </c>
      <c r="CQ5" s="41">
        <v>66.404736138065488</v>
      </c>
      <c r="CR5" s="43">
        <v>8425</v>
      </c>
      <c r="CS5" s="52">
        <v>62.836795252225521</v>
      </c>
      <c r="CT5" s="41">
        <v>225</v>
      </c>
      <c r="CU5" s="41">
        <v>2.6332420476090164</v>
      </c>
      <c r="CV5" s="52">
        <v>202</v>
      </c>
      <c r="CW5" s="38">
        <v>1</v>
      </c>
      <c r="CX5" s="38">
        <v>5</v>
      </c>
      <c r="CY5" s="51">
        <v>3</v>
      </c>
      <c r="CZ5" s="61">
        <v>3.0780492942911311</v>
      </c>
      <c r="DA5" s="39">
        <v>7894000</v>
      </c>
      <c r="DB5" s="39">
        <v>8520000</v>
      </c>
      <c r="DC5" s="39">
        <v>6991000</v>
      </c>
      <c r="DD5" s="39">
        <v>8776000</v>
      </c>
      <c r="DE5" s="39">
        <v>6012000</v>
      </c>
      <c r="DF5" s="62">
        <v>5966000</v>
      </c>
      <c r="DG5" s="41">
        <v>100.77000000000001</v>
      </c>
      <c r="DH5" s="41">
        <v>70.97</v>
      </c>
      <c r="DI5" s="41">
        <v>1.6500000000000001</v>
      </c>
      <c r="DJ5" s="37" t="s">
        <v>388</v>
      </c>
      <c r="DK5" s="40">
        <v>293000</v>
      </c>
      <c r="DL5" s="40">
        <v>207000</v>
      </c>
      <c r="DM5" s="40">
        <v>0</v>
      </c>
      <c r="DN5" s="40">
        <v>65256</v>
      </c>
      <c r="DO5" s="40">
        <v>0</v>
      </c>
      <c r="DP5" s="40">
        <v>343845</v>
      </c>
      <c r="DQ5" s="64">
        <v>2</v>
      </c>
      <c r="DR5" s="40">
        <v>0</v>
      </c>
      <c r="DS5" s="65">
        <v>0</v>
      </c>
      <c r="DT5" s="38">
        <v>10</v>
      </c>
      <c r="DU5" s="66">
        <v>8544.6</v>
      </c>
      <c r="DV5" s="41">
        <v>30</v>
      </c>
      <c r="DW5" s="41">
        <v>70</v>
      </c>
      <c r="DX5" s="41">
        <v>0</v>
      </c>
      <c r="DY5" s="41">
        <v>50</v>
      </c>
      <c r="DZ5" s="41">
        <v>0</v>
      </c>
      <c r="EA5" s="41">
        <v>70</v>
      </c>
      <c r="EB5" s="41">
        <v>20</v>
      </c>
      <c r="EC5" s="40">
        <v>279</v>
      </c>
      <c r="ED5" s="184">
        <v>306.25806451612902</v>
      </c>
    </row>
    <row r="6" spans="1:134" s="13" customFormat="1">
      <c r="A6" s="156" t="s">
        <v>153</v>
      </c>
      <c r="B6" s="285">
        <v>2014</v>
      </c>
      <c r="C6" s="259">
        <v>4</v>
      </c>
      <c r="D6" s="80" t="s">
        <v>342</v>
      </c>
      <c r="E6" s="56">
        <v>484.7</v>
      </c>
      <c r="F6" s="56">
        <v>41644</v>
      </c>
      <c r="G6" s="82">
        <v>3.3478099019729495</v>
      </c>
      <c r="H6" s="179">
        <v>85.9</v>
      </c>
      <c r="I6" s="56">
        <v>20142</v>
      </c>
      <c r="J6" s="56">
        <v>48.367111708769571</v>
      </c>
      <c r="K6" s="56">
        <v>21502</v>
      </c>
      <c r="L6" s="84">
        <v>51.632888291230429</v>
      </c>
      <c r="M6" s="160">
        <v>23.110171933531841</v>
      </c>
      <c r="N6" s="160">
        <v>46.789453462683703</v>
      </c>
      <c r="O6" s="160">
        <v>30.100374603784459</v>
      </c>
      <c r="P6" s="160">
        <v>31.411487849390067</v>
      </c>
      <c r="Q6" s="160">
        <v>38.48813754682547</v>
      </c>
      <c r="R6" s="160">
        <v>30.100374603784459</v>
      </c>
      <c r="S6" s="83">
        <v>3.1166450232984495</v>
      </c>
      <c r="T6" s="83">
        <v>3.3</v>
      </c>
      <c r="U6" s="38">
        <v>99</v>
      </c>
      <c r="V6" s="41">
        <v>7</v>
      </c>
      <c r="W6" s="40">
        <v>40734</v>
      </c>
      <c r="X6" s="41">
        <v>2.4</v>
      </c>
      <c r="Y6" s="42" t="s">
        <v>350</v>
      </c>
      <c r="Z6" s="43">
        <v>4040</v>
      </c>
      <c r="AA6" s="45">
        <v>12</v>
      </c>
      <c r="AB6" s="63">
        <v>669</v>
      </c>
      <c r="AC6" s="63">
        <v>139487.07199999999</v>
      </c>
      <c r="AD6" s="43">
        <v>45</v>
      </c>
      <c r="AE6" s="44">
        <v>-4.8499999999999996</v>
      </c>
      <c r="AF6" s="44">
        <v>3.2637</v>
      </c>
      <c r="AG6" s="41">
        <v>73.11</v>
      </c>
      <c r="AH6" s="41">
        <v>26.89</v>
      </c>
      <c r="AI6" s="44">
        <v>4.7699999999999996</v>
      </c>
      <c r="AJ6" s="41">
        <v>1.7922</v>
      </c>
      <c r="AK6" s="41">
        <v>15.01990736978955</v>
      </c>
      <c r="AL6" s="41">
        <v>9.7256</v>
      </c>
      <c r="AM6" s="39">
        <v>87680</v>
      </c>
      <c r="AN6" s="39">
        <v>82943</v>
      </c>
      <c r="AO6" s="40">
        <v>90618</v>
      </c>
      <c r="AP6" s="40">
        <v>90272</v>
      </c>
      <c r="AQ6" s="39">
        <v>11446000</v>
      </c>
      <c r="AR6" s="44">
        <v>757.21090235512042</v>
      </c>
      <c r="AS6" s="39">
        <v>15116</v>
      </c>
      <c r="AT6" s="46">
        <v>12199000</v>
      </c>
      <c r="AU6" s="50">
        <v>795.55236728837872</v>
      </c>
      <c r="AV6" s="39">
        <v>15334</v>
      </c>
      <c r="AW6" s="46">
        <v>12576000</v>
      </c>
      <c r="AX6" s="47">
        <v>815.3526970954357</v>
      </c>
      <c r="AY6" s="39">
        <v>15424</v>
      </c>
      <c r="AZ6" s="41">
        <v>71.599999999999994</v>
      </c>
      <c r="BA6" s="41">
        <v>22.691908713692946</v>
      </c>
      <c r="BB6" s="46">
        <v>1387000</v>
      </c>
      <c r="BC6" s="48">
        <v>1320.952380952381</v>
      </c>
      <c r="BD6" s="40">
        <v>1050</v>
      </c>
      <c r="BE6" s="46">
        <v>3381000</v>
      </c>
      <c r="BF6" s="44">
        <v>2676.959619952494</v>
      </c>
      <c r="BG6" s="40">
        <v>1263</v>
      </c>
      <c r="BH6" s="49" t="s">
        <v>382</v>
      </c>
      <c r="BI6" s="49" t="s">
        <v>382</v>
      </c>
      <c r="BJ6" s="213">
        <v>0</v>
      </c>
      <c r="BK6" s="47">
        <v>301.4539889875461</v>
      </c>
      <c r="BL6" s="55">
        <v>4951000</v>
      </c>
      <c r="BM6" s="41">
        <v>5.4635944293628196</v>
      </c>
      <c r="BN6" s="56">
        <v>40703000</v>
      </c>
      <c r="BO6" s="41">
        <v>44.917124633075105</v>
      </c>
      <c r="BP6" s="56">
        <v>11266000</v>
      </c>
      <c r="BQ6" s="41">
        <v>12.43240857224834</v>
      </c>
      <c r="BR6" s="39">
        <v>5135000</v>
      </c>
      <c r="BS6" s="41">
        <v>5.6666445959963809</v>
      </c>
      <c r="BT6" s="39">
        <v>7394000</v>
      </c>
      <c r="BU6" s="41">
        <v>8.1595268048290617</v>
      </c>
      <c r="BV6" s="56">
        <v>13637000</v>
      </c>
      <c r="BW6" s="41">
        <v>15.048886534684058</v>
      </c>
      <c r="BX6" s="40">
        <v>7532000</v>
      </c>
      <c r="BY6" s="41">
        <v>8.3118144298042331</v>
      </c>
      <c r="BZ6" s="57">
        <v>118.88867543943906</v>
      </c>
      <c r="CA6" s="58">
        <v>270.53116895591199</v>
      </c>
      <c r="CB6" s="59">
        <v>919.1960426472001</v>
      </c>
      <c r="CC6" s="47">
        <v>123.30707905100374</v>
      </c>
      <c r="CD6" s="58">
        <v>140.42839304581693</v>
      </c>
      <c r="CE6" s="59">
        <v>58.20766496974354</v>
      </c>
      <c r="CF6" s="59">
        <v>180.86639131687639</v>
      </c>
      <c r="CG6" s="59">
        <v>37.124195562385935</v>
      </c>
      <c r="CH6" s="47">
        <v>327.46614158102005</v>
      </c>
      <c r="CI6" s="43">
        <v>1362</v>
      </c>
      <c r="CJ6" s="44">
        <v>367.09024896265561</v>
      </c>
      <c r="CK6" s="60">
        <v>59.187774598310106</v>
      </c>
      <c r="CL6" s="53">
        <v>5528.3703999999998</v>
      </c>
      <c r="CM6" s="41">
        <v>24.455301296640428</v>
      </c>
      <c r="CN6" s="53">
        <v>7851.63</v>
      </c>
      <c r="CO6" s="41">
        <v>34.732473301669671</v>
      </c>
      <c r="CP6" s="54">
        <v>9226.0300000000007</v>
      </c>
      <c r="CQ6" s="41">
        <v>40.812269637693504</v>
      </c>
      <c r="CR6" s="43">
        <v>15019</v>
      </c>
      <c r="CS6" s="52">
        <v>63.66602303748585</v>
      </c>
      <c r="CT6" s="41">
        <v>656.71999999999991</v>
      </c>
      <c r="CU6" s="41">
        <v>15.769858803188933</v>
      </c>
      <c r="CV6" s="52">
        <v>393</v>
      </c>
      <c r="CW6" s="38">
        <v>3</v>
      </c>
      <c r="CX6" s="38">
        <v>13</v>
      </c>
      <c r="CY6" s="51">
        <v>3</v>
      </c>
      <c r="CZ6" s="61">
        <v>10.0713187974258</v>
      </c>
      <c r="DA6" s="39">
        <v>9978000</v>
      </c>
      <c r="DB6" s="39">
        <v>9088000</v>
      </c>
      <c r="DC6" s="39">
        <v>7680000</v>
      </c>
      <c r="DD6" s="39">
        <v>8079000</v>
      </c>
      <c r="DE6" s="39">
        <v>7224000</v>
      </c>
      <c r="DF6" s="62">
        <v>7224000</v>
      </c>
      <c r="DG6" s="41">
        <v>100</v>
      </c>
      <c r="DH6" s="41">
        <v>71.48</v>
      </c>
      <c r="DI6" s="41">
        <v>0.72</v>
      </c>
      <c r="DJ6" s="37" t="s">
        <v>388</v>
      </c>
      <c r="DK6" s="40">
        <v>29000</v>
      </c>
      <c r="DL6" s="40">
        <v>217000</v>
      </c>
      <c r="DM6" s="40">
        <v>0</v>
      </c>
      <c r="DN6" s="40">
        <v>20394</v>
      </c>
      <c r="DO6" s="40">
        <v>13376</v>
      </c>
      <c r="DP6" s="40">
        <v>297265</v>
      </c>
      <c r="DQ6" s="64">
        <v>1</v>
      </c>
      <c r="DR6" s="40">
        <v>1500</v>
      </c>
      <c r="DS6" s="65">
        <v>0</v>
      </c>
      <c r="DT6" s="38">
        <v>10</v>
      </c>
      <c r="DU6" s="66">
        <v>4164.3999999999996</v>
      </c>
      <c r="DV6" s="41">
        <v>30</v>
      </c>
      <c r="DW6" s="41">
        <v>70</v>
      </c>
      <c r="DX6" s="41">
        <v>0</v>
      </c>
      <c r="DY6" s="41">
        <v>0</v>
      </c>
      <c r="DZ6" s="41">
        <v>10</v>
      </c>
      <c r="EA6" s="41">
        <v>50</v>
      </c>
      <c r="EB6" s="41">
        <v>40</v>
      </c>
      <c r="EC6" s="40">
        <v>274</v>
      </c>
      <c r="ED6" s="184">
        <v>151.98540145985402</v>
      </c>
    </row>
    <row r="7" spans="1:134" s="13" customFormat="1">
      <c r="A7" s="156" t="s">
        <v>154</v>
      </c>
      <c r="B7" s="285">
        <v>2014</v>
      </c>
      <c r="C7" s="259">
        <v>9</v>
      </c>
      <c r="D7" s="80" t="s">
        <v>344</v>
      </c>
      <c r="E7" s="56">
        <v>21693.1</v>
      </c>
      <c r="F7" s="56">
        <v>2400</v>
      </c>
      <c r="G7" s="82">
        <v>-0.16638935108153077</v>
      </c>
      <c r="H7" s="179">
        <v>0.1</v>
      </c>
      <c r="I7" s="56">
        <v>1272</v>
      </c>
      <c r="J7" s="56">
        <v>53</v>
      </c>
      <c r="K7" s="56">
        <v>1128</v>
      </c>
      <c r="L7" s="84">
        <v>47</v>
      </c>
      <c r="M7" s="160">
        <v>22.833333333333332</v>
      </c>
      <c r="N7" s="160">
        <v>54</v>
      </c>
      <c r="O7" s="160">
        <v>23.166666666666664</v>
      </c>
      <c r="P7" s="160">
        <v>33.458333333333336</v>
      </c>
      <c r="Q7" s="160">
        <v>43.375</v>
      </c>
      <c r="R7" s="160">
        <v>23.166666666666664</v>
      </c>
      <c r="S7" s="83">
        <v>6.8331143232588696</v>
      </c>
      <c r="T7" s="83">
        <v>7.6</v>
      </c>
      <c r="U7" s="38">
        <v>33</v>
      </c>
      <c r="V7" s="41">
        <v>5.8</v>
      </c>
      <c r="W7" s="40">
        <v>40429</v>
      </c>
      <c r="X7" s="41">
        <v>2.5</v>
      </c>
      <c r="Y7" s="42" t="s">
        <v>351</v>
      </c>
      <c r="Z7" s="43">
        <v>298</v>
      </c>
      <c r="AA7" s="45">
        <v>8</v>
      </c>
      <c r="AB7" s="67">
        <v>35</v>
      </c>
      <c r="AC7" s="63">
        <v>2893.933</v>
      </c>
      <c r="AD7" s="43">
        <v>13</v>
      </c>
      <c r="AE7" s="44">
        <v>-38.630000000000003</v>
      </c>
      <c r="AF7" s="44">
        <v>1.9461000000000002</v>
      </c>
      <c r="AG7" s="41">
        <v>36.22</v>
      </c>
      <c r="AH7" s="41">
        <v>63.78</v>
      </c>
      <c r="AI7" s="44">
        <v>15.45</v>
      </c>
      <c r="AJ7" s="41">
        <v>5.9759000000000002</v>
      </c>
      <c r="AK7" s="41">
        <v>4.5530107129663833</v>
      </c>
      <c r="AL7" s="41">
        <v>5.8366999999999996</v>
      </c>
      <c r="AM7" s="39">
        <v>17715</v>
      </c>
      <c r="AN7" s="39">
        <v>18231.057000000001</v>
      </c>
      <c r="AO7" s="40">
        <v>15011</v>
      </c>
      <c r="AP7" s="40">
        <v>12061</v>
      </c>
      <c r="AQ7" s="39">
        <v>198000</v>
      </c>
      <c r="AR7" s="44">
        <v>221.47651006711411</v>
      </c>
      <c r="AS7" s="39">
        <v>894</v>
      </c>
      <c r="AT7" s="46">
        <v>207000</v>
      </c>
      <c r="AU7" s="50">
        <v>230.76923076923077</v>
      </c>
      <c r="AV7" s="39">
        <v>897</v>
      </c>
      <c r="AW7" s="46">
        <v>195000</v>
      </c>
      <c r="AX7" s="47">
        <v>216.66666666666666</v>
      </c>
      <c r="AY7" s="39">
        <v>900</v>
      </c>
      <c r="AZ7" s="41">
        <v>55.900000000000006</v>
      </c>
      <c r="BA7" s="41">
        <v>16.111111111111111</v>
      </c>
      <c r="BB7" s="46">
        <v>835000</v>
      </c>
      <c r="BC7" s="48">
        <v>1819.1721132897603</v>
      </c>
      <c r="BD7" s="40">
        <v>459</v>
      </c>
      <c r="BE7" s="46">
        <v>144000</v>
      </c>
      <c r="BF7" s="44">
        <v>888.88888888888891</v>
      </c>
      <c r="BG7" s="40">
        <v>162</v>
      </c>
      <c r="BH7" s="46">
        <v>4000</v>
      </c>
      <c r="BI7" s="49">
        <v>363.63636363636363</v>
      </c>
      <c r="BJ7" s="45">
        <v>11</v>
      </c>
      <c r="BK7" s="47">
        <v>179.84719015280135</v>
      </c>
      <c r="BL7" s="55">
        <v>2571000</v>
      </c>
      <c r="BM7" s="41">
        <v>17.127439877423221</v>
      </c>
      <c r="BN7" s="56">
        <v>1665000</v>
      </c>
      <c r="BO7" s="41">
        <v>11.09186596495903</v>
      </c>
      <c r="BP7" s="56">
        <v>452000</v>
      </c>
      <c r="BQ7" s="41">
        <v>3.0111251748717609</v>
      </c>
      <c r="BR7" s="39">
        <v>1747000</v>
      </c>
      <c r="BS7" s="41">
        <v>11.638132036506562</v>
      </c>
      <c r="BT7" s="39">
        <v>986000</v>
      </c>
      <c r="BU7" s="41">
        <v>6.5685164212910525</v>
      </c>
      <c r="BV7" s="56">
        <v>6104000</v>
      </c>
      <c r="BW7" s="41">
        <v>40.663513423489441</v>
      </c>
      <c r="BX7" s="40">
        <v>1486000</v>
      </c>
      <c r="BY7" s="41">
        <v>9.8994071014589302</v>
      </c>
      <c r="BZ7" s="57">
        <v>1071.25</v>
      </c>
      <c r="CA7" s="58">
        <v>188.33333333333334</v>
      </c>
      <c r="CB7" s="59">
        <v>536.66666666666663</v>
      </c>
      <c r="CC7" s="47">
        <v>727.91666666666663</v>
      </c>
      <c r="CD7" s="58">
        <v>385.41666666666669</v>
      </c>
      <c r="CE7" s="59">
        <v>157.08333333333334</v>
      </c>
      <c r="CF7" s="59">
        <v>619.16666666666663</v>
      </c>
      <c r="CG7" s="59">
        <v>25.416666666666668</v>
      </c>
      <c r="CH7" s="47">
        <v>2543.3333333333335</v>
      </c>
      <c r="CI7" s="43">
        <v>1067</v>
      </c>
      <c r="CJ7" s="44">
        <v>221.11111111111111</v>
      </c>
      <c r="CK7" s="60">
        <v>38.809444629198545</v>
      </c>
      <c r="CL7" s="53">
        <v>39.799999999999997</v>
      </c>
      <c r="CM7" s="41">
        <v>3.3089457931493182</v>
      </c>
      <c r="CN7" s="53">
        <v>427</v>
      </c>
      <c r="CO7" s="41">
        <v>35.500498836049218</v>
      </c>
      <c r="CP7" s="54">
        <v>736</v>
      </c>
      <c r="CQ7" s="41">
        <v>61.190555370801469</v>
      </c>
      <c r="CR7" s="43">
        <v>296</v>
      </c>
      <c r="CS7" s="52">
        <v>79.729729729729726</v>
      </c>
      <c r="CT7" s="41">
        <v>1586.61</v>
      </c>
      <c r="CU7" s="41">
        <v>661.08749999999998</v>
      </c>
      <c r="CV7" s="52">
        <v>58.18</v>
      </c>
      <c r="CW7" s="38">
        <v>1</v>
      </c>
      <c r="CX7" s="38">
        <v>4</v>
      </c>
      <c r="CY7" s="51">
        <v>1</v>
      </c>
      <c r="CZ7" s="61">
        <v>20.514583333333334</v>
      </c>
      <c r="DA7" s="39">
        <v>4746000</v>
      </c>
      <c r="DB7" s="39">
        <v>4344000</v>
      </c>
      <c r="DC7" s="39">
        <v>4681000</v>
      </c>
      <c r="DD7" s="39">
        <v>4344000</v>
      </c>
      <c r="DE7" s="39">
        <v>1944000</v>
      </c>
      <c r="DF7" s="62">
        <v>1723000</v>
      </c>
      <c r="DG7" s="41">
        <v>112.83000000000001</v>
      </c>
      <c r="DH7" s="41">
        <v>0</v>
      </c>
      <c r="DI7" s="41">
        <v>10.99</v>
      </c>
      <c r="DJ7" s="37" t="s">
        <v>389</v>
      </c>
      <c r="DK7" s="40">
        <v>90000</v>
      </c>
      <c r="DL7" s="40">
        <v>99000</v>
      </c>
      <c r="DM7" s="40">
        <v>0</v>
      </c>
      <c r="DN7" s="40">
        <v>34584</v>
      </c>
      <c r="DO7" s="40">
        <v>0</v>
      </c>
      <c r="DP7" s="40">
        <v>198000</v>
      </c>
      <c r="DQ7" s="64">
        <v>0</v>
      </c>
      <c r="DR7" s="40">
        <v>0</v>
      </c>
      <c r="DS7" s="65">
        <v>0</v>
      </c>
      <c r="DT7" s="38">
        <v>8</v>
      </c>
      <c r="DU7" s="66">
        <v>300</v>
      </c>
      <c r="DV7" s="41">
        <v>25</v>
      </c>
      <c r="DW7" s="41">
        <v>75</v>
      </c>
      <c r="DX7" s="41">
        <v>0</v>
      </c>
      <c r="DY7" s="41">
        <v>0</v>
      </c>
      <c r="DZ7" s="41">
        <v>0</v>
      </c>
      <c r="EA7" s="41">
        <v>75</v>
      </c>
      <c r="EB7" s="41">
        <v>25</v>
      </c>
      <c r="EC7" s="40">
        <v>63</v>
      </c>
      <c r="ED7" s="184">
        <v>38.095238095238095</v>
      </c>
    </row>
    <row r="8" spans="1:134" s="13" customFormat="1">
      <c r="A8" s="156" t="s">
        <v>155</v>
      </c>
      <c r="B8" s="285">
        <v>2014</v>
      </c>
      <c r="C8" s="259">
        <v>3</v>
      </c>
      <c r="D8" s="80" t="s">
        <v>343</v>
      </c>
      <c r="E8" s="56">
        <v>76.8</v>
      </c>
      <c r="F8" s="56">
        <v>200357</v>
      </c>
      <c r="G8" s="82">
        <v>7.8521828066964519</v>
      </c>
      <c r="H8" s="179">
        <v>2608.8000000000002</v>
      </c>
      <c r="I8" s="56">
        <v>99346</v>
      </c>
      <c r="J8" s="56">
        <v>49.584491682347007</v>
      </c>
      <c r="K8" s="56">
        <v>101011</v>
      </c>
      <c r="L8" s="84">
        <v>50.415508317652993</v>
      </c>
      <c r="M8" s="160">
        <v>28.28151749127807</v>
      </c>
      <c r="N8" s="160">
        <v>53.121677805117862</v>
      </c>
      <c r="O8" s="160">
        <v>18.596804703604068</v>
      </c>
      <c r="P8" s="160">
        <v>42.694789800206628</v>
      </c>
      <c r="Q8" s="160">
        <v>38.7084054961893</v>
      </c>
      <c r="R8" s="160">
        <v>18.596804703604068</v>
      </c>
      <c r="S8" s="83">
        <v>0.76006843906291133</v>
      </c>
      <c r="T8" s="83">
        <v>54.7</v>
      </c>
      <c r="U8" s="38">
        <v>67</v>
      </c>
      <c r="V8" s="41">
        <v>8.8000000000000007</v>
      </c>
      <c r="W8" s="40">
        <v>44140</v>
      </c>
      <c r="X8" s="41">
        <v>3</v>
      </c>
      <c r="Y8" s="42" t="s">
        <v>95</v>
      </c>
      <c r="Z8" s="43">
        <v>15744</v>
      </c>
      <c r="AA8" s="45">
        <v>17</v>
      </c>
      <c r="AB8" s="63">
        <v>1382</v>
      </c>
      <c r="AC8" s="63">
        <v>657447.46200000006</v>
      </c>
      <c r="AD8" s="43">
        <v>64</v>
      </c>
      <c r="AE8" s="44">
        <v>-2.2599999999999998</v>
      </c>
      <c r="AF8" s="44">
        <v>2.5577000000000001</v>
      </c>
      <c r="AG8" s="41">
        <v>85.67</v>
      </c>
      <c r="AH8" s="41">
        <v>14.329999999999998</v>
      </c>
      <c r="AI8" s="44">
        <v>4.43</v>
      </c>
      <c r="AJ8" s="41">
        <v>9.315199999999999</v>
      </c>
      <c r="AK8" s="41">
        <v>2.2030990259631884</v>
      </c>
      <c r="AL8" s="41">
        <v>7.0044000000000004</v>
      </c>
      <c r="AM8" s="39">
        <v>146897</v>
      </c>
      <c r="AN8" s="39">
        <v>148389</v>
      </c>
      <c r="AO8" s="40">
        <v>153167</v>
      </c>
      <c r="AP8" s="40">
        <v>161414</v>
      </c>
      <c r="AQ8" s="39">
        <v>53730000</v>
      </c>
      <c r="AR8" s="44">
        <v>918.24178828998186</v>
      </c>
      <c r="AS8" s="39">
        <v>58514</v>
      </c>
      <c r="AT8" s="46">
        <v>55754000</v>
      </c>
      <c r="AU8" s="50">
        <v>945.36760716223546</v>
      </c>
      <c r="AV8" s="39">
        <v>58976</v>
      </c>
      <c r="AW8" s="46">
        <v>57339000</v>
      </c>
      <c r="AX8" s="47">
        <v>960.79022771829284</v>
      </c>
      <c r="AY8" s="39">
        <v>59679</v>
      </c>
      <c r="AZ8" s="41">
        <v>69.399999999999991</v>
      </c>
      <c r="BA8" s="41">
        <v>23.730290386903267</v>
      </c>
      <c r="BB8" s="48" t="s">
        <v>382</v>
      </c>
      <c r="BC8" s="48" t="s">
        <v>382</v>
      </c>
      <c r="BD8" s="40">
        <v>0</v>
      </c>
      <c r="BE8" s="46">
        <v>27200000</v>
      </c>
      <c r="BF8" s="44">
        <v>5882.3529411764703</v>
      </c>
      <c r="BG8" s="40">
        <v>4624</v>
      </c>
      <c r="BH8" s="49" t="s">
        <v>382</v>
      </c>
      <c r="BI8" s="49" t="s">
        <v>382</v>
      </c>
      <c r="BJ8" s="213">
        <v>0</v>
      </c>
      <c r="BK8" s="47">
        <v>283.46511597014398</v>
      </c>
      <c r="BL8" s="55">
        <v>44537000</v>
      </c>
      <c r="BM8" s="41">
        <v>29.077412236317222</v>
      </c>
      <c r="BN8" s="56">
        <v>8854000</v>
      </c>
      <c r="BO8" s="41">
        <v>5.7806185405472457</v>
      </c>
      <c r="BP8" s="56">
        <v>35081000</v>
      </c>
      <c r="BQ8" s="41">
        <v>22.903758642527439</v>
      </c>
      <c r="BR8" s="39">
        <v>16625000</v>
      </c>
      <c r="BS8" s="41">
        <v>10.854165714546866</v>
      </c>
      <c r="BT8" s="39">
        <v>25235000</v>
      </c>
      <c r="BU8" s="41">
        <v>16.475481010922717</v>
      </c>
      <c r="BV8" s="56">
        <v>19424000</v>
      </c>
      <c r="BW8" s="41">
        <v>12.681582847480202</v>
      </c>
      <c r="BX8" s="40">
        <v>3411000</v>
      </c>
      <c r="BY8" s="41">
        <v>2.2269810076583076</v>
      </c>
      <c r="BZ8" s="57">
        <v>222.28821553526956</v>
      </c>
      <c r="CA8" s="58">
        <v>175.09245995897322</v>
      </c>
      <c r="CB8" s="43" t="s">
        <v>382</v>
      </c>
      <c r="CC8" s="47">
        <v>82.976886258029424</v>
      </c>
      <c r="CD8" s="58">
        <v>88.157638615072102</v>
      </c>
      <c r="CE8" s="59">
        <v>44.191118852847666</v>
      </c>
      <c r="CF8" s="59">
        <v>17.024611069241406</v>
      </c>
      <c r="CG8" s="59">
        <v>37.792540315536769</v>
      </c>
      <c r="CH8" s="47">
        <v>96.946949694794796</v>
      </c>
      <c r="CI8" s="43" t="s">
        <v>382</v>
      </c>
      <c r="CJ8" s="44">
        <v>413.16040818378326</v>
      </c>
      <c r="CK8" s="60">
        <v>38.004025226344332</v>
      </c>
      <c r="CL8" s="53">
        <v>13275.73</v>
      </c>
      <c r="CM8" s="41">
        <v>15.856919328253028</v>
      </c>
      <c r="CN8" s="53">
        <v>18542</v>
      </c>
      <c r="CO8" s="41">
        <v>22.147105898091301</v>
      </c>
      <c r="CP8" s="54">
        <v>51904.27</v>
      </c>
      <c r="CQ8" s="41">
        <v>61.995974773655668</v>
      </c>
      <c r="CR8" s="43">
        <v>36328</v>
      </c>
      <c r="CS8" s="52">
        <v>70.70579167584232</v>
      </c>
      <c r="CT8" s="41">
        <v>596.85</v>
      </c>
      <c r="CU8" s="41">
        <v>2.9789326052995406</v>
      </c>
      <c r="CV8" s="52">
        <v>868.33</v>
      </c>
      <c r="CW8" s="38">
        <v>4</v>
      </c>
      <c r="CX8" s="38">
        <v>36</v>
      </c>
      <c r="CY8" s="51">
        <v>5</v>
      </c>
      <c r="CZ8" s="61">
        <v>3.6224139910260185</v>
      </c>
      <c r="DA8" s="39">
        <v>25693000</v>
      </c>
      <c r="DB8" s="39">
        <v>40558000</v>
      </c>
      <c r="DC8" s="39">
        <v>37657000</v>
      </c>
      <c r="DD8" s="39">
        <v>57747000</v>
      </c>
      <c r="DE8" s="39">
        <v>44949000</v>
      </c>
      <c r="DF8" s="62">
        <v>59575000</v>
      </c>
      <c r="DG8" s="41">
        <v>75.449999999999989</v>
      </c>
      <c r="DH8" s="41">
        <v>61.72</v>
      </c>
      <c r="DI8" s="41">
        <v>5.28</v>
      </c>
      <c r="DJ8" s="37" t="s">
        <v>388</v>
      </c>
      <c r="DK8" s="40">
        <v>123000</v>
      </c>
      <c r="DL8" s="40">
        <v>347000</v>
      </c>
      <c r="DM8" s="40">
        <v>18737</v>
      </c>
      <c r="DN8" s="40">
        <v>11544</v>
      </c>
      <c r="DO8" s="40">
        <v>19608</v>
      </c>
      <c r="DP8" s="40">
        <v>351950</v>
      </c>
      <c r="DQ8" s="64">
        <v>0</v>
      </c>
      <c r="DR8" s="40">
        <v>0</v>
      </c>
      <c r="DS8" s="65">
        <v>0</v>
      </c>
      <c r="DT8" s="38">
        <v>12</v>
      </c>
      <c r="DU8" s="66">
        <v>16696.416666666668</v>
      </c>
      <c r="DV8" s="41">
        <v>25</v>
      </c>
      <c r="DW8" s="41">
        <v>75</v>
      </c>
      <c r="DX8" s="41">
        <v>0</v>
      </c>
      <c r="DY8" s="41">
        <v>33.333333333333329</v>
      </c>
      <c r="DZ8" s="41">
        <v>8.3333333333333321</v>
      </c>
      <c r="EA8" s="41">
        <v>83.333333333333343</v>
      </c>
      <c r="EB8" s="41">
        <v>8.3333333333333321</v>
      </c>
      <c r="EC8" s="40">
        <v>721</v>
      </c>
      <c r="ED8" s="184">
        <v>277.8876560332871</v>
      </c>
    </row>
    <row r="9" spans="1:134" s="13" customFormat="1">
      <c r="A9" s="157" t="s">
        <v>156</v>
      </c>
      <c r="B9" s="285">
        <v>2014</v>
      </c>
      <c r="C9" s="259">
        <v>4</v>
      </c>
      <c r="D9" s="154" t="s">
        <v>342</v>
      </c>
      <c r="E9" s="75">
        <v>3816.4</v>
      </c>
      <c r="F9" s="75">
        <v>41682</v>
      </c>
      <c r="G9" s="82">
        <v>7.2950988467874787</v>
      </c>
      <c r="H9" s="179">
        <v>10.9</v>
      </c>
      <c r="I9" s="56">
        <v>21039</v>
      </c>
      <c r="J9" s="56">
        <v>50.475025190729816</v>
      </c>
      <c r="K9" s="56">
        <v>20643</v>
      </c>
      <c r="L9" s="84">
        <v>49.524974809270191</v>
      </c>
      <c r="M9" s="161">
        <v>27.72659661244662</v>
      </c>
      <c r="N9" s="161">
        <v>52.144810709658849</v>
      </c>
      <c r="O9" s="161">
        <v>20.128592677894535</v>
      </c>
      <c r="P9" s="160">
        <v>43.176910896789984</v>
      </c>
      <c r="Q9" s="160">
        <v>36.694496425315478</v>
      </c>
      <c r="R9" s="160">
        <v>20.128592677894535</v>
      </c>
      <c r="S9" s="149">
        <v>4.244768679578379</v>
      </c>
      <c r="T9" s="149">
        <v>3.3</v>
      </c>
      <c r="U9" s="68">
        <v>104</v>
      </c>
      <c r="V9" s="70">
        <v>6.3</v>
      </c>
      <c r="W9" s="71">
        <v>47492</v>
      </c>
      <c r="X9" s="70">
        <v>2.5</v>
      </c>
      <c r="Y9" s="42" t="s">
        <v>140</v>
      </c>
      <c r="Z9" s="43">
        <v>3221</v>
      </c>
      <c r="AA9" s="45">
        <v>26</v>
      </c>
      <c r="AB9" s="63">
        <v>477</v>
      </c>
      <c r="AC9" s="63">
        <v>102248.027</v>
      </c>
      <c r="AD9" s="43">
        <v>38</v>
      </c>
      <c r="AE9" s="44">
        <v>-1.26</v>
      </c>
      <c r="AF9" s="44">
        <v>2.5455000000000001</v>
      </c>
      <c r="AG9" s="41">
        <v>77.040000000000006</v>
      </c>
      <c r="AH9" s="41">
        <v>22.959999999999994</v>
      </c>
      <c r="AI9" s="44">
        <v>6.63</v>
      </c>
      <c r="AJ9" s="41">
        <v>4.1048</v>
      </c>
      <c r="AK9" s="41">
        <v>5.908665874800981</v>
      </c>
      <c r="AL9" s="41">
        <v>9.3537999999999997</v>
      </c>
      <c r="AM9" s="39">
        <v>76205</v>
      </c>
      <c r="AN9" s="39">
        <v>77770</v>
      </c>
      <c r="AO9" s="71">
        <v>80629</v>
      </c>
      <c r="AP9" s="71">
        <v>87652</v>
      </c>
      <c r="AQ9" s="69">
        <v>12867000</v>
      </c>
      <c r="AR9" s="44">
        <v>848.2431274309447</v>
      </c>
      <c r="AS9" s="69">
        <v>15169</v>
      </c>
      <c r="AT9" s="46">
        <v>13522000</v>
      </c>
      <c r="AU9" s="72">
        <v>877.99493539380558</v>
      </c>
      <c r="AV9" s="69">
        <v>15401</v>
      </c>
      <c r="AW9" s="46">
        <v>14210000</v>
      </c>
      <c r="AX9" s="47">
        <v>906.42342284875929</v>
      </c>
      <c r="AY9" s="69">
        <v>15677</v>
      </c>
      <c r="AZ9" s="41">
        <v>71.099999999999994</v>
      </c>
      <c r="BA9" s="70">
        <v>17.949862856413855</v>
      </c>
      <c r="BB9" s="46">
        <v>2048000</v>
      </c>
      <c r="BC9" s="48">
        <v>1433.1700489853044</v>
      </c>
      <c r="BD9" s="40">
        <v>1429</v>
      </c>
      <c r="BE9" s="46">
        <v>5429000</v>
      </c>
      <c r="BF9" s="44">
        <v>4163.3435582822085</v>
      </c>
      <c r="BG9" s="40">
        <v>1304</v>
      </c>
      <c r="BH9" s="46">
        <v>11000</v>
      </c>
      <c r="BI9" s="49">
        <v>500</v>
      </c>
      <c r="BJ9" s="45">
        <v>22</v>
      </c>
      <c r="BK9" s="47">
        <v>122.04</v>
      </c>
      <c r="BL9" s="76">
        <v>14489000</v>
      </c>
      <c r="BM9" s="70">
        <v>17.969961180220515</v>
      </c>
      <c r="BN9" s="75">
        <v>18509000</v>
      </c>
      <c r="BO9" s="41">
        <v>22.955760334371007</v>
      </c>
      <c r="BP9" s="75">
        <v>7075000</v>
      </c>
      <c r="BQ9" s="41">
        <v>8.7747584615957042</v>
      </c>
      <c r="BR9" s="69">
        <v>5349000</v>
      </c>
      <c r="BS9" s="41">
        <v>6.6340894715300944</v>
      </c>
      <c r="BT9" s="69">
        <v>14740000</v>
      </c>
      <c r="BU9" s="41">
        <v>18.28126356521847</v>
      </c>
      <c r="BV9" s="75">
        <v>12268000</v>
      </c>
      <c r="BW9" s="41">
        <v>15.215369159979661</v>
      </c>
      <c r="BX9" s="71">
        <v>8199000</v>
      </c>
      <c r="BY9" s="41">
        <v>10.168797827084548</v>
      </c>
      <c r="BZ9" s="57">
        <v>347.60808022647666</v>
      </c>
      <c r="CA9" s="58">
        <v>169.73753658653615</v>
      </c>
      <c r="CB9" s="59">
        <v>404.87500599779281</v>
      </c>
      <c r="CC9" s="47">
        <v>128.32877501079602</v>
      </c>
      <c r="CD9" s="58">
        <v>318.72271004270431</v>
      </c>
      <c r="CE9" s="59">
        <v>39.177582649584956</v>
      </c>
      <c r="CF9" s="59">
        <v>196.70361307039011</v>
      </c>
      <c r="CG9" s="59">
        <v>34.907154167266448</v>
      </c>
      <c r="CH9" s="47">
        <v>294.32368888249124</v>
      </c>
      <c r="CI9" s="43">
        <v>1001</v>
      </c>
      <c r="CJ9" s="44">
        <v>209.35127894367545</v>
      </c>
      <c r="CK9" s="60">
        <v>13.187279091691522</v>
      </c>
      <c r="CL9" s="74">
        <v>3734.4179999999997</v>
      </c>
      <c r="CM9" s="41">
        <v>11.054978656569613</v>
      </c>
      <c r="CN9" s="74">
        <v>720.3</v>
      </c>
      <c r="CO9" s="41">
        <v>2.1323004351219099</v>
      </c>
      <c r="CP9" s="75">
        <v>29325.7</v>
      </c>
      <c r="CQ9" s="41">
        <v>86.812720908308478</v>
      </c>
      <c r="CR9" s="43">
        <v>25107</v>
      </c>
      <c r="CS9" s="52">
        <v>38.845740231807859</v>
      </c>
      <c r="CT9" s="41">
        <v>1334.8799999999999</v>
      </c>
      <c r="CU9" s="41">
        <v>32.025334676838916</v>
      </c>
      <c r="CV9" s="73">
        <v>289</v>
      </c>
      <c r="CW9" s="68">
        <v>1</v>
      </c>
      <c r="CX9" s="68">
        <v>5</v>
      </c>
      <c r="CY9" s="51">
        <v>1</v>
      </c>
      <c r="CZ9" s="61">
        <v>7.2383522863586203</v>
      </c>
      <c r="DA9" s="69">
        <v>8887000</v>
      </c>
      <c r="DB9" s="69">
        <v>19472000</v>
      </c>
      <c r="DC9" s="69">
        <v>17458000</v>
      </c>
      <c r="DD9" s="69">
        <v>30887000</v>
      </c>
      <c r="DE9" s="69">
        <v>10069000</v>
      </c>
      <c r="DF9" s="77">
        <v>18557000</v>
      </c>
      <c r="DG9" s="41">
        <v>54.26</v>
      </c>
      <c r="DH9" s="41">
        <v>84.95</v>
      </c>
      <c r="DI9" s="41">
        <v>6.02</v>
      </c>
      <c r="DJ9" s="37" t="s">
        <v>388</v>
      </c>
      <c r="DK9" s="71">
        <v>55000</v>
      </c>
      <c r="DL9" s="40">
        <v>200000</v>
      </c>
      <c r="DM9" s="71">
        <v>0</v>
      </c>
      <c r="DN9" s="71">
        <v>13887</v>
      </c>
      <c r="DO9" s="71">
        <v>0</v>
      </c>
      <c r="DP9" s="40">
        <v>311737</v>
      </c>
      <c r="DQ9" s="64">
        <v>4</v>
      </c>
      <c r="DR9" s="40">
        <v>3965</v>
      </c>
      <c r="DS9" s="65">
        <v>0</v>
      </c>
      <c r="DT9" s="68">
        <v>9</v>
      </c>
      <c r="DU9" s="66">
        <v>4631.333333333333</v>
      </c>
      <c r="DV9" s="41">
        <v>11.111111111111111</v>
      </c>
      <c r="DW9" s="41">
        <v>88.888888888888886</v>
      </c>
      <c r="DX9" s="41">
        <v>0</v>
      </c>
      <c r="DY9" s="41">
        <v>0</v>
      </c>
      <c r="DZ9" s="41">
        <v>0</v>
      </c>
      <c r="EA9" s="41">
        <v>77.777777777777786</v>
      </c>
      <c r="EB9" s="41">
        <v>22.222222222222221</v>
      </c>
      <c r="EC9" s="71">
        <v>381</v>
      </c>
      <c r="ED9" s="184">
        <v>109.4015748031496</v>
      </c>
    </row>
    <row r="10" spans="1:134" s="13" customFormat="1">
      <c r="A10" s="156" t="s">
        <v>158</v>
      </c>
      <c r="B10" s="285">
        <v>2014</v>
      </c>
      <c r="C10" s="259">
        <v>4</v>
      </c>
      <c r="D10" s="80" t="s">
        <v>342</v>
      </c>
      <c r="E10" s="56">
        <v>6279</v>
      </c>
      <c r="F10" s="56">
        <v>33468</v>
      </c>
      <c r="G10" s="82">
        <v>2.5996321275291234</v>
      </c>
      <c r="H10" s="179">
        <v>5.3</v>
      </c>
      <c r="I10" s="56">
        <v>16470</v>
      </c>
      <c r="J10" s="56">
        <v>49.211186805306561</v>
      </c>
      <c r="K10" s="56">
        <v>16998</v>
      </c>
      <c r="L10" s="84">
        <v>50.788813194693439</v>
      </c>
      <c r="M10" s="160">
        <v>22.370622684355205</v>
      </c>
      <c r="N10" s="160">
        <v>45.201386398948252</v>
      </c>
      <c r="O10" s="160">
        <v>32.427990916696544</v>
      </c>
      <c r="P10" s="160">
        <v>29.846420461336205</v>
      </c>
      <c r="Q10" s="160">
        <v>37.725588621967255</v>
      </c>
      <c r="R10" s="160">
        <v>32.427990916696544</v>
      </c>
      <c r="S10" s="83">
        <v>2.8388994960718645</v>
      </c>
      <c r="T10" s="83">
        <v>2.9</v>
      </c>
      <c r="U10" s="38">
        <v>71</v>
      </c>
      <c r="V10" s="41">
        <v>4.8</v>
      </c>
      <c r="W10" s="40">
        <v>38010</v>
      </c>
      <c r="X10" s="41">
        <v>2.2999999999999998</v>
      </c>
      <c r="Y10" s="42" t="s">
        <v>350</v>
      </c>
      <c r="Z10" s="43">
        <v>2856</v>
      </c>
      <c r="AA10" s="45">
        <v>0</v>
      </c>
      <c r="AB10" s="63">
        <v>478</v>
      </c>
      <c r="AC10" s="63">
        <v>70569.391000000003</v>
      </c>
      <c r="AD10" s="43">
        <v>39</v>
      </c>
      <c r="AE10" s="44">
        <v>-0.72</v>
      </c>
      <c r="AF10" s="44">
        <v>1.3125</v>
      </c>
      <c r="AG10" s="41">
        <v>74.52</v>
      </c>
      <c r="AH10" s="41">
        <v>25.480000000000004</v>
      </c>
      <c r="AI10" s="44">
        <v>3.71</v>
      </c>
      <c r="AJ10" s="41">
        <v>4.5823999999999998</v>
      </c>
      <c r="AK10" s="41">
        <v>6.6910983916500477</v>
      </c>
      <c r="AL10" s="41">
        <v>11.8546</v>
      </c>
      <c r="AM10" s="39">
        <v>83106</v>
      </c>
      <c r="AN10" s="39">
        <v>78107</v>
      </c>
      <c r="AO10" s="40">
        <v>77775</v>
      </c>
      <c r="AP10" s="40">
        <v>84492</v>
      </c>
      <c r="AQ10" s="39">
        <v>14894000</v>
      </c>
      <c r="AR10" s="44">
        <v>852.20575613663675</v>
      </c>
      <c r="AS10" s="39">
        <v>17477</v>
      </c>
      <c r="AT10" s="46">
        <v>15800000</v>
      </c>
      <c r="AU10" s="50">
        <v>905.85941979130837</v>
      </c>
      <c r="AV10" s="39">
        <v>17442</v>
      </c>
      <c r="AW10" s="46">
        <v>16285000</v>
      </c>
      <c r="AX10" s="47">
        <v>928.2375740994072</v>
      </c>
      <c r="AY10" s="39">
        <v>17544</v>
      </c>
      <c r="AZ10" s="41">
        <v>69.699999999999989</v>
      </c>
      <c r="BA10" s="41">
        <v>22.264021887824896</v>
      </c>
      <c r="BB10" s="46">
        <v>1837000</v>
      </c>
      <c r="BC10" s="48">
        <v>1831.505483549352</v>
      </c>
      <c r="BD10" s="40">
        <v>1003</v>
      </c>
      <c r="BE10" s="46">
        <v>2083000</v>
      </c>
      <c r="BF10" s="44">
        <v>2427.7389277389279</v>
      </c>
      <c r="BG10" s="40">
        <v>858</v>
      </c>
      <c r="BH10" s="49" t="s">
        <v>382</v>
      </c>
      <c r="BI10" s="49" t="s">
        <v>382</v>
      </c>
      <c r="BJ10" s="213">
        <v>0</v>
      </c>
      <c r="BK10" s="47">
        <v>149.90028656273199</v>
      </c>
      <c r="BL10" s="55">
        <v>11230000</v>
      </c>
      <c r="BM10" s="41">
        <v>14.439087110253936</v>
      </c>
      <c r="BN10" s="56">
        <v>30490000</v>
      </c>
      <c r="BO10" s="41">
        <v>39.20282867245259</v>
      </c>
      <c r="BP10" s="56">
        <v>9370000</v>
      </c>
      <c r="BQ10" s="41">
        <v>12.047573127611701</v>
      </c>
      <c r="BR10" s="39">
        <v>8739000</v>
      </c>
      <c r="BS10" s="41">
        <v>11.23625843780135</v>
      </c>
      <c r="BT10" s="39">
        <v>5254000</v>
      </c>
      <c r="BU10" s="41">
        <v>6.7553841208614589</v>
      </c>
      <c r="BV10" s="56">
        <v>15440000</v>
      </c>
      <c r="BW10" s="41">
        <v>19.852137576342013</v>
      </c>
      <c r="BX10" s="40">
        <v>-2748000</v>
      </c>
      <c r="BY10" s="41">
        <v>-3.5332690453230473</v>
      </c>
      <c r="BZ10" s="57">
        <v>335.54440062148916</v>
      </c>
      <c r="CA10" s="58">
        <v>279.96892554081512</v>
      </c>
      <c r="CB10" s="59">
        <v>842.62579180112346</v>
      </c>
      <c r="CC10" s="47">
        <v>261.11509501613483</v>
      </c>
      <c r="CD10" s="58">
        <v>113.42177602485957</v>
      </c>
      <c r="CE10" s="59">
        <v>68.393689494442455</v>
      </c>
      <c r="CF10" s="59">
        <v>-82.108282538544287</v>
      </c>
      <c r="CG10" s="59">
        <v>43.564001434205807</v>
      </c>
      <c r="CH10" s="47">
        <v>461.33620174495042</v>
      </c>
      <c r="CI10" s="43">
        <v>1650</v>
      </c>
      <c r="CJ10" s="44">
        <v>375.11399908800729</v>
      </c>
      <c r="CK10" s="60">
        <v>44.658570246295334</v>
      </c>
      <c r="CL10" s="53">
        <v>5542.78</v>
      </c>
      <c r="CM10" s="41">
        <v>21.505707600006673</v>
      </c>
      <c r="CN10" s="53">
        <v>5967.31</v>
      </c>
      <c r="CO10" s="41">
        <v>23.152862646288654</v>
      </c>
      <c r="CP10" s="54">
        <v>14263.45</v>
      </c>
      <c r="CQ10" s="41">
        <v>55.341468553201679</v>
      </c>
      <c r="CR10" s="43">
        <v>17676</v>
      </c>
      <c r="CS10" s="52">
        <v>71.367956551255944</v>
      </c>
      <c r="CT10" s="41">
        <v>1434.6750000000002</v>
      </c>
      <c r="CU10" s="41">
        <v>42.867067049121552</v>
      </c>
      <c r="CV10" s="52">
        <v>1455</v>
      </c>
      <c r="CW10" s="38">
        <v>8</v>
      </c>
      <c r="CX10" s="38">
        <v>21</v>
      </c>
      <c r="CY10" s="51">
        <v>4</v>
      </c>
      <c r="CZ10" s="61">
        <v>5.7413947651487991</v>
      </c>
      <c r="DA10" s="39">
        <v>9254000</v>
      </c>
      <c r="DB10" s="39">
        <v>10782000</v>
      </c>
      <c r="DC10" s="39">
        <v>10955000</v>
      </c>
      <c r="DD10" s="39">
        <v>11610000</v>
      </c>
      <c r="DE10" s="39">
        <v>9273000</v>
      </c>
      <c r="DF10" s="62">
        <v>11447000</v>
      </c>
      <c r="DG10" s="41">
        <v>81.010000000000005</v>
      </c>
      <c r="DH10" s="41">
        <v>81.99</v>
      </c>
      <c r="DI10" s="41">
        <v>3.26</v>
      </c>
      <c r="DJ10" s="37" t="s">
        <v>388</v>
      </c>
      <c r="DK10" s="40">
        <v>59000</v>
      </c>
      <c r="DL10" s="40">
        <v>232000</v>
      </c>
      <c r="DM10" s="40">
        <v>0</v>
      </c>
      <c r="DN10" s="40">
        <v>5468</v>
      </c>
      <c r="DO10" s="40">
        <v>0</v>
      </c>
      <c r="DP10" s="40">
        <v>266000</v>
      </c>
      <c r="DQ10" s="64">
        <v>3</v>
      </c>
      <c r="DR10" s="40">
        <v>20066</v>
      </c>
      <c r="DS10" s="65">
        <v>2</v>
      </c>
      <c r="DT10" s="38">
        <v>9</v>
      </c>
      <c r="DU10" s="66">
        <v>3718.6666666666665</v>
      </c>
      <c r="DV10" s="41">
        <v>44.444444444444443</v>
      </c>
      <c r="DW10" s="41">
        <v>55.555555555555557</v>
      </c>
      <c r="DX10" s="41">
        <v>0</v>
      </c>
      <c r="DY10" s="41">
        <v>0</v>
      </c>
      <c r="DZ10" s="41">
        <v>0</v>
      </c>
      <c r="EA10" s="41">
        <v>55.555555555555557</v>
      </c>
      <c r="EB10" s="41">
        <v>44.444444444444443</v>
      </c>
      <c r="EC10" s="40">
        <v>360</v>
      </c>
      <c r="ED10" s="184">
        <v>92.966666666666669</v>
      </c>
    </row>
    <row r="11" spans="1:134" s="13" customFormat="1">
      <c r="A11" s="156" t="s">
        <v>159</v>
      </c>
      <c r="B11" s="285">
        <v>2014</v>
      </c>
      <c r="C11" s="259">
        <v>11</v>
      </c>
      <c r="D11" s="80" t="s">
        <v>345</v>
      </c>
      <c r="E11" s="56">
        <v>1600.4</v>
      </c>
      <c r="F11" s="56">
        <v>13032</v>
      </c>
      <c r="G11" s="82">
        <v>1.5190465061930356</v>
      </c>
      <c r="H11" s="179">
        <v>8.1</v>
      </c>
      <c r="I11" s="56">
        <v>6349</v>
      </c>
      <c r="J11" s="56">
        <v>48.718538980969925</v>
      </c>
      <c r="K11" s="56">
        <v>6683</v>
      </c>
      <c r="L11" s="84">
        <v>51.281461019030083</v>
      </c>
      <c r="M11" s="160">
        <v>25.69060773480663</v>
      </c>
      <c r="N11" s="160">
        <v>45.610804174340089</v>
      </c>
      <c r="O11" s="160">
        <v>28.698588090853285</v>
      </c>
      <c r="P11" s="160">
        <v>32.972682627378759</v>
      </c>
      <c r="Q11" s="160">
        <v>38.328729281767956</v>
      </c>
      <c r="R11" s="160">
        <v>28.698588090853285</v>
      </c>
      <c r="S11" s="83">
        <v>3.0201342281879198</v>
      </c>
      <c r="T11" s="83">
        <v>3.1</v>
      </c>
      <c r="U11" s="38">
        <v>55</v>
      </c>
      <c r="V11" s="41">
        <v>6.1</v>
      </c>
      <c r="W11" s="40">
        <v>34585</v>
      </c>
      <c r="X11" s="41">
        <v>2.4</v>
      </c>
      <c r="Y11" s="42" t="s">
        <v>350</v>
      </c>
      <c r="Z11" s="43">
        <v>1149</v>
      </c>
      <c r="AA11" s="45">
        <v>0</v>
      </c>
      <c r="AB11" s="63">
        <v>169</v>
      </c>
      <c r="AC11" s="63">
        <v>17652.883000000002</v>
      </c>
      <c r="AD11" s="43">
        <v>77</v>
      </c>
      <c r="AE11" s="44">
        <v>-21.38</v>
      </c>
      <c r="AF11" s="44">
        <v>1.9215</v>
      </c>
      <c r="AG11" s="41">
        <v>63.85</v>
      </c>
      <c r="AH11" s="41">
        <v>36.15</v>
      </c>
      <c r="AI11" s="44">
        <v>7.37</v>
      </c>
      <c r="AJ11" s="41">
        <v>6.0454999999999997</v>
      </c>
      <c r="AK11" s="41">
        <v>2.4196335983408224</v>
      </c>
      <c r="AL11" s="41">
        <v>16.991600000000002</v>
      </c>
      <c r="AM11" s="39">
        <v>32126</v>
      </c>
      <c r="AN11" s="39">
        <v>32152</v>
      </c>
      <c r="AO11" s="40">
        <v>31604</v>
      </c>
      <c r="AP11" s="40">
        <v>32486</v>
      </c>
      <c r="AQ11" s="39">
        <v>4106000</v>
      </c>
      <c r="AR11" s="44">
        <v>814.19789807654172</v>
      </c>
      <c r="AS11" s="39">
        <v>5043</v>
      </c>
      <c r="AT11" s="46">
        <v>4284000</v>
      </c>
      <c r="AU11" s="50">
        <v>846.64031620553362</v>
      </c>
      <c r="AV11" s="39">
        <v>5060</v>
      </c>
      <c r="AW11" s="46">
        <v>5133000</v>
      </c>
      <c r="AX11" s="47">
        <v>989.97107039537127</v>
      </c>
      <c r="AY11" s="39">
        <v>5185</v>
      </c>
      <c r="AZ11" s="41">
        <v>70.8</v>
      </c>
      <c r="BA11" s="41">
        <v>28.15814850530376</v>
      </c>
      <c r="BB11" s="46">
        <v>816000</v>
      </c>
      <c r="BC11" s="48">
        <v>2045.1127819548872</v>
      </c>
      <c r="BD11" s="40">
        <v>399</v>
      </c>
      <c r="BE11" s="46">
        <v>347000</v>
      </c>
      <c r="BF11" s="44">
        <v>834.13461538461536</v>
      </c>
      <c r="BG11" s="40">
        <v>416</v>
      </c>
      <c r="BH11" s="49" t="s">
        <v>382</v>
      </c>
      <c r="BI11" s="49" t="s">
        <v>382</v>
      </c>
      <c r="BJ11" s="213">
        <v>0</v>
      </c>
      <c r="BK11" s="47">
        <v>228.71758259212197</v>
      </c>
      <c r="BL11" s="55">
        <v>3797000</v>
      </c>
      <c r="BM11" s="41">
        <v>12.014301987090242</v>
      </c>
      <c r="BN11" s="56">
        <v>6941000</v>
      </c>
      <c r="BO11" s="41">
        <v>21.962409821541577</v>
      </c>
      <c r="BP11" s="56">
        <v>4467000</v>
      </c>
      <c r="BQ11" s="41">
        <v>14.13428679913935</v>
      </c>
      <c r="BR11" s="39">
        <v>1721000</v>
      </c>
      <c r="BS11" s="41">
        <v>5.4455132261739019</v>
      </c>
      <c r="BT11" s="39">
        <v>2176000</v>
      </c>
      <c r="BU11" s="41">
        <v>6.8852044045057585</v>
      </c>
      <c r="BV11" s="56">
        <v>8515000</v>
      </c>
      <c r="BW11" s="41">
        <v>26.942792051639032</v>
      </c>
      <c r="BX11" s="40">
        <v>3987000</v>
      </c>
      <c r="BY11" s="41">
        <v>12.615491709910136</v>
      </c>
      <c r="BZ11" s="57">
        <v>291.35972989564152</v>
      </c>
      <c r="CA11" s="58">
        <v>342.77163904235726</v>
      </c>
      <c r="CB11" s="59">
        <v>424.26335174953959</v>
      </c>
      <c r="CC11" s="47">
        <v>132.05954573357889</v>
      </c>
      <c r="CD11" s="58">
        <v>124.84653161448742</v>
      </c>
      <c r="CE11" s="59">
        <v>108.3486801718846</v>
      </c>
      <c r="CF11" s="59">
        <v>305.93922651933701</v>
      </c>
      <c r="CG11" s="59">
        <v>42.127071823204417</v>
      </c>
      <c r="CH11" s="47">
        <v>653.39165131982816</v>
      </c>
      <c r="CI11" s="43">
        <v>1185</v>
      </c>
      <c r="CJ11" s="44">
        <v>435.10125361620055</v>
      </c>
      <c r="CK11" s="60">
        <v>78.125084992844066</v>
      </c>
      <c r="CL11" s="53">
        <v>1657.0641000000001</v>
      </c>
      <c r="CM11" s="41">
        <v>23.883597778816203</v>
      </c>
      <c r="CN11" s="53">
        <v>2024.32</v>
      </c>
      <c r="CO11" s="41">
        <v>29.176930847523163</v>
      </c>
      <c r="CP11" s="54">
        <v>1517.71</v>
      </c>
      <c r="CQ11" s="41">
        <v>21.875059139164946</v>
      </c>
      <c r="CR11" s="43">
        <v>5443</v>
      </c>
      <c r="CS11" s="52">
        <v>63.237185375711924</v>
      </c>
      <c r="CT11" s="41">
        <v>563.96</v>
      </c>
      <c r="CU11" s="41">
        <v>43.275015346838551</v>
      </c>
      <c r="CV11" s="52">
        <v>69.25</v>
      </c>
      <c r="CW11" s="38">
        <v>3</v>
      </c>
      <c r="CX11" s="38">
        <v>9</v>
      </c>
      <c r="CY11" s="51">
        <v>2</v>
      </c>
      <c r="CZ11" s="61">
        <v>6.6424953959484343</v>
      </c>
      <c r="DA11" s="39">
        <v>3656000</v>
      </c>
      <c r="DB11" s="39">
        <v>3304000</v>
      </c>
      <c r="DC11" s="39">
        <v>2093000</v>
      </c>
      <c r="DD11" s="39">
        <v>3291000</v>
      </c>
      <c r="DE11" s="39">
        <v>3965000</v>
      </c>
      <c r="DF11" s="62">
        <v>5290000</v>
      </c>
      <c r="DG11" s="41">
        <v>74.95</v>
      </c>
      <c r="DH11" s="41">
        <v>67.5</v>
      </c>
      <c r="DI11" s="41">
        <v>7.57</v>
      </c>
      <c r="DJ11" s="37" t="s">
        <v>390</v>
      </c>
      <c r="DK11" s="40">
        <v>0</v>
      </c>
      <c r="DL11" s="40">
        <v>96000</v>
      </c>
      <c r="DM11" s="40">
        <v>0</v>
      </c>
      <c r="DN11" s="40">
        <v>9866</v>
      </c>
      <c r="DO11" s="40">
        <v>0</v>
      </c>
      <c r="DP11" s="40">
        <v>229888</v>
      </c>
      <c r="DQ11" s="64">
        <v>1</v>
      </c>
      <c r="DR11" s="40">
        <v>59272</v>
      </c>
      <c r="DS11" s="65">
        <v>0</v>
      </c>
      <c r="DT11" s="38">
        <v>7</v>
      </c>
      <c r="DU11" s="66">
        <v>1861.7142857142858</v>
      </c>
      <c r="DV11" s="41">
        <v>14.285714285714285</v>
      </c>
      <c r="DW11" s="41">
        <v>85.714285714285708</v>
      </c>
      <c r="DX11" s="41">
        <v>0</v>
      </c>
      <c r="DY11" s="41">
        <v>0</v>
      </c>
      <c r="DZ11" s="41">
        <v>0</v>
      </c>
      <c r="EA11" s="41">
        <v>71.428571428571431</v>
      </c>
      <c r="EB11" s="41">
        <v>28.571428571428569</v>
      </c>
      <c r="EC11" s="40">
        <v>135</v>
      </c>
      <c r="ED11" s="184">
        <v>96.533333333333331</v>
      </c>
    </row>
    <row r="12" spans="1:134" s="13" customFormat="1">
      <c r="A12" s="156" t="s">
        <v>160</v>
      </c>
      <c r="B12" s="285">
        <v>2014</v>
      </c>
      <c r="C12" s="259">
        <v>10</v>
      </c>
      <c r="D12" s="80" t="s">
        <v>345</v>
      </c>
      <c r="E12" s="56">
        <v>2065.9</v>
      </c>
      <c r="F12" s="56">
        <v>8413</v>
      </c>
      <c r="G12" s="82">
        <v>1.5817435402076794</v>
      </c>
      <c r="H12" s="179">
        <v>4.0999999999999996</v>
      </c>
      <c r="I12" s="56">
        <v>4247</v>
      </c>
      <c r="J12" s="56">
        <v>50.481397836681332</v>
      </c>
      <c r="K12" s="56">
        <v>4166</v>
      </c>
      <c r="L12" s="84">
        <v>49.518602163318675</v>
      </c>
      <c r="M12" s="160">
        <v>22.310709616070369</v>
      </c>
      <c r="N12" s="160">
        <v>43.004873410198499</v>
      </c>
      <c r="O12" s="160">
        <v>34.684416973731132</v>
      </c>
      <c r="P12" s="160">
        <v>30.571734220848683</v>
      </c>
      <c r="Q12" s="160">
        <v>34.743848805420185</v>
      </c>
      <c r="R12" s="160">
        <v>34.684416973731132</v>
      </c>
      <c r="S12" s="83">
        <v>2.0210787352758834</v>
      </c>
      <c r="T12" s="83">
        <v>2.2000000000000002</v>
      </c>
      <c r="U12" s="38">
        <v>48</v>
      </c>
      <c r="V12" s="41">
        <v>8.5</v>
      </c>
      <c r="W12" s="40">
        <v>36564</v>
      </c>
      <c r="X12" s="41">
        <v>2.2999999999999998</v>
      </c>
      <c r="Y12" s="42" t="s">
        <v>351</v>
      </c>
      <c r="Z12" s="43">
        <v>1127</v>
      </c>
      <c r="AA12" s="45">
        <v>0</v>
      </c>
      <c r="AB12" s="67">
        <v>124</v>
      </c>
      <c r="AC12" s="63">
        <v>13873.49</v>
      </c>
      <c r="AD12" s="43">
        <v>19</v>
      </c>
      <c r="AE12" s="44">
        <v>7.1</v>
      </c>
      <c r="AF12" s="44">
        <v>4.1924000000000001</v>
      </c>
      <c r="AG12" s="41">
        <v>61.23</v>
      </c>
      <c r="AH12" s="41">
        <v>38.770000000000003</v>
      </c>
      <c r="AI12" s="44">
        <v>4.4400000000000004</v>
      </c>
      <c r="AJ12" s="41">
        <v>31.314399999999999</v>
      </c>
      <c r="AK12" s="41">
        <v>1.1433597185576077</v>
      </c>
      <c r="AL12" s="41">
        <v>19.8782</v>
      </c>
      <c r="AM12" s="39">
        <v>18788</v>
      </c>
      <c r="AN12" s="39">
        <v>18686</v>
      </c>
      <c r="AO12" s="40">
        <v>17956</v>
      </c>
      <c r="AP12" s="40">
        <v>20446</v>
      </c>
      <c r="AQ12" s="39">
        <v>2140000</v>
      </c>
      <c r="AR12" s="44">
        <v>585.81987407610188</v>
      </c>
      <c r="AS12" s="39">
        <v>3653</v>
      </c>
      <c r="AT12" s="46">
        <v>2343000</v>
      </c>
      <c r="AU12" s="50">
        <v>637.72455089820357</v>
      </c>
      <c r="AV12" s="39">
        <v>3674</v>
      </c>
      <c r="AW12" s="46">
        <v>2312000</v>
      </c>
      <c r="AX12" s="47">
        <v>634.99038725624825</v>
      </c>
      <c r="AY12" s="39">
        <v>3641</v>
      </c>
      <c r="AZ12" s="41">
        <v>63.6</v>
      </c>
      <c r="BA12" s="41">
        <v>29.909365558912388</v>
      </c>
      <c r="BB12" s="46">
        <v>1720000</v>
      </c>
      <c r="BC12" s="48">
        <v>1892.1892189218922</v>
      </c>
      <c r="BD12" s="40">
        <v>909</v>
      </c>
      <c r="BE12" s="46">
        <v>497000</v>
      </c>
      <c r="BF12" s="44">
        <v>1258.2278481012659</v>
      </c>
      <c r="BG12" s="40">
        <v>395</v>
      </c>
      <c r="BH12" s="49" t="s">
        <v>382</v>
      </c>
      <c r="BI12" s="49" t="s">
        <v>382</v>
      </c>
      <c r="BJ12" s="213">
        <v>0</v>
      </c>
      <c r="BK12" s="47">
        <v>110.47486442923383</v>
      </c>
      <c r="BL12" s="55">
        <v>594000</v>
      </c>
      <c r="BM12" s="41">
        <v>3.3080864335041213</v>
      </c>
      <c r="BN12" s="56">
        <v>4877000</v>
      </c>
      <c r="BO12" s="41">
        <v>27.160837603029631</v>
      </c>
      <c r="BP12" s="56">
        <v>1851000</v>
      </c>
      <c r="BQ12" s="41">
        <v>10.30853196703052</v>
      </c>
      <c r="BR12" s="39">
        <v>1467000</v>
      </c>
      <c r="BS12" s="41">
        <v>8.1699710403207835</v>
      </c>
      <c r="BT12" s="39">
        <v>2095000</v>
      </c>
      <c r="BU12" s="41">
        <v>11.667409222543997</v>
      </c>
      <c r="BV12" s="56">
        <v>5473000</v>
      </c>
      <c r="BW12" s="41">
        <v>30.480062374693695</v>
      </c>
      <c r="BX12" s="40">
        <v>1599000</v>
      </c>
      <c r="BY12" s="41">
        <v>8.9051013588772552</v>
      </c>
      <c r="BZ12" s="57">
        <v>70.605016046594557</v>
      </c>
      <c r="CA12" s="58">
        <v>220.01664091287293</v>
      </c>
      <c r="CB12" s="59">
        <v>511.9457981694996</v>
      </c>
      <c r="CC12" s="47">
        <v>174.3729941756805</v>
      </c>
      <c r="CD12" s="58">
        <v>185.18958754308807</v>
      </c>
      <c r="CE12" s="59">
        <v>67.752288125520025</v>
      </c>
      <c r="CF12" s="59">
        <v>190.06299774159041</v>
      </c>
      <c r="CG12" s="59">
        <v>63.829787234042556</v>
      </c>
      <c r="CH12" s="47">
        <v>650.54082966837041</v>
      </c>
      <c r="CI12" s="43">
        <v>1252</v>
      </c>
      <c r="CJ12" s="44">
        <v>207.36061521560012</v>
      </c>
      <c r="CK12" s="60">
        <v>40.862782448765103</v>
      </c>
      <c r="CL12" s="53">
        <v>1028.19</v>
      </c>
      <c r="CM12" s="41">
        <v>33.768720441408298</v>
      </c>
      <c r="CN12" s="53">
        <v>216</v>
      </c>
      <c r="CO12" s="41">
        <v>7.094062007356805</v>
      </c>
      <c r="CP12" s="54">
        <v>1800.61</v>
      </c>
      <c r="CQ12" s="41">
        <v>59.13721755123489</v>
      </c>
      <c r="CR12" s="43">
        <v>3235</v>
      </c>
      <c r="CS12" s="52">
        <v>55.115919629057188</v>
      </c>
      <c r="CT12" s="41">
        <v>1376.04</v>
      </c>
      <c r="CU12" s="41">
        <v>163.56115535480802</v>
      </c>
      <c r="CV12" s="52">
        <v>138</v>
      </c>
      <c r="CW12" s="38">
        <v>3</v>
      </c>
      <c r="CX12" s="38">
        <v>7</v>
      </c>
      <c r="CY12" s="51">
        <v>4</v>
      </c>
      <c r="CZ12" s="61">
        <v>4.0777368358492811</v>
      </c>
      <c r="DA12" s="39">
        <v>3449000</v>
      </c>
      <c r="DB12" s="39">
        <v>3449000</v>
      </c>
      <c r="DC12" s="39">
        <v>3050000</v>
      </c>
      <c r="DD12" s="39">
        <v>3056000</v>
      </c>
      <c r="DE12" s="39">
        <v>2888000</v>
      </c>
      <c r="DF12" s="62">
        <v>2876000</v>
      </c>
      <c r="DG12" s="41">
        <v>100.42</v>
      </c>
      <c r="DH12" s="41">
        <v>109.16999999999999</v>
      </c>
      <c r="DI12" s="41">
        <v>0</v>
      </c>
      <c r="DJ12" s="37" t="s">
        <v>390</v>
      </c>
      <c r="DK12" s="40">
        <v>62000</v>
      </c>
      <c r="DL12" s="40">
        <v>109000</v>
      </c>
      <c r="DM12" s="40">
        <v>0</v>
      </c>
      <c r="DN12" s="40">
        <v>5024</v>
      </c>
      <c r="DO12" s="40">
        <v>16895</v>
      </c>
      <c r="DP12" s="40">
        <v>187783</v>
      </c>
      <c r="DQ12" s="64">
        <v>0</v>
      </c>
      <c r="DR12" s="40">
        <v>0</v>
      </c>
      <c r="DS12" s="65">
        <v>0</v>
      </c>
      <c r="DT12" s="38">
        <v>8</v>
      </c>
      <c r="DU12" s="66">
        <v>1051.625</v>
      </c>
      <c r="DV12" s="41">
        <v>12.5</v>
      </c>
      <c r="DW12" s="41">
        <v>87.5</v>
      </c>
      <c r="DX12" s="41">
        <v>0</v>
      </c>
      <c r="DY12" s="41">
        <v>0</v>
      </c>
      <c r="DZ12" s="41">
        <v>0</v>
      </c>
      <c r="EA12" s="41">
        <v>50</v>
      </c>
      <c r="EB12" s="41">
        <v>50</v>
      </c>
      <c r="EC12" s="40">
        <v>84</v>
      </c>
      <c r="ED12" s="184">
        <v>100.1547619047619</v>
      </c>
    </row>
    <row r="13" spans="1:134" s="13" customFormat="1">
      <c r="A13" s="156" t="s">
        <v>161</v>
      </c>
      <c r="B13" s="285">
        <v>2014</v>
      </c>
      <c r="C13" s="259">
        <v>3</v>
      </c>
      <c r="D13" s="80" t="s">
        <v>343</v>
      </c>
      <c r="E13" s="56">
        <v>240.1</v>
      </c>
      <c r="F13" s="56">
        <v>332424</v>
      </c>
      <c r="G13" s="82">
        <v>11.011521122057106</v>
      </c>
      <c r="H13" s="179">
        <v>1384.5</v>
      </c>
      <c r="I13" s="56">
        <v>166192</v>
      </c>
      <c r="J13" s="56">
        <v>49.993983587225955</v>
      </c>
      <c r="K13" s="56">
        <v>166232</v>
      </c>
      <c r="L13" s="84">
        <v>50.006016412774045</v>
      </c>
      <c r="M13" s="160">
        <v>30.048973599980748</v>
      </c>
      <c r="N13" s="160">
        <v>55.664753447404522</v>
      </c>
      <c r="O13" s="160">
        <v>14.286272952614734</v>
      </c>
      <c r="P13" s="160">
        <v>44.832202247731814</v>
      </c>
      <c r="Q13" s="160">
        <v>40.881524799653455</v>
      </c>
      <c r="R13" s="160">
        <v>14.286272952614734</v>
      </c>
      <c r="S13" s="83">
        <v>2.722701578887937</v>
      </c>
      <c r="T13" s="83">
        <v>36.9</v>
      </c>
      <c r="U13" s="38">
        <v>93</v>
      </c>
      <c r="V13" s="41">
        <v>6.2</v>
      </c>
      <c r="W13" s="40">
        <v>47498</v>
      </c>
      <c r="X13" s="41">
        <v>3.1</v>
      </c>
      <c r="Y13" s="42" t="s">
        <v>95</v>
      </c>
      <c r="Z13" s="43">
        <v>17583</v>
      </c>
      <c r="AA13" s="45">
        <v>64</v>
      </c>
      <c r="AB13" s="63">
        <v>2206</v>
      </c>
      <c r="AC13" s="63">
        <v>1237638.0249999999</v>
      </c>
      <c r="AD13" s="43">
        <v>84</v>
      </c>
      <c r="AE13" s="44">
        <v>-4.46</v>
      </c>
      <c r="AF13" s="44">
        <v>4.3262</v>
      </c>
      <c r="AG13" s="41">
        <v>48.64</v>
      </c>
      <c r="AH13" s="41">
        <v>51.36</v>
      </c>
      <c r="AI13" s="44">
        <v>3.1</v>
      </c>
      <c r="AJ13" s="41">
        <v>0</v>
      </c>
      <c r="AK13" s="41">
        <v>0</v>
      </c>
      <c r="AL13" s="41">
        <v>18.639300000000002</v>
      </c>
      <c r="AM13" s="39">
        <v>250170</v>
      </c>
      <c r="AN13" s="39">
        <v>262070</v>
      </c>
      <c r="AO13" s="40">
        <v>283861</v>
      </c>
      <c r="AP13" s="40">
        <v>504993</v>
      </c>
      <c r="AQ13" s="39">
        <v>82168000</v>
      </c>
      <c r="AR13" s="44">
        <v>815.64423267818142</v>
      </c>
      <c r="AS13" s="39">
        <v>100740</v>
      </c>
      <c r="AT13" s="46">
        <v>87550000</v>
      </c>
      <c r="AU13" s="50">
        <v>851.79</v>
      </c>
      <c r="AV13" s="39">
        <v>102783</v>
      </c>
      <c r="AW13" s="46">
        <v>95115000</v>
      </c>
      <c r="AX13" s="47">
        <v>904.47028841490669</v>
      </c>
      <c r="AY13" s="39">
        <v>105161</v>
      </c>
      <c r="AZ13" s="41">
        <v>76</v>
      </c>
      <c r="BA13" s="41">
        <v>13.530681526421393</v>
      </c>
      <c r="BB13" s="46">
        <v>855000</v>
      </c>
      <c r="BC13" s="48">
        <v>3904.1095890410961</v>
      </c>
      <c r="BD13" s="40">
        <v>219</v>
      </c>
      <c r="BE13" s="46">
        <v>40205000</v>
      </c>
      <c r="BF13" s="44">
        <v>8130.434782608696</v>
      </c>
      <c r="BG13" s="40">
        <v>4945</v>
      </c>
      <c r="BH13" s="49" t="s">
        <v>382</v>
      </c>
      <c r="BI13" s="49" t="s">
        <v>382</v>
      </c>
      <c r="BJ13" s="213">
        <v>0</v>
      </c>
      <c r="BK13" s="47">
        <v>193.29335475674682</v>
      </c>
      <c r="BL13" s="55">
        <v>62554000</v>
      </c>
      <c r="BM13" s="41">
        <v>22.036841975473912</v>
      </c>
      <c r="BN13" s="56">
        <v>10040000</v>
      </c>
      <c r="BO13" s="41">
        <v>3.5369423767266372</v>
      </c>
      <c r="BP13" s="56">
        <v>56772000</v>
      </c>
      <c r="BQ13" s="41">
        <v>19.999929542980542</v>
      </c>
      <c r="BR13" s="39">
        <v>34897000</v>
      </c>
      <c r="BS13" s="41">
        <v>12.293693039903333</v>
      </c>
      <c r="BT13" s="39">
        <v>60684000</v>
      </c>
      <c r="BU13" s="41">
        <v>21.378068843553709</v>
      </c>
      <c r="BV13" s="56">
        <v>49364000</v>
      </c>
      <c r="BW13" s="41">
        <v>17.390201542304158</v>
      </c>
      <c r="BX13" s="40">
        <v>9550000</v>
      </c>
      <c r="BY13" s="41">
        <v>3.3643226790577083</v>
      </c>
      <c r="BZ13" s="57">
        <v>188.17534233388685</v>
      </c>
      <c r="CA13" s="58">
        <v>170.78189300411523</v>
      </c>
      <c r="CB13" s="43" t="s">
        <v>382</v>
      </c>
      <c r="CC13" s="47">
        <v>104.97737828796959</v>
      </c>
      <c r="CD13" s="58">
        <v>155.79200057757564</v>
      </c>
      <c r="CE13" s="59">
        <v>30.202392125718962</v>
      </c>
      <c r="CF13" s="59">
        <v>28.728370996077299</v>
      </c>
      <c r="CG13" s="59">
        <v>26.757995812576709</v>
      </c>
      <c r="CH13" s="47">
        <v>148.4971000890429</v>
      </c>
      <c r="CI13" s="43" t="s">
        <v>382</v>
      </c>
      <c r="CJ13" s="44">
        <v>374.35931571590226</v>
      </c>
      <c r="CK13" s="60">
        <v>64.679890349030231</v>
      </c>
      <c r="CL13" s="53">
        <v>21862.13</v>
      </c>
      <c r="CM13" s="41">
        <v>16.970152596176501</v>
      </c>
      <c r="CN13" s="53" t="s">
        <v>382</v>
      </c>
      <c r="CO13" s="41">
        <v>0</v>
      </c>
      <c r="CP13" s="54">
        <v>45501.82</v>
      </c>
      <c r="CQ13" s="41">
        <v>35.320109650969769</v>
      </c>
      <c r="CR13" s="43">
        <v>93896</v>
      </c>
      <c r="CS13" s="52">
        <v>58.521129760586177</v>
      </c>
      <c r="CT13" s="41">
        <v>1350.62</v>
      </c>
      <c r="CU13" s="41">
        <v>4.0629437104420862</v>
      </c>
      <c r="CV13" s="52">
        <v>3105.55</v>
      </c>
      <c r="CW13" s="38">
        <v>5</v>
      </c>
      <c r="CX13" s="38">
        <v>39</v>
      </c>
      <c r="CY13" s="51">
        <v>5</v>
      </c>
      <c r="CZ13" s="61">
        <v>3.1767080595865522</v>
      </c>
      <c r="DA13" s="39">
        <v>34514000</v>
      </c>
      <c r="DB13" s="39">
        <v>33843000</v>
      </c>
      <c r="DC13" s="39">
        <v>33095000</v>
      </c>
      <c r="DD13" s="39">
        <v>36450000</v>
      </c>
      <c r="DE13" s="39">
        <v>45172000</v>
      </c>
      <c r="DF13" s="62">
        <v>36124000</v>
      </c>
      <c r="DG13" s="41">
        <v>125.05</v>
      </c>
      <c r="DH13" s="41">
        <v>59.050000000000004</v>
      </c>
      <c r="DI13" s="41">
        <v>2.98</v>
      </c>
      <c r="DJ13" s="37" t="s">
        <v>390</v>
      </c>
      <c r="DK13" s="40">
        <v>413000</v>
      </c>
      <c r="DL13" s="40">
        <v>505000</v>
      </c>
      <c r="DM13" s="40">
        <v>5638</v>
      </c>
      <c r="DN13" s="40">
        <v>34405</v>
      </c>
      <c r="DO13" s="40">
        <v>68925</v>
      </c>
      <c r="DP13" s="40">
        <v>322679</v>
      </c>
      <c r="DQ13" s="64">
        <v>1</v>
      </c>
      <c r="DR13" s="40">
        <v>1200</v>
      </c>
      <c r="DS13" s="65">
        <v>0</v>
      </c>
      <c r="DT13" s="38">
        <v>15</v>
      </c>
      <c r="DU13" s="66">
        <v>22161.599999999999</v>
      </c>
      <c r="DV13" s="41">
        <v>13.333333333333334</v>
      </c>
      <c r="DW13" s="41">
        <v>86.666666666666671</v>
      </c>
      <c r="DX13" s="41">
        <v>0</v>
      </c>
      <c r="DY13" s="41">
        <v>20</v>
      </c>
      <c r="DZ13" s="41">
        <v>13.333333333333334</v>
      </c>
      <c r="EA13" s="41">
        <v>26.666666666666668</v>
      </c>
      <c r="EB13" s="41">
        <v>60</v>
      </c>
      <c r="EC13" s="40">
        <v>1427</v>
      </c>
      <c r="ED13" s="184">
        <v>232.95304835318851</v>
      </c>
    </row>
    <row r="14" spans="1:134" s="13" customFormat="1">
      <c r="A14" s="156" t="s">
        <v>162</v>
      </c>
      <c r="B14" s="285">
        <v>2014</v>
      </c>
      <c r="C14" s="259">
        <v>10</v>
      </c>
      <c r="D14" s="80" t="s">
        <v>345</v>
      </c>
      <c r="E14" s="56">
        <v>8557.7000000000007</v>
      </c>
      <c r="F14" s="56">
        <v>5994</v>
      </c>
      <c r="G14" s="82">
        <v>-1.7538108506802164</v>
      </c>
      <c r="H14" s="179">
        <v>0.7</v>
      </c>
      <c r="I14" s="56">
        <v>3058</v>
      </c>
      <c r="J14" s="56">
        <v>51.017684351017692</v>
      </c>
      <c r="K14" s="56">
        <v>2936</v>
      </c>
      <c r="L14" s="84">
        <v>48.982315648982315</v>
      </c>
      <c r="M14" s="160">
        <v>27.89456122789456</v>
      </c>
      <c r="N14" s="160">
        <v>45.545545545545544</v>
      </c>
      <c r="O14" s="160">
        <v>26.559893226559893</v>
      </c>
      <c r="P14" s="160">
        <v>36.686686686686684</v>
      </c>
      <c r="Q14" s="160">
        <v>36.753420086753422</v>
      </c>
      <c r="R14" s="160">
        <v>26.559893226559893</v>
      </c>
      <c r="S14" s="83">
        <v>3.9924927486776998</v>
      </c>
      <c r="T14" s="83">
        <v>1.2</v>
      </c>
      <c r="U14" s="38">
        <v>77</v>
      </c>
      <c r="V14" s="41">
        <v>5.7</v>
      </c>
      <c r="W14" s="40">
        <v>48794</v>
      </c>
      <c r="X14" s="41">
        <v>2.4</v>
      </c>
      <c r="Y14" s="42" t="s">
        <v>351</v>
      </c>
      <c r="Z14" s="43">
        <v>839</v>
      </c>
      <c r="AA14" s="45">
        <v>0</v>
      </c>
      <c r="AB14" s="63">
        <v>101</v>
      </c>
      <c r="AC14" s="63">
        <v>8321.6610000000001</v>
      </c>
      <c r="AD14" s="43">
        <v>22</v>
      </c>
      <c r="AE14" s="44">
        <v>-6.71</v>
      </c>
      <c r="AF14" s="44">
        <v>6.9501999999999997</v>
      </c>
      <c r="AG14" s="41">
        <v>47.64</v>
      </c>
      <c r="AH14" s="41">
        <v>52.36</v>
      </c>
      <c r="AI14" s="44">
        <v>7.31</v>
      </c>
      <c r="AJ14" s="41">
        <v>10.303599999999999</v>
      </c>
      <c r="AK14" s="41">
        <v>1.5723590474251985</v>
      </c>
      <c r="AL14" s="41">
        <v>12.088199999999999</v>
      </c>
      <c r="AM14" s="39">
        <v>27055</v>
      </c>
      <c r="AN14" s="39">
        <v>25363</v>
      </c>
      <c r="AO14" s="40">
        <v>20970</v>
      </c>
      <c r="AP14" s="40">
        <v>20659</v>
      </c>
      <c r="AQ14" s="39">
        <v>931000</v>
      </c>
      <c r="AR14" s="44">
        <v>423.18181818181819</v>
      </c>
      <c r="AS14" s="39">
        <v>2200</v>
      </c>
      <c r="AT14" s="46">
        <v>959000</v>
      </c>
      <c r="AU14" s="50">
        <v>433.54</v>
      </c>
      <c r="AV14" s="39">
        <v>2212</v>
      </c>
      <c r="AW14" s="46">
        <v>2206000</v>
      </c>
      <c r="AX14" s="47">
        <v>995.48736462093859</v>
      </c>
      <c r="AY14" s="39">
        <v>2216</v>
      </c>
      <c r="AZ14" s="41">
        <v>62.2</v>
      </c>
      <c r="BA14" s="41">
        <v>24.277978339350181</v>
      </c>
      <c r="BB14" s="46">
        <v>3620000</v>
      </c>
      <c r="BC14" s="48">
        <v>2596.8436154949786</v>
      </c>
      <c r="BD14" s="40">
        <v>1394</v>
      </c>
      <c r="BE14" s="46">
        <v>437000</v>
      </c>
      <c r="BF14" s="44">
        <v>1013.9211136890951</v>
      </c>
      <c r="BG14" s="40">
        <v>431</v>
      </c>
      <c r="BH14" s="46">
        <v>863000</v>
      </c>
      <c r="BI14" s="49">
        <v>431500</v>
      </c>
      <c r="BJ14" s="45">
        <v>2</v>
      </c>
      <c r="BK14" s="47">
        <v>94.81042239685658</v>
      </c>
      <c r="BL14" s="55">
        <v>4878000</v>
      </c>
      <c r="BM14" s="41">
        <v>23.261802575107296</v>
      </c>
      <c r="BN14" s="56">
        <v>1474000</v>
      </c>
      <c r="BO14" s="41">
        <v>7.0290891750119222</v>
      </c>
      <c r="BP14" s="56">
        <v>1733000</v>
      </c>
      <c r="BQ14" s="41">
        <v>8.2641869337148304</v>
      </c>
      <c r="BR14" s="39">
        <v>2494000</v>
      </c>
      <c r="BS14" s="41">
        <v>11.893180734382451</v>
      </c>
      <c r="BT14" s="39">
        <v>2449000</v>
      </c>
      <c r="BU14" s="41">
        <v>11.67858845970434</v>
      </c>
      <c r="BV14" s="56">
        <v>6717000</v>
      </c>
      <c r="BW14" s="41">
        <v>32.031473533619462</v>
      </c>
      <c r="BX14" s="40">
        <v>1225000</v>
      </c>
      <c r="BY14" s="41">
        <v>5.841678588459704</v>
      </c>
      <c r="BZ14" s="57">
        <v>813.81381381381379</v>
      </c>
      <c r="CA14" s="58">
        <v>289.12245578912245</v>
      </c>
      <c r="CB14" s="59">
        <v>155.15515515515514</v>
      </c>
      <c r="CC14" s="47">
        <v>416.08274941608278</v>
      </c>
      <c r="CD14" s="58">
        <v>340.50717384050716</v>
      </c>
      <c r="CE14" s="59">
        <v>90.757424090757425</v>
      </c>
      <c r="CF14" s="59">
        <v>204.37103770437105</v>
      </c>
      <c r="CG14" s="59">
        <v>68.068068068068072</v>
      </c>
      <c r="CH14" s="47">
        <v>1120.6206206206207</v>
      </c>
      <c r="CI14" s="43" t="s">
        <v>382</v>
      </c>
      <c r="CJ14" s="44">
        <v>264.44043321299637</v>
      </c>
      <c r="CK14" s="60">
        <v>2.2994226557833963</v>
      </c>
      <c r="CL14" s="53">
        <v>27.72</v>
      </c>
      <c r="CM14" s="41">
        <v>2.2994226557833963</v>
      </c>
      <c r="CN14" s="53" t="s">
        <v>382</v>
      </c>
      <c r="CO14" s="41">
        <v>0</v>
      </c>
      <c r="CP14" s="54">
        <v>1177.8</v>
      </c>
      <c r="CQ14" s="41">
        <v>97.700577344216597</v>
      </c>
      <c r="CR14" s="43">
        <v>2619</v>
      </c>
      <c r="CS14" s="52">
        <v>48.797250859106526</v>
      </c>
      <c r="CT14" s="41">
        <v>3093.4700000000003</v>
      </c>
      <c r="CU14" s="41">
        <v>516.09442776109449</v>
      </c>
      <c r="CV14" s="52">
        <v>1750</v>
      </c>
      <c r="CW14" s="38">
        <v>2</v>
      </c>
      <c r="CX14" s="38">
        <v>2</v>
      </c>
      <c r="CY14" s="51">
        <v>1</v>
      </c>
      <c r="CZ14" s="61">
        <v>6.1553219886553219</v>
      </c>
      <c r="DA14" s="39">
        <v>5001000</v>
      </c>
      <c r="DB14" s="39">
        <v>7226000</v>
      </c>
      <c r="DC14" s="39">
        <v>5353000</v>
      </c>
      <c r="DD14" s="39">
        <v>6715000</v>
      </c>
      <c r="DE14" s="39">
        <v>5800000</v>
      </c>
      <c r="DF14" s="62">
        <v>6626000</v>
      </c>
      <c r="DG14" s="41">
        <v>87.53</v>
      </c>
      <c r="DH14" s="41">
        <v>67.820000000000007</v>
      </c>
      <c r="DI14" s="41">
        <v>2.63</v>
      </c>
      <c r="DJ14" s="37" t="s">
        <v>390</v>
      </c>
      <c r="DK14" s="40">
        <v>36000</v>
      </c>
      <c r="DL14" s="40">
        <v>118000</v>
      </c>
      <c r="DM14" s="40">
        <v>0</v>
      </c>
      <c r="DN14" s="40">
        <v>2640</v>
      </c>
      <c r="DO14" s="40">
        <v>0</v>
      </c>
      <c r="DP14" s="40">
        <v>214546</v>
      </c>
      <c r="DQ14" s="64">
        <v>1</v>
      </c>
      <c r="DR14" s="40">
        <v>500</v>
      </c>
      <c r="DS14" s="65">
        <v>0</v>
      </c>
      <c r="DT14" s="38">
        <v>9</v>
      </c>
      <c r="DU14" s="66">
        <v>666</v>
      </c>
      <c r="DV14" s="41">
        <v>25</v>
      </c>
      <c r="DW14" s="41">
        <v>75</v>
      </c>
      <c r="DX14" s="41">
        <v>12.5</v>
      </c>
      <c r="DY14" s="41">
        <v>0</v>
      </c>
      <c r="DZ14" s="41">
        <v>0</v>
      </c>
      <c r="EA14" s="41">
        <v>62.5</v>
      </c>
      <c r="EB14" s="41">
        <v>37.5</v>
      </c>
      <c r="EC14" s="40">
        <v>115</v>
      </c>
      <c r="ED14" s="184">
        <v>52.121739130434783</v>
      </c>
    </row>
    <row r="15" spans="1:134" s="13" customFormat="1">
      <c r="A15" s="156" t="s">
        <v>163</v>
      </c>
      <c r="B15" s="285">
        <v>2014</v>
      </c>
      <c r="C15" s="259">
        <v>10</v>
      </c>
      <c r="D15" s="80" t="s">
        <v>345</v>
      </c>
      <c r="E15" s="56">
        <v>1524.9</v>
      </c>
      <c r="F15" s="56">
        <v>7409</v>
      </c>
      <c r="G15" s="82">
        <v>5.2265303223973865</v>
      </c>
      <c r="H15" s="179">
        <v>4.9000000000000004</v>
      </c>
      <c r="I15" s="56">
        <v>3748</v>
      </c>
      <c r="J15" s="56">
        <v>50.587123768389795</v>
      </c>
      <c r="K15" s="56">
        <v>3661</v>
      </c>
      <c r="L15" s="84">
        <v>49.412876231610205</v>
      </c>
      <c r="M15" s="160">
        <v>29.086246457011743</v>
      </c>
      <c r="N15" s="160">
        <v>48.036172222972063</v>
      </c>
      <c r="O15" s="160">
        <v>22.877581320016198</v>
      </c>
      <c r="P15" s="160">
        <v>39.53300040491294</v>
      </c>
      <c r="Q15" s="160">
        <v>37.589418275070855</v>
      </c>
      <c r="R15" s="160">
        <v>22.877581320016198</v>
      </c>
      <c r="S15" s="83">
        <v>2.9491768074445242</v>
      </c>
      <c r="T15" s="83">
        <v>1.7</v>
      </c>
      <c r="U15" s="38">
        <v>92</v>
      </c>
      <c r="V15" s="41">
        <v>5.8</v>
      </c>
      <c r="W15" s="40">
        <v>47223</v>
      </c>
      <c r="X15" s="41">
        <v>2.5</v>
      </c>
      <c r="Y15" s="42" t="s">
        <v>351</v>
      </c>
      <c r="Z15" s="43">
        <v>730</v>
      </c>
      <c r="AA15" s="45">
        <v>2</v>
      </c>
      <c r="AB15" s="63">
        <v>132</v>
      </c>
      <c r="AC15" s="63">
        <v>12930.928</v>
      </c>
      <c r="AD15" s="43">
        <v>41</v>
      </c>
      <c r="AE15" s="44">
        <v>3.58</v>
      </c>
      <c r="AF15" s="44">
        <v>6.7303999999999995</v>
      </c>
      <c r="AG15" s="41">
        <v>71.86</v>
      </c>
      <c r="AH15" s="41">
        <v>28.14</v>
      </c>
      <c r="AI15" s="44">
        <v>2.2799999999999998</v>
      </c>
      <c r="AJ15" s="41">
        <v>10.651300000000001</v>
      </c>
      <c r="AK15" s="41">
        <v>3.1415203256972717</v>
      </c>
      <c r="AL15" s="41">
        <v>13.746400000000001</v>
      </c>
      <c r="AM15" s="39">
        <v>14957</v>
      </c>
      <c r="AN15" s="39">
        <v>14901</v>
      </c>
      <c r="AO15" s="40">
        <v>15867.4</v>
      </c>
      <c r="AP15" s="40">
        <v>18273.416670000002</v>
      </c>
      <c r="AQ15" s="39">
        <v>1548872</v>
      </c>
      <c r="AR15" s="44">
        <v>557.95000000000005</v>
      </c>
      <c r="AS15" s="39">
        <v>2776</v>
      </c>
      <c r="AT15" s="46">
        <v>1547691</v>
      </c>
      <c r="AU15" s="50">
        <v>552.46</v>
      </c>
      <c r="AV15" s="39">
        <v>2802</v>
      </c>
      <c r="AW15" s="46">
        <v>3382000</v>
      </c>
      <c r="AX15" s="47">
        <v>1200.5679801206957</v>
      </c>
      <c r="AY15" s="39">
        <v>2817</v>
      </c>
      <c r="AZ15" s="41">
        <v>67.2</v>
      </c>
      <c r="BA15" s="41">
        <v>21.796237131700391</v>
      </c>
      <c r="BB15" s="46">
        <v>1871000</v>
      </c>
      <c r="BC15" s="48">
        <v>2542.1195652173915</v>
      </c>
      <c r="BD15" s="40">
        <v>736</v>
      </c>
      <c r="BE15" s="46">
        <v>291000</v>
      </c>
      <c r="BF15" s="44">
        <v>1098.1132075471698</v>
      </c>
      <c r="BG15" s="40">
        <v>265</v>
      </c>
      <c r="BH15" s="46">
        <v>2400000</v>
      </c>
      <c r="BI15" s="49">
        <v>1200000</v>
      </c>
      <c r="BJ15" s="45">
        <v>2</v>
      </c>
      <c r="BK15" s="47">
        <v>96.461246852970802</v>
      </c>
      <c r="BL15" s="55">
        <v>3520400</v>
      </c>
      <c r="BM15" s="41">
        <v>22.186369537542383</v>
      </c>
      <c r="BN15" s="56">
        <v>1803000</v>
      </c>
      <c r="BO15" s="41">
        <v>11.362920201167173</v>
      </c>
      <c r="BP15" s="56">
        <v>1503000</v>
      </c>
      <c r="BQ15" s="41">
        <v>9.4722512825037484</v>
      </c>
      <c r="BR15" s="39">
        <v>476000</v>
      </c>
      <c r="BS15" s="41">
        <v>2.9998613509459648</v>
      </c>
      <c r="BT15" s="39">
        <v>2511000</v>
      </c>
      <c r="BU15" s="41">
        <v>15.82489884921285</v>
      </c>
      <c r="BV15" s="56">
        <v>4098000</v>
      </c>
      <c r="BW15" s="41">
        <v>25.826537428942359</v>
      </c>
      <c r="BX15" s="40">
        <v>1956000</v>
      </c>
      <c r="BY15" s="41">
        <v>12.327161349685518</v>
      </c>
      <c r="BZ15" s="57">
        <v>475.15184235389393</v>
      </c>
      <c r="CA15" s="58">
        <v>202.86138480226751</v>
      </c>
      <c r="CB15" s="59">
        <v>179.78134701039278</v>
      </c>
      <c r="CC15" s="47">
        <v>64.246187069779992</v>
      </c>
      <c r="CD15" s="58">
        <v>316.37198002429477</v>
      </c>
      <c r="CE15" s="59">
        <v>63.571332163584827</v>
      </c>
      <c r="CF15" s="59">
        <v>264.00323930354972</v>
      </c>
      <c r="CG15" s="59">
        <v>22.540153866918612</v>
      </c>
      <c r="CH15" s="47">
        <v>553.11108111755971</v>
      </c>
      <c r="CI15" s="43" t="s">
        <v>382</v>
      </c>
      <c r="CJ15" s="44">
        <v>333.33333333333331</v>
      </c>
      <c r="CK15" s="60">
        <v>66.107991965586805</v>
      </c>
      <c r="CL15" s="53">
        <v>990.67999999999984</v>
      </c>
      <c r="CM15" s="41">
        <v>43.35257333152456</v>
      </c>
      <c r="CN15" s="53">
        <v>520</v>
      </c>
      <c r="CO15" s="41">
        <v>22.755418634062234</v>
      </c>
      <c r="CP15" s="54">
        <v>774.49</v>
      </c>
      <c r="CQ15" s="41">
        <v>33.892008034413195</v>
      </c>
      <c r="CR15" s="43">
        <v>5381</v>
      </c>
      <c r="CS15" s="52">
        <v>27.820107786656756</v>
      </c>
      <c r="CT15" s="41">
        <v>730.30000000000007</v>
      </c>
      <c r="CU15" s="41">
        <v>98.56930759886626</v>
      </c>
      <c r="CV15" s="52">
        <v>37</v>
      </c>
      <c r="CW15" s="38">
        <v>1</v>
      </c>
      <c r="CX15" s="38">
        <v>6</v>
      </c>
      <c r="CY15" s="51">
        <v>1</v>
      </c>
      <c r="CZ15" s="61">
        <v>1.4730732892428129</v>
      </c>
      <c r="DA15" s="39">
        <v>3320000</v>
      </c>
      <c r="DB15" s="39">
        <v>4984000</v>
      </c>
      <c r="DC15" s="39">
        <v>2219000</v>
      </c>
      <c r="DD15" s="39">
        <v>2556000</v>
      </c>
      <c r="DE15" s="39">
        <v>2377000</v>
      </c>
      <c r="DF15" s="62">
        <v>2643000</v>
      </c>
      <c r="DG15" s="41">
        <v>89.94</v>
      </c>
      <c r="DH15" s="41">
        <v>120.09</v>
      </c>
      <c r="DI15" s="41">
        <v>5.37</v>
      </c>
      <c r="DJ15" s="37" t="s">
        <v>390</v>
      </c>
      <c r="DK15" s="40">
        <v>3000</v>
      </c>
      <c r="DL15" s="40">
        <v>96000</v>
      </c>
      <c r="DM15" s="40">
        <v>0</v>
      </c>
      <c r="DN15" s="40">
        <v>7150</v>
      </c>
      <c r="DO15" s="40">
        <v>6137</v>
      </c>
      <c r="DP15" s="40">
        <v>231751</v>
      </c>
      <c r="DQ15" s="64">
        <v>0</v>
      </c>
      <c r="DR15" s="40">
        <v>0</v>
      </c>
      <c r="DS15" s="65">
        <v>0</v>
      </c>
      <c r="DT15" s="38">
        <v>7</v>
      </c>
      <c r="DU15" s="66">
        <v>1058.4285714285713</v>
      </c>
      <c r="DV15" s="41">
        <v>0</v>
      </c>
      <c r="DW15" s="41">
        <v>100</v>
      </c>
      <c r="DX15" s="41">
        <v>0</v>
      </c>
      <c r="DY15" s="41">
        <v>0</v>
      </c>
      <c r="DZ15" s="41">
        <v>0</v>
      </c>
      <c r="EA15" s="41">
        <v>57.142857142857139</v>
      </c>
      <c r="EB15" s="41">
        <v>42.857142857142854</v>
      </c>
      <c r="EC15" s="40">
        <v>72</v>
      </c>
      <c r="ED15" s="184">
        <v>102.90277777777777</v>
      </c>
    </row>
    <row r="16" spans="1:134" s="13" customFormat="1">
      <c r="A16" s="156" t="s">
        <v>164</v>
      </c>
      <c r="B16" s="285">
        <v>2014</v>
      </c>
      <c r="C16" s="259">
        <v>7</v>
      </c>
      <c r="D16" s="80" t="s">
        <v>346</v>
      </c>
      <c r="E16" s="56">
        <v>1431.2</v>
      </c>
      <c r="F16" s="56">
        <v>79688</v>
      </c>
      <c r="G16" s="82">
        <v>2.3359745213114333</v>
      </c>
      <c r="H16" s="179">
        <v>55.7</v>
      </c>
      <c r="I16" s="56">
        <v>38719</v>
      </c>
      <c r="J16" s="56">
        <v>48.588244152193553</v>
      </c>
      <c r="K16" s="56">
        <v>40969</v>
      </c>
      <c r="L16" s="84">
        <v>51.41175584780644</v>
      </c>
      <c r="M16" s="160">
        <v>24.954823812870195</v>
      </c>
      <c r="N16" s="160">
        <v>50.057725127999198</v>
      </c>
      <c r="O16" s="160">
        <v>24.98745105913061</v>
      </c>
      <c r="P16" s="160">
        <v>34.93123180403574</v>
      </c>
      <c r="Q16" s="160">
        <v>40.081317136833647</v>
      </c>
      <c r="R16" s="160">
        <v>24.98745105913061</v>
      </c>
      <c r="S16" s="83">
        <v>1.7329698837224614</v>
      </c>
      <c r="T16" s="83">
        <v>5.0999999999999996</v>
      </c>
      <c r="U16" s="38">
        <v>125</v>
      </c>
      <c r="V16" s="41">
        <v>4.5999999999999996</v>
      </c>
      <c r="W16" s="40">
        <v>49902</v>
      </c>
      <c r="X16" s="41">
        <v>2.5</v>
      </c>
      <c r="Y16" s="42" t="s">
        <v>140</v>
      </c>
      <c r="Z16" s="43">
        <v>5322</v>
      </c>
      <c r="AA16" s="45">
        <v>31</v>
      </c>
      <c r="AB16" s="63">
        <v>800</v>
      </c>
      <c r="AC16" s="63">
        <v>125043.486</v>
      </c>
      <c r="AD16" s="43">
        <v>82</v>
      </c>
      <c r="AE16" s="44">
        <v>-3.25</v>
      </c>
      <c r="AF16" s="44">
        <v>1.9003000000000001</v>
      </c>
      <c r="AG16" s="41">
        <v>76.89</v>
      </c>
      <c r="AH16" s="41">
        <v>23.11</v>
      </c>
      <c r="AI16" s="44">
        <v>3.98</v>
      </c>
      <c r="AJ16" s="41">
        <v>1.9333</v>
      </c>
      <c r="AK16" s="41">
        <v>9.5050492711132826</v>
      </c>
      <c r="AL16" s="41">
        <v>3.9229000000000003</v>
      </c>
      <c r="AM16" s="39">
        <v>97679</v>
      </c>
      <c r="AN16" s="39">
        <v>102737</v>
      </c>
      <c r="AO16" s="40">
        <v>101660</v>
      </c>
      <c r="AP16" s="40">
        <v>107191</v>
      </c>
      <c r="AQ16" s="39">
        <v>39819000</v>
      </c>
      <c r="AR16" s="44">
        <v>1163.6177673874927</v>
      </c>
      <c r="AS16" s="39">
        <v>34220</v>
      </c>
      <c r="AT16" s="46">
        <v>42824000</v>
      </c>
      <c r="AU16" s="50">
        <v>1249.1322229676516</v>
      </c>
      <c r="AV16" s="39">
        <v>34283</v>
      </c>
      <c r="AW16" s="46">
        <v>43662000</v>
      </c>
      <c r="AX16" s="47">
        <v>1268.6172531016648</v>
      </c>
      <c r="AY16" s="39">
        <v>34417</v>
      </c>
      <c r="AZ16" s="41">
        <v>78.400000000000006</v>
      </c>
      <c r="BA16" s="41">
        <v>19.016764970799311</v>
      </c>
      <c r="BB16" s="46">
        <v>277000</v>
      </c>
      <c r="BC16" s="48">
        <v>2007.2463768115942</v>
      </c>
      <c r="BD16" s="40">
        <v>138</v>
      </c>
      <c r="BE16" s="46">
        <v>4009000</v>
      </c>
      <c r="BF16" s="44">
        <v>3034.8221044663132</v>
      </c>
      <c r="BG16" s="40">
        <v>1321</v>
      </c>
      <c r="BH16" s="49" t="s">
        <v>382</v>
      </c>
      <c r="BI16" s="49" t="s">
        <v>382</v>
      </c>
      <c r="BJ16" s="213">
        <v>0</v>
      </c>
      <c r="BK16" s="47">
        <v>169.11603416200884</v>
      </c>
      <c r="BL16" s="55">
        <v>23163000</v>
      </c>
      <c r="BM16" s="41">
        <v>22.784772771985047</v>
      </c>
      <c r="BN16" s="56">
        <v>8661000</v>
      </c>
      <c r="BO16" s="41">
        <v>8.5195750541019084</v>
      </c>
      <c r="BP16" s="56">
        <v>27068000</v>
      </c>
      <c r="BQ16" s="41">
        <v>26.626008262836908</v>
      </c>
      <c r="BR16" s="39">
        <v>6870000</v>
      </c>
      <c r="BS16" s="41">
        <v>6.7578201849301589</v>
      </c>
      <c r="BT16" s="39">
        <v>17258000</v>
      </c>
      <c r="BU16" s="41">
        <v>16.976195160338385</v>
      </c>
      <c r="BV16" s="56">
        <v>9400000</v>
      </c>
      <c r="BW16" s="41">
        <v>9.2465079677355888</v>
      </c>
      <c r="BX16" s="40">
        <v>9240000</v>
      </c>
      <c r="BY16" s="41">
        <v>9.0891205980720056</v>
      </c>
      <c r="BZ16" s="57">
        <v>290.67111735769504</v>
      </c>
      <c r="CA16" s="58">
        <v>339.67473145266541</v>
      </c>
      <c r="CB16" s="43" t="s">
        <v>382</v>
      </c>
      <c r="CC16" s="47">
        <v>86.211223772713581</v>
      </c>
      <c r="CD16" s="58">
        <v>181.36984238530269</v>
      </c>
      <c r="CE16" s="59">
        <v>108.68637686979218</v>
      </c>
      <c r="CF16" s="59">
        <v>115.95221363316936</v>
      </c>
      <c r="CG16" s="59">
        <v>35.1997791386407</v>
      </c>
      <c r="CH16" s="47">
        <v>117.96004417227186</v>
      </c>
      <c r="CI16" s="43" t="s">
        <v>382</v>
      </c>
      <c r="CJ16" s="44">
        <v>330.44716273934392</v>
      </c>
      <c r="CK16" s="60">
        <v>36.297301482112907</v>
      </c>
      <c r="CL16" s="53">
        <v>9869.9</v>
      </c>
      <c r="CM16" s="41">
        <v>23.120080637661562</v>
      </c>
      <c r="CN16" s="53">
        <v>5425.4699999999993</v>
      </c>
      <c r="CO16" s="41">
        <v>12.709075461475159</v>
      </c>
      <c r="CP16" s="54">
        <v>27194.510000000002</v>
      </c>
      <c r="CQ16" s="41">
        <v>63.702698517887093</v>
      </c>
      <c r="CR16" s="43">
        <v>36128</v>
      </c>
      <c r="CS16" s="52">
        <v>56.883857395925595</v>
      </c>
      <c r="CT16" s="41">
        <v>742.28</v>
      </c>
      <c r="CU16" s="41">
        <v>9.3148278285312713</v>
      </c>
      <c r="CV16" s="52">
        <v>6556.41</v>
      </c>
      <c r="CW16" s="38">
        <v>5</v>
      </c>
      <c r="CX16" s="38">
        <v>18</v>
      </c>
      <c r="CY16" s="51">
        <v>6</v>
      </c>
      <c r="CZ16" s="61">
        <v>6.7821001907439014</v>
      </c>
      <c r="DA16" s="39">
        <v>7599000</v>
      </c>
      <c r="DB16" s="39">
        <v>7599000</v>
      </c>
      <c r="DC16" s="39">
        <v>9625000</v>
      </c>
      <c r="DD16" s="39">
        <v>9375000</v>
      </c>
      <c r="DE16" s="39">
        <v>5381000</v>
      </c>
      <c r="DF16" s="62">
        <v>5611000</v>
      </c>
      <c r="DG16" s="41">
        <v>95.899999999999991</v>
      </c>
      <c r="DH16" s="41">
        <v>19.059999999999999</v>
      </c>
      <c r="DI16" s="41">
        <v>1.9800000000000002</v>
      </c>
      <c r="DJ16" s="37" t="s">
        <v>390</v>
      </c>
      <c r="DK16" s="40">
        <v>15000</v>
      </c>
      <c r="DL16" s="40">
        <v>234000</v>
      </c>
      <c r="DM16" s="40">
        <v>0</v>
      </c>
      <c r="DN16" s="40">
        <v>10047</v>
      </c>
      <c r="DO16" s="40">
        <v>3916</v>
      </c>
      <c r="DP16" s="40">
        <v>337798</v>
      </c>
      <c r="DQ16" s="64">
        <v>2</v>
      </c>
      <c r="DR16" s="40">
        <v>12165</v>
      </c>
      <c r="DS16" s="65">
        <v>0</v>
      </c>
      <c r="DT16" s="38">
        <v>12</v>
      </c>
      <c r="DU16" s="66">
        <v>6640.666666666667</v>
      </c>
      <c r="DV16" s="41">
        <v>8.3333333333333321</v>
      </c>
      <c r="DW16" s="41">
        <v>91.666666666666657</v>
      </c>
      <c r="DX16" s="41">
        <v>0</v>
      </c>
      <c r="DY16" s="41">
        <v>0</v>
      </c>
      <c r="DZ16" s="41">
        <v>8.3333333333333321</v>
      </c>
      <c r="EA16" s="41">
        <v>58.333333333333336</v>
      </c>
      <c r="EB16" s="41">
        <v>33.333333333333329</v>
      </c>
      <c r="EC16" s="40">
        <v>512</v>
      </c>
      <c r="ED16" s="184">
        <v>155.640625</v>
      </c>
    </row>
    <row r="17" spans="1:134" s="13" customFormat="1">
      <c r="A17" s="156" t="s">
        <v>165</v>
      </c>
      <c r="B17" s="285">
        <v>2014</v>
      </c>
      <c r="C17" s="259">
        <v>9</v>
      </c>
      <c r="D17" s="80" t="s">
        <v>344</v>
      </c>
      <c r="E17" s="56">
        <v>14600.5</v>
      </c>
      <c r="F17" s="56">
        <v>3076</v>
      </c>
      <c r="G17" s="82">
        <v>2.5675225075025008</v>
      </c>
      <c r="H17" s="179">
        <v>0.2</v>
      </c>
      <c r="I17" s="56">
        <v>1549</v>
      </c>
      <c r="J17" s="56">
        <v>50.357607282184659</v>
      </c>
      <c r="K17" s="56">
        <v>1527</v>
      </c>
      <c r="L17" s="84">
        <v>49.642392717815341</v>
      </c>
      <c r="M17" s="160">
        <v>27.925877763328998</v>
      </c>
      <c r="N17" s="160">
        <v>48.732119635890768</v>
      </c>
      <c r="O17" s="160">
        <v>23.342002600780233</v>
      </c>
      <c r="P17" s="160">
        <v>39.564369310793239</v>
      </c>
      <c r="Q17" s="160">
        <v>37.093628088426527</v>
      </c>
      <c r="R17" s="160">
        <v>23.342002600780233</v>
      </c>
      <c r="S17" s="83">
        <v>14.408824543260945</v>
      </c>
      <c r="T17" s="83">
        <v>2</v>
      </c>
      <c r="U17" s="38">
        <v>40</v>
      </c>
      <c r="V17" s="41">
        <v>5.0999999999999996</v>
      </c>
      <c r="W17" s="40">
        <v>50534</v>
      </c>
      <c r="X17" s="41">
        <v>2.5</v>
      </c>
      <c r="Y17" s="42" t="s">
        <v>351</v>
      </c>
      <c r="Z17" s="43">
        <v>472</v>
      </c>
      <c r="AA17" s="45">
        <v>1</v>
      </c>
      <c r="AB17" s="67">
        <v>24</v>
      </c>
      <c r="AC17" s="63">
        <v>1260.53</v>
      </c>
      <c r="AD17" s="43">
        <v>40</v>
      </c>
      <c r="AE17" s="44">
        <v>4.09</v>
      </c>
      <c r="AF17" s="44">
        <v>5.4379999999999997</v>
      </c>
      <c r="AG17" s="41">
        <v>61.78</v>
      </c>
      <c r="AH17" s="41">
        <v>38.22</v>
      </c>
      <c r="AI17" s="44">
        <v>6.37</v>
      </c>
      <c r="AJ17" s="41">
        <v>4041</v>
      </c>
      <c r="AK17" s="41">
        <v>6.4143681847338048E-3</v>
      </c>
      <c r="AL17" s="41">
        <v>8.5060000000000002</v>
      </c>
      <c r="AM17" s="39">
        <v>13575</v>
      </c>
      <c r="AN17" s="39">
        <v>14270.4</v>
      </c>
      <c r="AO17" s="40">
        <v>14965</v>
      </c>
      <c r="AP17" s="40">
        <v>15909</v>
      </c>
      <c r="AQ17" s="39">
        <v>237000</v>
      </c>
      <c r="AR17" s="44">
        <v>219.85157699443414</v>
      </c>
      <c r="AS17" s="39">
        <v>1078</v>
      </c>
      <c r="AT17" s="46">
        <v>214000</v>
      </c>
      <c r="AU17" s="50">
        <v>197.7818853974122</v>
      </c>
      <c r="AV17" s="39">
        <v>1082</v>
      </c>
      <c r="AW17" s="46">
        <v>263000</v>
      </c>
      <c r="AX17" s="47">
        <v>240.1826484018265</v>
      </c>
      <c r="AY17" s="39">
        <v>1095</v>
      </c>
      <c r="AZ17" s="41">
        <v>56.3</v>
      </c>
      <c r="BA17" s="41">
        <v>18.082191780821919</v>
      </c>
      <c r="BB17" s="46">
        <v>1591000</v>
      </c>
      <c r="BC17" s="48">
        <v>2421.6133942161341</v>
      </c>
      <c r="BD17" s="40">
        <v>657</v>
      </c>
      <c r="BE17" s="46">
        <v>223000</v>
      </c>
      <c r="BF17" s="44">
        <v>899.19354838709683</v>
      </c>
      <c r="BG17" s="40">
        <v>248</v>
      </c>
      <c r="BH17" s="46">
        <v>550000</v>
      </c>
      <c r="BI17" s="49">
        <v>183333.33333333334</v>
      </c>
      <c r="BJ17" s="45">
        <v>3</v>
      </c>
      <c r="BK17" s="47">
        <v>114.87770346402741</v>
      </c>
      <c r="BL17" s="55">
        <v>2701000</v>
      </c>
      <c r="BM17" s="41">
        <v>18.064472980203316</v>
      </c>
      <c r="BN17" s="56">
        <v>3193000</v>
      </c>
      <c r="BO17" s="41">
        <v>21.355002675227393</v>
      </c>
      <c r="BP17" s="56">
        <v>1081000</v>
      </c>
      <c r="BQ17" s="41">
        <v>7.2298020331728194</v>
      </c>
      <c r="BR17" s="39">
        <v>427000</v>
      </c>
      <c r="BS17" s="41">
        <v>2.8558052434456931</v>
      </c>
      <c r="BT17" s="39">
        <v>1131000</v>
      </c>
      <c r="BU17" s="41">
        <v>7.5642054574638848</v>
      </c>
      <c r="BV17" s="56">
        <v>4908000</v>
      </c>
      <c r="BW17" s="41">
        <v>32.825040128410912</v>
      </c>
      <c r="BX17" s="40">
        <v>1511000</v>
      </c>
      <c r="BY17" s="41">
        <v>10.105671482075977</v>
      </c>
      <c r="BZ17" s="57">
        <v>878.0884265279584</v>
      </c>
      <c r="CA17" s="58">
        <v>351.43042912873864</v>
      </c>
      <c r="CB17" s="59">
        <v>927.8283485045514</v>
      </c>
      <c r="CC17" s="47">
        <v>138.81664499349804</v>
      </c>
      <c r="CD17" s="58">
        <v>304.94148244473342</v>
      </c>
      <c r="CE17" s="59">
        <v>110.20806241872562</v>
      </c>
      <c r="CF17" s="59">
        <v>491.22236671001298</v>
      </c>
      <c r="CG17" s="59">
        <v>62.743823146944081</v>
      </c>
      <c r="CH17" s="47">
        <v>1595.5786736020807</v>
      </c>
      <c r="CI17" s="43">
        <v>1653</v>
      </c>
      <c r="CJ17" s="44">
        <v>363.47031963470317</v>
      </c>
      <c r="CK17" s="60">
        <v>13.482161060142712</v>
      </c>
      <c r="CL17" s="53">
        <v>132.26</v>
      </c>
      <c r="CM17" s="41">
        <v>13.482161060142712</v>
      </c>
      <c r="CN17" s="53" t="s">
        <v>382</v>
      </c>
      <c r="CO17" s="41">
        <v>0</v>
      </c>
      <c r="CP17" s="54">
        <v>848.74</v>
      </c>
      <c r="CQ17" s="41">
        <v>86.517838939857299</v>
      </c>
      <c r="CR17" s="43">
        <v>1696</v>
      </c>
      <c r="CS17" s="52">
        <v>50.235849056603776</v>
      </c>
      <c r="CT17" s="41">
        <v>1605.2</v>
      </c>
      <c r="CU17" s="41">
        <v>521.84655396618984</v>
      </c>
      <c r="CV17" s="52">
        <v>74.900000000000006</v>
      </c>
      <c r="CW17" s="38">
        <v>1</v>
      </c>
      <c r="CX17" s="38">
        <v>5</v>
      </c>
      <c r="CY17" s="51">
        <v>1</v>
      </c>
      <c r="CZ17" s="61">
        <v>3.5409622886866061</v>
      </c>
      <c r="DA17" s="39">
        <v>3450000</v>
      </c>
      <c r="DB17" s="39">
        <v>3443000</v>
      </c>
      <c r="DC17" s="39">
        <v>2773000</v>
      </c>
      <c r="DD17" s="39">
        <v>3167000</v>
      </c>
      <c r="DE17" s="39">
        <v>3497000</v>
      </c>
      <c r="DF17" s="62">
        <v>1273000</v>
      </c>
      <c r="DG17" s="41">
        <v>274.71000000000004</v>
      </c>
      <c r="DH17" s="41">
        <v>60.88</v>
      </c>
      <c r="DI17" s="41">
        <v>2.9499999999999997</v>
      </c>
      <c r="DJ17" s="37" t="s">
        <v>390</v>
      </c>
      <c r="DK17" s="40">
        <v>11000</v>
      </c>
      <c r="DL17" s="40">
        <v>91000</v>
      </c>
      <c r="DM17" s="40">
        <v>0</v>
      </c>
      <c r="DN17" s="40">
        <v>1413</v>
      </c>
      <c r="DO17" s="40">
        <v>3083</v>
      </c>
      <c r="DP17" s="40">
        <v>224396</v>
      </c>
      <c r="DQ17" s="64">
        <v>0</v>
      </c>
      <c r="DR17" s="40">
        <v>0</v>
      </c>
      <c r="DS17" s="65">
        <v>0</v>
      </c>
      <c r="DT17" s="38">
        <v>9</v>
      </c>
      <c r="DU17" s="66">
        <v>341.77777777777777</v>
      </c>
      <c r="DV17" s="41">
        <v>33.333333333333329</v>
      </c>
      <c r="DW17" s="41">
        <v>66.666666666666657</v>
      </c>
      <c r="DX17" s="41">
        <v>0</v>
      </c>
      <c r="DY17" s="41">
        <v>0</v>
      </c>
      <c r="DZ17" s="41">
        <v>0</v>
      </c>
      <c r="EA17" s="41">
        <v>33.333333333333329</v>
      </c>
      <c r="EB17" s="41">
        <v>66.666666666666657</v>
      </c>
      <c r="EC17" s="40">
        <v>66</v>
      </c>
      <c r="ED17" s="184">
        <v>46.606060606060609</v>
      </c>
    </row>
    <row r="18" spans="1:134" s="13" customFormat="1">
      <c r="A18" s="156" t="s">
        <v>166</v>
      </c>
      <c r="B18" s="285">
        <v>2014</v>
      </c>
      <c r="C18" s="259">
        <v>9</v>
      </c>
      <c r="D18" s="80" t="s">
        <v>344</v>
      </c>
      <c r="E18" s="56">
        <v>3946.6</v>
      </c>
      <c r="F18" s="56">
        <v>2422</v>
      </c>
      <c r="G18" s="82">
        <v>-3.7360890302066774</v>
      </c>
      <c r="H18" s="179">
        <v>0.6</v>
      </c>
      <c r="I18" s="56">
        <v>1211</v>
      </c>
      <c r="J18" s="56">
        <v>50</v>
      </c>
      <c r="K18" s="56">
        <v>1211</v>
      </c>
      <c r="L18" s="84">
        <v>50</v>
      </c>
      <c r="M18" s="160">
        <v>23.534269199009085</v>
      </c>
      <c r="N18" s="160">
        <v>47.151114781172588</v>
      </c>
      <c r="O18" s="160">
        <v>29.314616019818331</v>
      </c>
      <c r="P18" s="160">
        <v>31.998348472336914</v>
      </c>
      <c r="Q18" s="160">
        <v>38.687035507844755</v>
      </c>
      <c r="R18" s="160">
        <v>29.314616019818331</v>
      </c>
      <c r="S18" s="83">
        <v>1.9526381387619443</v>
      </c>
      <c r="T18" s="83">
        <v>2</v>
      </c>
      <c r="U18" s="38">
        <v>45</v>
      </c>
      <c r="V18" s="41">
        <v>2.9</v>
      </c>
      <c r="W18" s="40">
        <v>42048</v>
      </c>
      <c r="X18" s="41">
        <v>2.2000000000000002</v>
      </c>
      <c r="Y18" s="42" t="s">
        <v>351</v>
      </c>
      <c r="Z18" s="43">
        <v>411</v>
      </c>
      <c r="AA18" s="45">
        <v>1</v>
      </c>
      <c r="AB18" s="67">
        <v>25</v>
      </c>
      <c r="AC18" s="63">
        <v>1822.1769999999999</v>
      </c>
      <c r="AD18" s="43">
        <v>26</v>
      </c>
      <c r="AE18" s="44">
        <v>-11.82</v>
      </c>
      <c r="AF18" s="44">
        <v>6.7084000000000001</v>
      </c>
      <c r="AG18" s="41">
        <v>60.32</v>
      </c>
      <c r="AH18" s="41">
        <v>39.68</v>
      </c>
      <c r="AI18" s="44">
        <v>11.02</v>
      </c>
      <c r="AJ18" s="41">
        <v>150</v>
      </c>
      <c r="AK18" s="41">
        <v>0</v>
      </c>
      <c r="AL18" s="41">
        <v>14.045499999999999</v>
      </c>
      <c r="AM18" s="39">
        <v>13455</v>
      </c>
      <c r="AN18" s="39">
        <v>11893</v>
      </c>
      <c r="AO18" s="40">
        <v>11599</v>
      </c>
      <c r="AP18" s="40">
        <v>10860</v>
      </c>
      <c r="AQ18" s="39">
        <v>562000</v>
      </c>
      <c r="AR18" s="44">
        <v>508.59728506787332</v>
      </c>
      <c r="AS18" s="39">
        <v>1105</v>
      </c>
      <c r="AT18" s="46">
        <v>584000</v>
      </c>
      <c r="AU18" s="50">
        <v>528.98550724637676</v>
      </c>
      <c r="AV18" s="39">
        <v>1104</v>
      </c>
      <c r="AW18" s="46">
        <v>603000</v>
      </c>
      <c r="AX18" s="47">
        <v>544.71544715447158</v>
      </c>
      <c r="AY18" s="39">
        <v>1107</v>
      </c>
      <c r="AZ18" s="41">
        <v>60</v>
      </c>
      <c r="BA18" s="41">
        <v>26.016260162601629</v>
      </c>
      <c r="BB18" s="46">
        <v>1438000</v>
      </c>
      <c r="BC18" s="48">
        <v>2326.8608414239484</v>
      </c>
      <c r="BD18" s="40">
        <v>618</v>
      </c>
      <c r="BE18" s="46">
        <v>143000</v>
      </c>
      <c r="BF18" s="44">
        <v>916.66666666666663</v>
      </c>
      <c r="BG18" s="40">
        <v>156</v>
      </c>
      <c r="BH18" s="49" t="s">
        <v>382</v>
      </c>
      <c r="BI18" s="49" t="s">
        <v>382</v>
      </c>
      <c r="BJ18" s="213">
        <v>0</v>
      </c>
      <c r="BK18" s="47">
        <v>133.31768315018314</v>
      </c>
      <c r="BL18" s="55">
        <v>2473000</v>
      </c>
      <c r="BM18" s="41">
        <v>21.320803517544615</v>
      </c>
      <c r="BN18" s="56">
        <v>1986000</v>
      </c>
      <c r="BO18" s="41">
        <v>17.122165703939995</v>
      </c>
      <c r="BP18" s="56">
        <v>575000</v>
      </c>
      <c r="BQ18" s="41">
        <v>4.9573239072333823</v>
      </c>
      <c r="BR18" s="39">
        <v>868000</v>
      </c>
      <c r="BS18" s="41">
        <v>7.4834037417018706</v>
      </c>
      <c r="BT18" s="39">
        <v>608000</v>
      </c>
      <c r="BU18" s="41">
        <v>5.2418311923441676</v>
      </c>
      <c r="BV18" s="56">
        <v>3081000</v>
      </c>
      <c r="BW18" s="41">
        <v>26.562634709888783</v>
      </c>
      <c r="BX18" s="40">
        <v>2008000</v>
      </c>
      <c r="BY18" s="41">
        <v>17.311837227347183</v>
      </c>
      <c r="BZ18" s="57">
        <v>1021.0569777043765</v>
      </c>
      <c r="CA18" s="58">
        <v>237.40710156895128</v>
      </c>
      <c r="CB18" s="59">
        <v>580.09909165978524</v>
      </c>
      <c r="CC18" s="47">
        <v>358.38150289017341</v>
      </c>
      <c r="CD18" s="58">
        <v>216.35012386457473</v>
      </c>
      <c r="CE18" s="59">
        <v>239.88439306358381</v>
      </c>
      <c r="CF18" s="59">
        <v>829.06688687035512</v>
      </c>
      <c r="CG18" s="59">
        <v>34.682080924855491</v>
      </c>
      <c r="CH18" s="47">
        <v>1272.0891824938067</v>
      </c>
      <c r="CI18" s="43">
        <v>1325</v>
      </c>
      <c r="CJ18" s="44">
        <v>278.22944896115627</v>
      </c>
      <c r="CK18" s="60">
        <v>5.434798908316588</v>
      </c>
      <c r="CL18" s="53">
        <v>434.90999999999997</v>
      </c>
      <c r="CM18" s="41">
        <v>5.434798908316588</v>
      </c>
      <c r="CN18" s="53" t="s">
        <v>382</v>
      </c>
      <c r="CO18" s="41">
        <v>0</v>
      </c>
      <c r="CP18" s="54">
        <v>7567.41</v>
      </c>
      <c r="CQ18" s="41">
        <v>94.56520109168342</v>
      </c>
      <c r="CR18" s="43">
        <v>1288</v>
      </c>
      <c r="CS18" s="52">
        <v>52.173913043478258</v>
      </c>
      <c r="CT18" s="41">
        <v>752.77</v>
      </c>
      <c r="CU18" s="41">
        <v>310.80511973575557</v>
      </c>
      <c r="CV18" s="52">
        <v>41.5</v>
      </c>
      <c r="CW18" s="38">
        <v>1</v>
      </c>
      <c r="CX18" s="38">
        <v>14</v>
      </c>
      <c r="CY18" s="51">
        <v>1</v>
      </c>
      <c r="CZ18" s="61">
        <v>4.0986787778695293</v>
      </c>
      <c r="DA18" s="39">
        <v>1700000</v>
      </c>
      <c r="DB18" s="39">
        <v>1389000</v>
      </c>
      <c r="DC18" s="39">
        <v>1632000</v>
      </c>
      <c r="DD18" s="39">
        <v>2903000</v>
      </c>
      <c r="DE18" s="39">
        <v>1166000</v>
      </c>
      <c r="DF18" s="62">
        <v>1933000</v>
      </c>
      <c r="DG18" s="41">
        <v>60.319999999999993</v>
      </c>
      <c r="DH18" s="41">
        <v>57.67</v>
      </c>
      <c r="DI18" s="41">
        <v>20.669999999999998</v>
      </c>
      <c r="DJ18" s="37" t="s">
        <v>390</v>
      </c>
      <c r="DK18" s="40">
        <v>3000</v>
      </c>
      <c r="DL18" s="40">
        <v>86000</v>
      </c>
      <c r="DM18" s="40">
        <v>0</v>
      </c>
      <c r="DN18" s="40">
        <v>3077</v>
      </c>
      <c r="DO18" s="40">
        <v>0</v>
      </c>
      <c r="DP18" s="40">
        <v>154550</v>
      </c>
      <c r="DQ18" s="64">
        <v>0</v>
      </c>
      <c r="DR18" s="40">
        <v>0</v>
      </c>
      <c r="DS18" s="65">
        <v>0</v>
      </c>
      <c r="DT18" s="38">
        <v>7</v>
      </c>
      <c r="DU18" s="66">
        <v>346</v>
      </c>
      <c r="DV18" s="41">
        <v>28.571428571428569</v>
      </c>
      <c r="DW18" s="41">
        <v>71.428571428571431</v>
      </c>
      <c r="DX18" s="41">
        <v>0</v>
      </c>
      <c r="DY18" s="41">
        <v>0</v>
      </c>
      <c r="DZ18" s="41">
        <v>0</v>
      </c>
      <c r="EA18" s="41">
        <v>71.428571428571431</v>
      </c>
      <c r="EB18" s="41">
        <v>28.571428571428569</v>
      </c>
      <c r="EC18" s="40">
        <v>42</v>
      </c>
      <c r="ED18" s="184">
        <v>57.666666666666664</v>
      </c>
    </row>
    <row r="19" spans="1:134" s="13" customFormat="1">
      <c r="A19" s="156" t="s">
        <v>167</v>
      </c>
      <c r="B19" s="285">
        <v>2014</v>
      </c>
      <c r="C19" s="259">
        <v>9</v>
      </c>
      <c r="D19" s="80" t="s">
        <v>344</v>
      </c>
      <c r="E19" s="56">
        <v>2578</v>
      </c>
      <c r="F19" s="56">
        <v>2602</v>
      </c>
      <c r="G19" s="82">
        <v>7.8325735598839623</v>
      </c>
      <c r="H19" s="179">
        <v>1</v>
      </c>
      <c r="I19" s="56">
        <v>1343</v>
      </c>
      <c r="J19" s="56">
        <v>51.614142966948506</v>
      </c>
      <c r="K19" s="56">
        <v>1259</v>
      </c>
      <c r="L19" s="84">
        <v>48.385857033051501</v>
      </c>
      <c r="M19" s="160">
        <v>25.441967717140663</v>
      </c>
      <c r="N19" s="160">
        <v>44.965411222136822</v>
      </c>
      <c r="O19" s="160">
        <v>29.592621060722525</v>
      </c>
      <c r="P19" s="160">
        <v>34.819369715603379</v>
      </c>
      <c r="Q19" s="160">
        <v>35.588009223674092</v>
      </c>
      <c r="R19" s="160">
        <v>29.592621060722525</v>
      </c>
      <c r="S19" s="83">
        <v>2.0008336807002918</v>
      </c>
      <c r="T19" s="83">
        <v>1.4</v>
      </c>
      <c r="U19" s="38">
        <v>74</v>
      </c>
      <c r="V19" s="41">
        <v>2.9</v>
      </c>
      <c r="W19" s="40">
        <v>40281</v>
      </c>
      <c r="X19" s="41">
        <v>2.2999999999999998</v>
      </c>
      <c r="Y19" s="42" t="s">
        <v>351</v>
      </c>
      <c r="Z19" s="38">
        <v>331</v>
      </c>
      <c r="AA19" s="45">
        <v>1</v>
      </c>
      <c r="AB19" s="67">
        <v>29</v>
      </c>
      <c r="AC19" s="63">
        <v>4364.5140000000001</v>
      </c>
      <c r="AD19" s="43">
        <v>34</v>
      </c>
      <c r="AE19" s="44">
        <v>0.19</v>
      </c>
      <c r="AF19" s="44">
        <v>5.1519000000000004</v>
      </c>
      <c r="AG19" s="41">
        <v>51.54</v>
      </c>
      <c r="AH19" s="41">
        <v>48.46</v>
      </c>
      <c r="AI19" s="44">
        <v>11.41</v>
      </c>
      <c r="AJ19" s="41">
        <v>7.8954999999999993</v>
      </c>
      <c r="AK19" s="41">
        <v>3.8667766549804083</v>
      </c>
      <c r="AL19" s="41">
        <v>12.514200000000001</v>
      </c>
      <c r="AM19" s="39">
        <v>8774</v>
      </c>
      <c r="AN19" s="39">
        <v>10174</v>
      </c>
      <c r="AO19" s="40">
        <v>9880</v>
      </c>
      <c r="AP19" s="40">
        <v>12268</v>
      </c>
      <c r="AQ19" s="39">
        <v>483000</v>
      </c>
      <c r="AR19" s="44">
        <v>445.98337950138506</v>
      </c>
      <c r="AS19" s="39">
        <v>1083</v>
      </c>
      <c r="AT19" s="46">
        <v>451000</v>
      </c>
      <c r="AU19" s="50">
        <v>410</v>
      </c>
      <c r="AV19" s="39">
        <v>1100</v>
      </c>
      <c r="AW19" s="46">
        <v>520000</v>
      </c>
      <c r="AX19" s="47">
        <v>472.72727272727275</v>
      </c>
      <c r="AY19" s="39">
        <v>1100</v>
      </c>
      <c r="AZ19" s="41">
        <v>62.8</v>
      </c>
      <c r="BA19" s="41">
        <v>25.454545454545453</v>
      </c>
      <c r="BB19" s="46">
        <v>1704000</v>
      </c>
      <c r="BC19" s="48">
        <v>2308.9430894308944</v>
      </c>
      <c r="BD19" s="40">
        <v>738</v>
      </c>
      <c r="BE19" s="46">
        <v>36000</v>
      </c>
      <c r="BF19" s="44">
        <v>521.73913043478262</v>
      </c>
      <c r="BG19" s="40">
        <v>69</v>
      </c>
      <c r="BH19" s="46">
        <v>6000</v>
      </c>
      <c r="BI19" s="49">
        <v>6000</v>
      </c>
      <c r="BJ19" s="45">
        <v>1</v>
      </c>
      <c r="BK19" s="47">
        <v>176.38535789938217</v>
      </c>
      <c r="BL19" s="55">
        <v>1430000</v>
      </c>
      <c r="BM19" s="41">
        <v>14.473684210526317</v>
      </c>
      <c r="BN19" s="56">
        <v>1752000</v>
      </c>
      <c r="BO19" s="41">
        <v>17.732793522267208</v>
      </c>
      <c r="BP19" s="56">
        <v>674000</v>
      </c>
      <c r="BQ19" s="41">
        <v>6.8218623481781373</v>
      </c>
      <c r="BR19" s="39">
        <v>231000</v>
      </c>
      <c r="BS19" s="41">
        <v>2.3380566801619431</v>
      </c>
      <c r="BT19" s="39">
        <v>766000</v>
      </c>
      <c r="BU19" s="41">
        <v>7.7530364372469629</v>
      </c>
      <c r="BV19" s="56">
        <v>3135000</v>
      </c>
      <c r="BW19" s="41">
        <v>31.73076923076923</v>
      </c>
      <c r="BX19" s="40">
        <v>1892000</v>
      </c>
      <c r="BY19" s="41">
        <v>19.149797570850204</v>
      </c>
      <c r="BZ19" s="57">
        <v>549.57724827056109</v>
      </c>
      <c r="CA19" s="58">
        <v>259.03151421983091</v>
      </c>
      <c r="CB19" s="59">
        <v>557.26364335126823</v>
      </c>
      <c r="CC19" s="47">
        <v>88.777863182167565</v>
      </c>
      <c r="CD19" s="58">
        <v>263.25903151421983</v>
      </c>
      <c r="CE19" s="59">
        <v>116.06456571867794</v>
      </c>
      <c r="CF19" s="59">
        <v>727.13297463489619</v>
      </c>
      <c r="CG19" s="59">
        <v>31.129900076863951</v>
      </c>
      <c r="CH19" s="47">
        <v>1204.8424289008456</v>
      </c>
      <c r="CI19" s="43">
        <v>1457</v>
      </c>
      <c r="CJ19" s="44">
        <v>117.27272727272727</v>
      </c>
      <c r="CK19" s="60">
        <v>20.88307783588251</v>
      </c>
      <c r="CL19" s="53">
        <v>470.084</v>
      </c>
      <c r="CM19" s="41">
        <v>20.448089837201394</v>
      </c>
      <c r="CN19" s="53">
        <v>10</v>
      </c>
      <c r="CO19" s="41">
        <v>0.43498799868111643</v>
      </c>
      <c r="CP19" s="54">
        <v>1818.83</v>
      </c>
      <c r="CQ19" s="41">
        <v>79.116922164117497</v>
      </c>
      <c r="CR19" s="43">
        <v>915</v>
      </c>
      <c r="CS19" s="52">
        <v>34.0983606557377</v>
      </c>
      <c r="CT19" s="41">
        <v>721.1</v>
      </c>
      <c r="CU19" s="41">
        <v>277.13297463489624</v>
      </c>
      <c r="CV19" s="52">
        <v>56</v>
      </c>
      <c r="CW19" s="38">
        <v>1</v>
      </c>
      <c r="CX19" s="38">
        <v>1</v>
      </c>
      <c r="CY19" s="51">
        <v>1</v>
      </c>
      <c r="CZ19" s="61">
        <v>1.7747886241352806</v>
      </c>
      <c r="DA19" s="39">
        <v>986000</v>
      </c>
      <c r="DB19" s="39">
        <v>1347000</v>
      </c>
      <c r="DC19" s="39">
        <v>1586000</v>
      </c>
      <c r="DD19" s="39">
        <v>3632628.0129999998</v>
      </c>
      <c r="DE19" s="39">
        <v>1914000</v>
      </c>
      <c r="DF19" s="62">
        <v>1738000</v>
      </c>
      <c r="DG19" s="41">
        <v>110.13</v>
      </c>
      <c r="DH19" s="41">
        <v>173.53</v>
      </c>
      <c r="DI19" s="41">
        <v>3.92</v>
      </c>
      <c r="DJ19" s="37" t="s">
        <v>390</v>
      </c>
      <c r="DK19" s="40">
        <v>38000</v>
      </c>
      <c r="DL19" s="40">
        <v>120000</v>
      </c>
      <c r="DM19" s="40">
        <v>0</v>
      </c>
      <c r="DN19" s="40">
        <v>18000</v>
      </c>
      <c r="DO19" s="40">
        <v>12602</v>
      </c>
      <c r="DP19" s="40">
        <v>178454</v>
      </c>
      <c r="DQ19" s="64">
        <v>0</v>
      </c>
      <c r="DR19" s="40">
        <v>0</v>
      </c>
      <c r="DS19" s="65">
        <v>0</v>
      </c>
      <c r="DT19" s="38">
        <v>9</v>
      </c>
      <c r="DU19" s="66">
        <v>289.11111111111109</v>
      </c>
      <c r="DV19" s="41">
        <v>11.111111111111111</v>
      </c>
      <c r="DW19" s="41">
        <v>88.888888888888886</v>
      </c>
      <c r="DX19" s="41">
        <v>0</v>
      </c>
      <c r="DY19" s="41">
        <v>0</v>
      </c>
      <c r="DZ19" s="41">
        <v>0</v>
      </c>
      <c r="EA19" s="41">
        <v>77.777777777777786</v>
      </c>
      <c r="EB19" s="41">
        <v>22.222222222222221</v>
      </c>
      <c r="EC19" s="40">
        <v>56</v>
      </c>
      <c r="ED19" s="184">
        <v>46.464285714285715</v>
      </c>
    </row>
    <row r="20" spans="1:134" s="13" customFormat="1">
      <c r="A20" s="156" t="s">
        <v>168</v>
      </c>
      <c r="B20" s="285">
        <v>2014</v>
      </c>
      <c r="C20" s="259">
        <v>2</v>
      </c>
      <c r="D20" s="80" t="s">
        <v>343</v>
      </c>
      <c r="E20" s="56">
        <v>21.7</v>
      </c>
      <c r="F20" s="56">
        <v>44742</v>
      </c>
      <c r="G20" s="82">
        <v>11.782341478039275</v>
      </c>
      <c r="H20" s="179">
        <v>2063.1</v>
      </c>
      <c r="I20" s="56">
        <v>22283</v>
      </c>
      <c r="J20" s="56">
        <v>49.803316794063747</v>
      </c>
      <c r="K20" s="56">
        <v>22459</v>
      </c>
      <c r="L20" s="84">
        <v>50.196683205936253</v>
      </c>
      <c r="M20" s="160">
        <v>23.286844575566583</v>
      </c>
      <c r="N20" s="160">
        <v>57.927674221089809</v>
      </c>
      <c r="O20" s="160">
        <v>18.785481203343615</v>
      </c>
      <c r="P20" s="160">
        <v>39.164543382057126</v>
      </c>
      <c r="Q20" s="160">
        <v>42.049975414599253</v>
      </c>
      <c r="R20" s="160">
        <v>18.785481203343615</v>
      </c>
      <c r="S20" s="83">
        <v>1.5576165671452167</v>
      </c>
      <c r="T20" s="83">
        <v>44.1</v>
      </c>
      <c r="U20" s="38">
        <v>105</v>
      </c>
      <c r="V20" s="41">
        <v>6.8</v>
      </c>
      <c r="W20" s="40">
        <v>53177</v>
      </c>
      <c r="X20" s="41">
        <v>2.6</v>
      </c>
      <c r="Y20" s="42" t="s">
        <v>350</v>
      </c>
      <c r="Z20" s="43">
        <v>4426</v>
      </c>
      <c r="AA20" s="45">
        <v>55</v>
      </c>
      <c r="AB20" s="63">
        <v>166</v>
      </c>
      <c r="AC20" s="63">
        <v>649840.79099999997</v>
      </c>
      <c r="AD20" s="43">
        <v>143</v>
      </c>
      <c r="AE20" s="44">
        <v>0.82</v>
      </c>
      <c r="AF20" s="44">
        <v>1.6722999999999999</v>
      </c>
      <c r="AG20" s="41">
        <v>66.94</v>
      </c>
      <c r="AH20" s="41">
        <v>33.06</v>
      </c>
      <c r="AI20" s="44">
        <v>5.07</v>
      </c>
      <c r="AJ20" s="41">
        <v>0</v>
      </c>
      <c r="AK20" s="41">
        <v>0</v>
      </c>
      <c r="AL20" s="41">
        <v>13.2</v>
      </c>
      <c r="AM20" s="39">
        <v>53059</v>
      </c>
      <c r="AN20" s="39">
        <v>57295</v>
      </c>
      <c r="AO20" s="40">
        <v>60755</v>
      </c>
      <c r="AP20" s="40">
        <v>79783</v>
      </c>
      <c r="AQ20" s="39">
        <v>8763000</v>
      </c>
      <c r="AR20" s="44">
        <v>613.99943946188341</v>
      </c>
      <c r="AS20" s="39">
        <v>14272</v>
      </c>
      <c r="AT20" s="46">
        <v>9270000</v>
      </c>
      <c r="AU20" s="50">
        <v>648.79619260918253</v>
      </c>
      <c r="AV20" s="39">
        <v>14288</v>
      </c>
      <c r="AW20" s="46">
        <v>9667000</v>
      </c>
      <c r="AX20" s="47">
        <v>624.64461101059703</v>
      </c>
      <c r="AY20" s="39">
        <v>15476</v>
      </c>
      <c r="AZ20" s="41">
        <v>70.7</v>
      </c>
      <c r="BA20" s="41">
        <v>15.818040837425693</v>
      </c>
      <c r="BB20" s="48" t="s">
        <v>382</v>
      </c>
      <c r="BC20" s="48" t="s">
        <v>382</v>
      </c>
      <c r="BD20" s="40">
        <v>0</v>
      </c>
      <c r="BE20" s="46">
        <v>16361000</v>
      </c>
      <c r="BF20" s="44">
        <v>9207.0906021384362</v>
      </c>
      <c r="BG20" s="40">
        <v>1777</v>
      </c>
      <c r="BH20" s="49" t="s">
        <v>382</v>
      </c>
      <c r="BI20" s="49" t="s">
        <v>382</v>
      </c>
      <c r="BJ20" s="213">
        <v>0</v>
      </c>
      <c r="BK20" s="47">
        <v>331.89989515137546</v>
      </c>
      <c r="BL20" s="55">
        <v>13921000</v>
      </c>
      <c r="BM20" s="41">
        <v>22.913340465805284</v>
      </c>
      <c r="BN20" s="56">
        <v>1417000</v>
      </c>
      <c r="BO20" s="41">
        <v>2.3323183277096535</v>
      </c>
      <c r="BP20" s="56">
        <v>9872000</v>
      </c>
      <c r="BQ20" s="41">
        <v>16.248868405892519</v>
      </c>
      <c r="BR20" s="39">
        <v>6562000</v>
      </c>
      <c r="BS20" s="41">
        <v>10.800757139330095</v>
      </c>
      <c r="BT20" s="39">
        <v>11372000</v>
      </c>
      <c r="BU20" s="41">
        <v>18.717801004032587</v>
      </c>
      <c r="BV20" s="56">
        <v>4535000</v>
      </c>
      <c r="BW20" s="41">
        <v>7.4644062217101474</v>
      </c>
      <c r="BX20" s="40">
        <v>13076000</v>
      </c>
      <c r="BY20" s="41">
        <v>21.522508435519711</v>
      </c>
      <c r="BZ20" s="57">
        <v>311.13942157257162</v>
      </c>
      <c r="CA20" s="58">
        <v>220.64279647758258</v>
      </c>
      <c r="CB20" s="43" t="s">
        <v>382</v>
      </c>
      <c r="CC20" s="47">
        <v>146.6630906083769</v>
      </c>
      <c r="CD20" s="58">
        <v>221.46975995708729</v>
      </c>
      <c r="CE20" s="59">
        <v>31.670466228599526</v>
      </c>
      <c r="CF20" s="59">
        <v>292.25336372982878</v>
      </c>
      <c r="CG20" s="59">
        <v>32.698582986902686</v>
      </c>
      <c r="CH20" s="47">
        <v>101.35890215010505</v>
      </c>
      <c r="CI20" s="43" t="s">
        <v>382</v>
      </c>
      <c r="CJ20" s="44">
        <v>462.39338330317912</v>
      </c>
      <c r="CK20" s="60">
        <v>27.931227111911117</v>
      </c>
      <c r="CL20" s="53">
        <v>4030</v>
      </c>
      <c r="CM20" s="41">
        <v>25.013965613555953</v>
      </c>
      <c r="CN20" s="53">
        <v>470</v>
      </c>
      <c r="CO20" s="41">
        <v>2.917261498355161</v>
      </c>
      <c r="CP20" s="54">
        <v>11611</v>
      </c>
      <c r="CQ20" s="41">
        <v>72.068772888088887</v>
      </c>
      <c r="CR20" s="43">
        <v>8140</v>
      </c>
      <c r="CS20" s="52">
        <v>57.321867321867323</v>
      </c>
      <c r="CT20" s="41">
        <v>96.86</v>
      </c>
      <c r="CU20" s="41">
        <v>2.1648562871574808</v>
      </c>
      <c r="CV20" s="52">
        <v>96</v>
      </c>
      <c r="CW20" s="38">
        <v>1</v>
      </c>
      <c r="CX20" s="38">
        <v>4</v>
      </c>
      <c r="CY20" s="51">
        <v>2</v>
      </c>
      <c r="CZ20" s="61">
        <v>3.7814357874033346</v>
      </c>
      <c r="DA20" s="39">
        <v>4273000</v>
      </c>
      <c r="DB20" s="39">
        <v>2405000</v>
      </c>
      <c r="DC20" s="39">
        <v>3299000</v>
      </c>
      <c r="DD20" s="39">
        <v>4057000</v>
      </c>
      <c r="DE20" s="39">
        <v>2510000</v>
      </c>
      <c r="DF20" s="62">
        <v>2719000</v>
      </c>
      <c r="DG20" s="41">
        <v>92.31</v>
      </c>
      <c r="DH20" s="41">
        <v>150.85999999999999</v>
      </c>
      <c r="DI20" s="41">
        <v>4.1000000000000005</v>
      </c>
      <c r="DJ20" s="37" t="s">
        <v>390</v>
      </c>
      <c r="DK20" s="40">
        <v>97000</v>
      </c>
      <c r="DL20" s="40">
        <v>164000</v>
      </c>
      <c r="DM20" s="40">
        <v>0</v>
      </c>
      <c r="DN20" s="40">
        <v>42360</v>
      </c>
      <c r="DO20" s="40">
        <v>4574</v>
      </c>
      <c r="DP20" s="40">
        <v>315000</v>
      </c>
      <c r="DQ20" s="64">
        <v>1</v>
      </c>
      <c r="DR20" s="40">
        <v>250</v>
      </c>
      <c r="DS20" s="65">
        <v>0</v>
      </c>
      <c r="DT20" s="38">
        <v>7</v>
      </c>
      <c r="DU20" s="66">
        <v>6391.7142857142853</v>
      </c>
      <c r="DV20" s="41">
        <v>14.285714285714285</v>
      </c>
      <c r="DW20" s="41">
        <v>85.714285714285708</v>
      </c>
      <c r="DX20" s="41">
        <v>0</v>
      </c>
      <c r="DY20" s="41">
        <v>14.285714285714285</v>
      </c>
      <c r="DZ20" s="41">
        <v>0</v>
      </c>
      <c r="EA20" s="41">
        <v>71.428571428571431</v>
      </c>
      <c r="EB20" s="41">
        <v>28.571428571428569</v>
      </c>
      <c r="EC20" s="40">
        <v>324</v>
      </c>
      <c r="ED20" s="184">
        <v>138.09259259259258</v>
      </c>
    </row>
    <row r="21" spans="1:134" s="13" customFormat="1">
      <c r="A21" s="156" t="s">
        <v>169</v>
      </c>
      <c r="B21" s="285">
        <v>2014</v>
      </c>
      <c r="C21" s="259">
        <v>9</v>
      </c>
      <c r="D21" s="80" t="s">
        <v>344</v>
      </c>
      <c r="E21" s="56">
        <v>41604.5</v>
      </c>
      <c r="F21" s="56">
        <v>2973</v>
      </c>
      <c r="G21" s="82">
        <v>-1.3275804845668768</v>
      </c>
      <c r="H21" s="179">
        <v>0.1</v>
      </c>
      <c r="I21" s="56">
        <v>1561</v>
      </c>
      <c r="J21" s="56">
        <v>52.505886310124453</v>
      </c>
      <c r="K21" s="56">
        <v>1412</v>
      </c>
      <c r="L21" s="84">
        <v>47.494113689875547</v>
      </c>
      <c r="M21" s="160">
        <v>29.297006390850992</v>
      </c>
      <c r="N21" s="160">
        <v>53.447695930037</v>
      </c>
      <c r="O21" s="160">
        <v>17.255297679112008</v>
      </c>
      <c r="P21" s="160">
        <v>42.583249243188696</v>
      </c>
      <c r="Q21" s="160">
        <v>40.161453077699292</v>
      </c>
      <c r="R21" s="160">
        <v>17.255297679112008</v>
      </c>
      <c r="S21" s="83">
        <v>30.160390516039055</v>
      </c>
      <c r="T21" s="83">
        <v>1.5</v>
      </c>
      <c r="U21" s="38">
        <v>37</v>
      </c>
      <c r="V21" s="41">
        <v>10.9</v>
      </c>
      <c r="W21" s="40">
        <v>46682</v>
      </c>
      <c r="X21" s="41">
        <v>2.6</v>
      </c>
      <c r="Y21" s="42" t="s">
        <v>351</v>
      </c>
      <c r="Z21" s="43">
        <v>307</v>
      </c>
      <c r="AA21" s="45">
        <v>1</v>
      </c>
      <c r="AB21" s="67">
        <v>20</v>
      </c>
      <c r="AC21" s="63">
        <v>3598.989</v>
      </c>
      <c r="AD21" s="43">
        <v>25</v>
      </c>
      <c r="AE21" s="44">
        <v>7.39</v>
      </c>
      <c r="AF21" s="44">
        <v>2.2587999999999999</v>
      </c>
      <c r="AG21" s="41">
        <v>58.62</v>
      </c>
      <c r="AH21" s="41">
        <v>41.38</v>
      </c>
      <c r="AI21" s="44">
        <v>14.75</v>
      </c>
      <c r="AJ21" s="41">
        <v>5.3014999999999999</v>
      </c>
      <c r="AK21" s="41">
        <v>5.283787677805214</v>
      </c>
      <c r="AL21" s="41">
        <v>9.4075000000000006</v>
      </c>
      <c r="AM21" s="39">
        <v>21820</v>
      </c>
      <c r="AN21" s="39">
        <v>19566</v>
      </c>
      <c r="AO21" s="40">
        <v>18907.848000000002</v>
      </c>
      <c r="AP21" s="40">
        <v>22576.030999999999</v>
      </c>
      <c r="AQ21" s="39">
        <v>341000</v>
      </c>
      <c r="AR21" s="44">
        <v>298.07692307692309</v>
      </c>
      <c r="AS21" s="39">
        <v>1144</v>
      </c>
      <c r="AT21" s="46">
        <v>358000</v>
      </c>
      <c r="AU21" s="50">
        <v>313.48511383537652</v>
      </c>
      <c r="AV21" s="39">
        <v>1142</v>
      </c>
      <c r="AW21" s="46">
        <v>354000</v>
      </c>
      <c r="AX21" s="47">
        <v>309.44055944055947</v>
      </c>
      <c r="AY21" s="39">
        <v>1144</v>
      </c>
      <c r="AZ21" s="41">
        <v>47.8</v>
      </c>
      <c r="BA21" s="41">
        <v>12.062937062937063</v>
      </c>
      <c r="BB21" s="46">
        <v>1027000</v>
      </c>
      <c r="BC21" s="48">
        <v>2724.1379310344828</v>
      </c>
      <c r="BD21" s="40">
        <v>377</v>
      </c>
      <c r="BE21" s="46">
        <v>105000</v>
      </c>
      <c r="BF21" s="44">
        <v>477.27272727272725</v>
      </c>
      <c r="BG21" s="40">
        <v>220</v>
      </c>
      <c r="BH21" s="49" t="s">
        <v>382</v>
      </c>
      <c r="BI21" s="49" t="s">
        <v>382</v>
      </c>
      <c r="BJ21" s="213">
        <v>0</v>
      </c>
      <c r="BK21" s="47">
        <v>74.464747644683712</v>
      </c>
      <c r="BL21" s="55">
        <v>1260848</v>
      </c>
      <c r="BM21" s="41">
        <v>6.668384471887018</v>
      </c>
      <c r="BN21" s="56">
        <v>3752000</v>
      </c>
      <c r="BO21" s="41">
        <v>19.84361202819062</v>
      </c>
      <c r="BP21" s="56">
        <v>1085000</v>
      </c>
      <c r="BQ21" s="41">
        <v>5.7383579559133331</v>
      </c>
      <c r="BR21" s="39">
        <v>748000</v>
      </c>
      <c r="BS21" s="41">
        <v>3.9560292636158274</v>
      </c>
      <c r="BT21" s="39">
        <v>1142000</v>
      </c>
      <c r="BU21" s="41">
        <v>6.0398200789428813</v>
      </c>
      <c r="BV21" s="56">
        <v>4429000</v>
      </c>
      <c r="BW21" s="41">
        <v>23.424135840313504</v>
      </c>
      <c r="BX21" s="40">
        <v>6491000</v>
      </c>
      <c r="BY21" s="41">
        <v>34.329660361136817</v>
      </c>
      <c r="BZ21" s="57">
        <v>424.09956273124789</v>
      </c>
      <c r="CA21" s="58">
        <v>364.95122771611165</v>
      </c>
      <c r="CB21" s="59">
        <v>866.80121089808279</v>
      </c>
      <c r="CC21" s="47">
        <v>251.59771274806593</v>
      </c>
      <c r="CD21" s="58">
        <v>296.33366969391187</v>
      </c>
      <c r="CE21" s="59">
        <v>395.22367978472926</v>
      </c>
      <c r="CF21" s="59">
        <v>2183.3165153044065</v>
      </c>
      <c r="CG21" s="59">
        <v>87.790110998990912</v>
      </c>
      <c r="CH21" s="47">
        <v>1489.741002354524</v>
      </c>
      <c r="CI21" s="43">
        <v>1832</v>
      </c>
      <c r="CJ21" s="44">
        <v>222.90209790209789</v>
      </c>
      <c r="CK21" s="60">
        <v>52.476596965675547</v>
      </c>
      <c r="CL21" s="53">
        <v>470.24</v>
      </c>
      <c r="CM21" s="41">
        <v>42.164915175208925</v>
      </c>
      <c r="CN21" s="53">
        <v>115</v>
      </c>
      <c r="CO21" s="41">
        <v>10.311681790466626</v>
      </c>
      <c r="CP21" s="54">
        <v>530</v>
      </c>
      <c r="CQ21" s="41">
        <v>47.523403034324453</v>
      </c>
      <c r="CR21" s="43">
        <v>1913</v>
      </c>
      <c r="CS21" s="52">
        <v>53.94668060637742</v>
      </c>
      <c r="CT21" s="41">
        <v>2453.8599999999997</v>
      </c>
      <c r="CU21" s="41">
        <v>825.381769256643</v>
      </c>
      <c r="CV21" s="52">
        <v>220</v>
      </c>
      <c r="CW21" s="38">
        <v>1</v>
      </c>
      <c r="CX21" s="38">
        <v>6</v>
      </c>
      <c r="CY21" s="51">
        <v>1</v>
      </c>
      <c r="CZ21" s="61">
        <v>3.9320551631348808</v>
      </c>
      <c r="DA21" s="39">
        <v>4668000</v>
      </c>
      <c r="DB21" s="39">
        <v>21322000</v>
      </c>
      <c r="DC21" s="39">
        <v>5639000</v>
      </c>
      <c r="DD21" s="39">
        <v>5652000</v>
      </c>
      <c r="DE21" s="39">
        <v>3041330</v>
      </c>
      <c r="DF21" s="62">
        <v>3179000</v>
      </c>
      <c r="DG21" s="41">
        <v>95.67</v>
      </c>
      <c r="DH21" s="41">
        <v>158.73999999999998</v>
      </c>
      <c r="DI21" s="41">
        <v>9.43</v>
      </c>
      <c r="DJ21" s="37" t="s">
        <v>390</v>
      </c>
      <c r="DK21" s="40">
        <v>33000</v>
      </c>
      <c r="DL21" s="40">
        <v>129000</v>
      </c>
      <c r="DM21" s="40">
        <v>0</v>
      </c>
      <c r="DN21" s="40">
        <v>39472.19</v>
      </c>
      <c r="DO21" s="40">
        <v>3256</v>
      </c>
      <c r="DP21" s="40">
        <v>183427</v>
      </c>
      <c r="DQ21" s="64">
        <v>0</v>
      </c>
      <c r="DR21" s="40">
        <v>0</v>
      </c>
      <c r="DS21" s="65">
        <v>0</v>
      </c>
      <c r="DT21" s="38">
        <v>10</v>
      </c>
      <c r="DU21" s="66">
        <v>297.3</v>
      </c>
      <c r="DV21" s="41">
        <v>20</v>
      </c>
      <c r="DW21" s="41">
        <v>80</v>
      </c>
      <c r="DX21" s="41">
        <v>10</v>
      </c>
      <c r="DY21" s="41">
        <v>0</v>
      </c>
      <c r="DZ21" s="41">
        <v>10</v>
      </c>
      <c r="EA21" s="41">
        <v>40</v>
      </c>
      <c r="EB21" s="41">
        <v>50</v>
      </c>
      <c r="EC21" s="40">
        <v>81</v>
      </c>
      <c r="ED21" s="184">
        <v>36.703703703703702</v>
      </c>
    </row>
    <row r="22" spans="1:134" s="13" customFormat="1">
      <c r="A22" s="156" t="s">
        <v>170</v>
      </c>
      <c r="B22" s="285">
        <v>2014</v>
      </c>
      <c r="C22" s="259">
        <v>8</v>
      </c>
      <c r="D22" s="80" t="s">
        <v>344</v>
      </c>
      <c r="E22" s="56">
        <v>19165.2</v>
      </c>
      <c r="F22" s="56">
        <v>1931</v>
      </c>
      <c r="G22" s="82">
        <v>1.631578947368421</v>
      </c>
      <c r="H22" s="179">
        <v>0.1</v>
      </c>
      <c r="I22" s="56">
        <v>974</v>
      </c>
      <c r="J22" s="56">
        <v>50.440186431900571</v>
      </c>
      <c r="K22" s="56">
        <v>957</v>
      </c>
      <c r="L22" s="84">
        <v>49.559813568099429</v>
      </c>
      <c r="M22" s="160">
        <v>34.593474883480063</v>
      </c>
      <c r="N22" s="160">
        <v>51.268772656654583</v>
      </c>
      <c r="O22" s="160">
        <v>14.137752459865355</v>
      </c>
      <c r="P22" s="160">
        <v>48.679440704298294</v>
      </c>
      <c r="Q22" s="160">
        <v>37.182806835836352</v>
      </c>
      <c r="R22" s="160">
        <v>14.137752459865355</v>
      </c>
      <c r="S22" s="83">
        <v>59.116647791619478</v>
      </c>
      <c r="T22" s="83">
        <v>1.9</v>
      </c>
      <c r="U22" s="38">
        <v>1</v>
      </c>
      <c r="V22" s="41">
        <v>11</v>
      </c>
      <c r="W22" s="40">
        <v>46349</v>
      </c>
      <c r="X22" s="41">
        <v>2.6</v>
      </c>
      <c r="Y22" s="42" t="s">
        <v>351</v>
      </c>
      <c r="Z22" s="38">
        <v>189</v>
      </c>
      <c r="AA22" s="45">
        <v>0</v>
      </c>
      <c r="AB22" s="67">
        <v>14</v>
      </c>
      <c r="AC22" s="63">
        <v>1654.5</v>
      </c>
      <c r="AD22" s="43">
        <v>22</v>
      </c>
      <c r="AE22" s="44">
        <v>-5.68</v>
      </c>
      <c r="AF22" s="44">
        <v>2.0234999999999999</v>
      </c>
      <c r="AG22" s="41">
        <v>51.2</v>
      </c>
      <c r="AH22" s="41">
        <v>48.8</v>
      </c>
      <c r="AI22" s="44">
        <v>8.9600000000000009</v>
      </c>
      <c r="AJ22" s="41">
        <v>10.082100000000001</v>
      </c>
      <c r="AK22" s="41">
        <v>2.2466258697292312</v>
      </c>
      <c r="AL22" s="41">
        <v>5.6289999999999996</v>
      </c>
      <c r="AM22" s="39">
        <v>14882</v>
      </c>
      <c r="AN22" s="39">
        <v>13304</v>
      </c>
      <c r="AO22" s="40">
        <v>12812</v>
      </c>
      <c r="AP22" s="40">
        <v>12925</v>
      </c>
      <c r="AQ22" s="39">
        <v>73000</v>
      </c>
      <c r="AR22" s="44">
        <v>128.07017543859649</v>
      </c>
      <c r="AS22" s="39">
        <v>570</v>
      </c>
      <c r="AT22" s="46">
        <v>75000</v>
      </c>
      <c r="AU22" s="50">
        <v>130.66202090592336</v>
      </c>
      <c r="AV22" s="39">
        <v>574</v>
      </c>
      <c r="AW22" s="46">
        <v>80000</v>
      </c>
      <c r="AX22" s="47">
        <v>139.13043478260869</v>
      </c>
      <c r="AY22" s="39">
        <v>575</v>
      </c>
      <c r="AZ22" s="41">
        <v>47.9</v>
      </c>
      <c r="BA22" s="41">
        <v>9.391304347826086</v>
      </c>
      <c r="BB22" s="46">
        <v>872000</v>
      </c>
      <c r="BC22" s="48">
        <v>2610.7784431137725</v>
      </c>
      <c r="BD22" s="40">
        <v>334</v>
      </c>
      <c r="BE22" s="46">
        <v>10000</v>
      </c>
      <c r="BF22" s="44">
        <v>161.29032258064515</v>
      </c>
      <c r="BG22" s="40">
        <v>62</v>
      </c>
      <c r="BH22" s="49" t="s">
        <v>382</v>
      </c>
      <c r="BI22" s="49" t="s">
        <v>382</v>
      </c>
      <c r="BJ22" s="213">
        <v>0</v>
      </c>
      <c r="BK22" s="47">
        <v>200.405420997921</v>
      </c>
      <c r="BL22" s="55">
        <v>2150000</v>
      </c>
      <c r="BM22" s="41">
        <v>16.781142678738682</v>
      </c>
      <c r="BN22" s="56">
        <v>2055000</v>
      </c>
      <c r="BO22" s="41">
        <v>16.039650327817672</v>
      </c>
      <c r="BP22" s="56">
        <v>653000</v>
      </c>
      <c r="BQ22" s="41">
        <v>5.0967842647517951</v>
      </c>
      <c r="BR22" s="39">
        <v>1052000</v>
      </c>
      <c r="BS22" s="41">
        <v>8.2110521386200439</v>
      </c>
      <c r="BT22" s="39">
        <v>707000</v>
      </c>
      <c r="BU22" s="41">
        <v>5.518264127380581</v>
      </c>
      <c r="BV22" s="56">
        <v>3096000</v>
      </c>
      <c r="BW22" s="41">
        <v>24.164845457383702</v>
      </c>
      <c r="BX22" s="40">
        <v>3099000</v>
      </c>
      <c r="BY22" s="41">
        <v>24.188261005307524</v>
      </c>
      <c r="BZ22" s="57">
        <v>1113.4127395132057</v>
      </c>
      <c r="CA22" s="58">
        <v>338.16675297773173</v>
      </c>
      <c r="CB22" s="59">
        <v>827.03262558259974</v>
      </c>
      <c r="CC22" s="47">
        <v>544.79544277576383</v>
      </c>
      <c r="CD22" s="58">
        <v>328.32729155877786</v>
      </c>
      <c r="CE22" s="59">
        <v>237.18280683583635</v>
      </c>
      <c r="CF22" s="59">
        <v>1604.8679440704298</v>
      </c>
      <c r="CG22" s="59">
        <v>37.804246504401867</v>
      </c>
      <c r="CH22" s="47">
        <v>1603.3143448990161</v>
      </c>
      <c r="CI22" s="43">
        <v>2709</v>
      </c>
      <c r="CJ22" s="44">
        <v>337.39130434782606</v>
      </c>
      <c r="CK22" s="60">
        <v>0</v>
      </c>
      <c r="CL22" s="53" t="s">
        <v>382</v>
      </c>
      <c r="CM22" s="41">
        <v>0</v>
      </c>
      <c r="CN22" s="53" t="s">
        <v>382</v>
      </c>
      <c r="CO22" s="41">
        <v>0</v>
      </c>
      <c r="CP22" s="54">
        <v>300</v>
      </c>
      <c r="CQ22" s="41">
        <v>100</v>
      </c>
      <c r="CR22" s="43">
        <v>829</v>
      </c>
      <c r="CS22" s="52">
        <v>53.317249698431844</v>
      </c>
      <c r="CT22" s="41">
        <v>1551.6999999999998</v>
      </c>
      <c r="CU22" s="41">
        <v>803.57327809425158</v>
      </c>
      <c r="CV22" s="52">
        <v>345</v>
      </c>
      <c r="CW22" s="38">
        <v>1</v>
      </c>
      <c r="CX22" s="38">
        <v>3</v>
      </c>
      <c r="CY22" s="51">
        <v>1</v>
      </c>
      <c r="CZ22" s="78">
        <v>0.7</v>
      </c>
      <c r="DA22" s="39">
        <v>3054000</v>
      </c>
      <c r="DB22" s="39">
        <v>2999000</v>
      </c>
      <c r="DC22" s="39">
        <v>1899000</v>
      </c>
      <c r="DD22" s="39">
        <v>1946000</v>
      </c>
      <c r="DE22" s="39">
        <v>2096000</v>
      </c>
      <c r="DF22" s="62">
        <v>2523000</v>
      </c>
      <c r="DG22" s="41">
        <v>83.08</v>
      </c>
      <c r="DH22" s="41">
        <v>57.07</v>
      </c>
      <c r="DI22" s="41">
        <v>2.2800000000000002</v>
      </c>
      <c r="DJ22" s="37" t="s">
        <v>390</v>
      </c>
      <c r="DK22" s="40">
        <v>24000</v>
      </c>
      <c r="DL22" s="40">
        <v>83000</v>
      </c>
      <c r="DM22" s="40">
        <v>0</v>
      </c>
      <c r="DN22" s="40">
        <v>5385</v>
      </c>
      <c r="DO22" s="40">
        <v>0</v>
      </c>
      <c r="DP22" s="40">
        <v>180321</v>
      </c>
      <c r="DQ22" s="64">
        <v>0</v>
      </c>
      <c r="DR22" s="40">
        <v>0</v>
      </c>
      <c r="DS22" s="65">
        <v>0</v>
      </c>
      <c r="DT22" s="38">
        <v>9</v>
      </c>
      <c r="DU22" s="66">
        <v>214.55555555555554</v>
      </c>
      <c r="DV22" s="41">
        <v>11.111111111111111</v>
      </c>
      <c r="DW22" s="41">
        <v>88.888888888888886</v>
      </c>
      <c r="DX22" s="41">
        <v>22.222222222222221</v>
      </c>
      <c r="DY22" s="41">
        <v>0</v>
      </c>
      <c r="DZ22" s="41">
        <v>0</v>
      </c>
      <c r="EA22" s="41">
        <v>77.777777777777786</v>
      </c>
      <c r="EB22" s="41">
        <v>22.222222222222221</v>
      </c>
      <c r="EC22" s="40">
        <v>43</v>
      </c>
      <c r="ED22" s="184">
        <v>44.906976744186046</v>
      </c>
    </row>
    <row r="23" spans="1:134" s="13" customFormat="1">
      <c r="A23" s="156" t="s">
        <v>171</v>
      </c>
      <c r="B23" s="285">
        <v>2014</v>
      </c>
      <c r="C23" s="259">
        <v>4</v>
      </c>
      <c r="D23" s="80" t="s">
        <v>342</v>
      </c>
      <c r="E23" s="56">
        <v>170.3</v>
      </c>
      <c r="F23" s="56">
        <v>19048</v>
      </c>
      <c r="G23" s="82">
        <v>-1.9206014108439318</v>
      </c>
      <c r="H23" s="179">
        <v>111.9</v>
      </c>
      <c r="I23" s="56">
        <v>9419</v>
      </c>
      <c r="J23" s="56">
        <v>49.4487610247795</v>
      </c>
      <c r="K23" s="56">
        <v>9629</v>
      </c>
      <c r="L23" s="84">
        <v>50.551238975220492</v>
      </c>
      <c r="M23" s="160">
        <v>23.587778244435111</v>
      </c>
      <c r="N23" s="160">
        <v>48.90277194456111</v>
      </c>
      <c r="O23" s="160">
        <v>27.509449811003776</v>
      </c>
      <c r="P23" s="160">
        <v>35.646787064258717</v>
      </c>
      <c r="Q23" s="160">
        <v>36.843763124737507</v>
      </c>
      <c r="R23" s="160">
        <v>27.509449811003776</v>
      </c>
      <c r="S23" s="83">
        <v>7.5494113835187378</v>
      </c>
      <c r="T23" s="83">
        <v>2.2999999999999998</v>
      </c>
      <c r="U23" s="38">
        <v>8</v>
      </c>
      <c r="V23" s="41">
        <v>7.6</v>
      </c>
      <c r="W23" s="40">
        <v>45843</v>
      </c>
      <c r="X23" s="41">
        <v>2.2000000000000002</v>
      </c>
      <c r="Y23" s="42" t="s">
        <v>350</v>
      </c>
      <c r="Z23" s="43">
        <v>1013</v>
      </c>
      <c r="AA23" s="45">
        <v>3</v>
      </c>
      <c r="AB23" s="63">
        <v>185</v>
      </c>
      <c r="AC23" s="63">
        <v>13571.522999999999</v>
      </c>
      <c r="AD23" s="43">
        <v>40</v>
      </c>
      <c r="AE23" s="44">
        <v>-9.84</v>
      </c>
      <c r="AF23" s="44">
        <v>1.4461000000000002</v>
      </c>
      <c r="AG23" s="41">
        <v>67.25</v>
      </c>
      <c r="AH23" s="41">
        <v>32.75</v>
      </c>
      <c r="AI23" s="44">
        <v>11.6</v>
      </c>
      <c r="AJ23" s="41">
        <v>4.4297000000000004</v>
      </c>
      <c r="AK23" s="41">
        <v>2.3480111746707464</v>
      </c>
      <c r="AL23" s="41">
        <v>4.3315000000000001</v>
      </c>
      <c r="AM23" s="39">
        <v>36467</v>
      </c>
      <c r="AN23" s="39">
        <v>37030</v>
      </c>
      <c r="AO23" s="40">
        <v>33049</v>
      </c>
      <c r="AP23" s="40">
        <v>30632</v>
      </c>
      <c r="AQ23" s="39">
        <v>6712000</v>
      </c>
      <c r="AR23" s="44">
        <v>700.11473870866803</v>
      </c>
      <c r="AS23" s="39">
        <v>9587</v>
      </c>
      <c r="AT23" s="46">
        <v>7424000</v>
      </c>
      <c r="AU23" s="50">
        <v>774.05901365863826</v>
      </c>
      <c r="AV23" s="39">
        <v>9591</v>
      </c>
      <c r="AW23" s="46">
        <v>7964000</v>
      </c>
      <c r="AX23" s="47">
        <v>833.4030975303474</v>
      </c>
      <c r="AY23" s="39">
        <v>9556</v>
      </c>
      <c r="AZ23" s="41">
        <v>57.999999999999993</v>
      </c>
      <c r="BA23" s="41">
        <v>30.441607367099206</v>
      </c>
      <c r="BB23" s="46">
        <v>12000</v>
      </c>
      <c r="BC23" s="48">
        <v>2400</v>
      </c>
      <c r="BD23" s="40">
        <v>5</v>
      </c>
      <c r="BE23" s="46">
        <v>3145000</v>
      </c>
      <c r="BF23" s="44">
        <v>5206.9536423841064</v>
      </c>
      <c r="BG23" s="40">
        <v>604</v>
      </c>
      <c r="BH23" s="46">
        <v>2540000</v>
      </c>
      <c r="BI23" s="49">
        <v>1270000</v>
      </c>
      <c r="BJ23" s="45">
        <v>2</v>
      </c>
      <c r="BK23" s="47">
        <v>22.018204011419368</v>
      </c>
      <c r="BL23" s="55">
        <v>9304000</v>
      </c>
      <c r="BM23" s="41">
        <v>28.152137734878512</v>
      </c>
      <c r="BN23" s="56">
        <v>934000</v>
      </c>
      <c r="BO23" s="41">
        <v>2.8261066900662652</v>
      </c>
      <c r="BP23" s="56">
        <v>2613000</v>
      </c>
      <c r="BQ23" s="41">
        <v>7.9064419498320673</v>
      </c>
      <c r="BR23" s="39">
        <v>5648000</v>
      </c>
      <c r="BS23" s="41">
        <v>17.089775787467094</v>
      </c>
      <c r="BT23" s="39">
        <v>7235000</v>
      </c>
      <c r="BU23" s="41">
        <v>21.89173651245121</v>
      </c>
      <c r="BV23" s="56">
        <v>3565000</v>
      </c>
      <c r="BW23" s="41">
        <v>10.787013222790403</v>
      </c>
      <c r="BX23" s="40">
        <v>3750000</v>
      </c>
      <c r="BY23" s="41">
        <v>11.346788102514447</v>
      </c>
      <c r="BZ23" s="57">
        <v>488.45023099538008</v>
      </c>
      <c r="CA23" s="58">
        <v>137.17975640487191</v>
      </c>
      <c r="CB23" s="43" t="s">
        <v>382</v>
      </c>
      <c r="CC23" s="47">
        <v>296.51406971860564</v>
      </c>
      <c r="CD23" s="58">
        <v>339.66820663586731</v>
      </c>
      <c r="CE23" s="59">
        <v>49.034019319613606</v>
      </c>
      <c r="CF23" s="59">
        <v>196.87106257874842</v>
      </c>
      <c r="CG23" s="59">
        <v>40.161696766064679</v>
      </c>
      <c r="CH23" s="47">
        <v>187.1587568248635</v>
      </c>
      <c r="CI23" s="43" t="s">
        <v>382</v>
      </c>
      <c r="CJ23" s="44">
        <v>258.26705734616996</v>
      </c>
      <c r="CK23" s="60">
        <v>20.961182835848781</v>
      </c>
      <c r="CL23" s="53">
        <v>691.24</v>
      </c>
      <c r="CM23" s="41">
        <v>2.6573659320366936</v>
      </c>
      <c r="CN23" s="53">
        <v>4761.2299999999996</v>
      </c>
      <c r="CO23" s="41">
        <v>18.303816903812088</v>
      </c>
      <c r="CP23" s="54">
        <v>20559.754799999999</v>
      </c>
      <c r="CQ23" s="41">
        <v>79.038817164151212</v>
      </c>
      <c r="CR23" s="43">
        <v>13147</v>
      </c>
      <c r="CS23" s="52">
        <v>68.053548338023887</v>
      </c>
      <c r="CT23" s="41">
        <v>250.96</v>
      </c>
      <c r="CU23" s="41">
        <v>13.175136497270056</v>
      </c>
      <c r="CV23" s="52">
        <v>3800</v>
      </c>
      <c r="CW23" s="38">
        <v>1</v>
      </c>
      <c r="CX23" s="38">
        <v>4</v>
      </c>
      <c r="CY23" s="51">
        <v>1</v>
      </c>
      <c r="CZ23" s="78">
        <v>6.1993385132297352</v>
      </c>
      <c r="DA23" s="49">
        <v>2479000</v>
      </c>
      <c r="DB23" s="49">
        <v>6214000</v>
      </c>
      <c r="DC23" s="49">
        <v>2650000</v>
      </c>
      <c r="DD23" s="49">
        <v>2650000</v>
      </c>
      <c r="DE23" s="39">
        <v>2033000</v>
      </c>
      <c r="DF23" s="62">
        <v>2033000</v>
      </c>
      <c r="DG23" s="41">
        <v>100</v>
      </c>
      <c r="DH23" s="41">
        <v>0</v>
      </c>
      <c r="DI23" s="41">
        <v>0</v>
      </c>
      <c r="DJ23" s="37" t="s">
        <v>390</v>
      </c>
      <c r="DK23" s="40">
        <v>0</v>
      </c>
      <c r="DL23" s="40">
        <v>177000</v>
      </c>
      <c r="DM23" s="40">
        <v>0</v>
      </c>
      <c r="DN23" s="40">
        <v>24536</v>
      </c>
      <c r="DO23" s="40">
        <v>3517</v>
      </c>
      <c r="DP23" s="40">
        <v>233758</v>
      </c>
      <c r="DQ23" s="64">
        <v>0</v>
      </c>
      <c r="DR23" s="40">
        <v>0</v>
      </c>
      <c r="DS23" s="65">
        <v>0</v>
      </c>
      <c r="DT23" s="38">
        <v>10</v>
      </c>
      <c r="DU23" s="66">
        <v>1904.8</v>
      </c>
      <c r="DV23" s="41">
        <v>22.222222222222221</v>
      </c>
      <c r="DW23" s="41">
        <v>77.777777777777786</v>
      </c>
      <c r="DX23" s="41">
        <v>0</v>
      </c>
      <c r="DY23" s="41">
        <v>0</v>
      </c>
      <c r="DZ23" s="41">
        <v>11.111111111111111</v>
      </c>
      <c r="EA23" s="41">
        <v>55.555555555555557</v>
      </c>
      <c r="EB23" s="41">
        <v>33.333333333333329</v>
      </c>
      <c r="EC23" s="40">
        <v>161</v>
      </c>
      <c r="ED23" s="184">
        <v>118.31055900621118</v>
      </c>
    </row>
    <row r="24" spans="1:134" s="13" customFormat="1">
      <c r="A24" s="156" t="s">
        <v>172</v>
      </c>
      <c r="B24" s="285">
        <v>2014</v>
      </c>
      <c r="C24" s="259">
        <v>2</v>
      </c>
      <c r="D24" s="80" t="s">
        <v>343</v>
      </c>
      <c r="E24" s="56">
        <v>7.1</v>
      </c>
      <c r="F24" s="56">
        <v>36053</v>
      </c>
      <c r="G24" s="82">
        <v>6.9568055061113094</v>
      </c>
      <c r="H24" s="179">
        <v>5057.8</v>
      </c>
      <c r="I24" s="56">
        <v>17710</v>
      </c>
      <c r="J24" s="56">
        <v>49.122125759298811</v>
      </c>
      <c r="K24" s="56">
        <v>18343</v>
      </c>
      <c r="L24" s="84">
        <v>50.877874240701196</v>
      </c>
      <c r="M24" s="160">
        <v>20.009430560563615</v>
      </c>
      <c r="N24" s="160">
        <v>61.304191052062237</v>
      </c>
      <c r="O24" s="160">
        <v>18.686378387374145</v>
      </c>
      <c r="P24" s="160">
        <v>42.992261392949274</v>
      </c>
      <c r="Q24" s="160">
        <v>38.321360219676585</v>
      </c>
      <c r="R24" s="160">
        <v>18.686378387374145</v>
      </c>
      <c r="S24" s="83">
        <v>0.36392795460152971</v>
      </c>
      <c r="T24" s="83">
        <v>59.2</v>
      </c>
      <c r="U24" s="38">
        <v>121</v>
      </c>
      <c r="V24" s="41">
        <v>4.5999999999999996</v>
      </c>
      <c r="W24" s="40">
        <v>49606</v>
      </c>
      <c r="X24" s="41">
        <v>2.8</v>
      </c>
      <c r="Y24" s="42" t="s">
        <v>350</v>
      </c>
      <c r="Z24" s="43">
        <v>3952</v>
      </c>
      <c r="AA24" s="45">
        <v>7</v>
      </c>
      <c r="AB24" s="63">
        <v>142</v>
      </c>
      <c r="AC24" s="63">
        <v>121945.5</v>
      </c>
      <c r="AD24" s="43">
        <v>121</v>
      </c>
      <c r="AE24" s="44">
        <v>-4.66</v>
      </c>
      <c r="AF24" s="44">
        <v>5.0339999999999998</v>
      </c>
      <c r="AG24" s="41">
        <v>87.1</v>
      </c>
      <c r="AH24" s="41">
        <v>12.900000000000006</v>
      </c>
      <c r="AI24" s="44">
        <v>2.59</v>
      </c>
      <c r="AJ24" s="41">
        <v>8.0478000000000005</v>
      </c>
      <c r="AK24" s="41">
        <v>1.6470409095523295</v>
      </c>
      <c r="AL24" s="41">
        <v>12.0962</v>
      </c>
      <c r="AM24" s="39">
        <v>39570</v>
      </c>
      <c r="AN24" s="39">
        <v>40579</v>
      </c>
      <c r="AO24" s="40">
        <v>41310</v>
      </c>
      <c r="AP24" s="40">
        <v>44503</v>
      </c>
      <c r="AQ24" s="39">
        <v>10602000</v>
      </c>
      <c r="AR24" s="44">
        <v>956.9455727051178</v>
      </c>
      <c r="AS24" s="39">
        <v>11079</v>
      </c>
      <c r="AT24" s="46">
        <v>11414000</v>
      </c>
      <c r="AU24" s="50">
        <v>986.60212637220161</v>
      </c>
      <c r="AV24" s="39">
        <v>11569</v>
      </c>
      <c r="AW24" s="46">
        <v>12188000</v>
      </c>
      <c r="AX24" s="47">
        <v>1049.6038580778504</v>
      </c>
      <c r="AY24" s="39">
        <v>11612</v>
      </c>
      <c r="AZ24" s="41">
        <v>75.400000000000006</v>
      </c>
      <c r="BA24" s="41">
        <v>17.128832242507748</v>
      </c>
      <c r="BB24" s="48" t="s">
        <v>382</v>
      </c>
      <c r="BC24" s="48" t="s">
        <v>382</v>
      </c>
      <c r="BD24" s="40">
        <v>0</v>
      </c>
      <c r="BE24" s="46">
        <v>4617000</v>
      </c>
      <c r="BF24" s="44">
        <v>5325.2595155709341</v>
      </c>
      <c r="BG24" s="40">
        <v>867</v>
      </c>
      <c r="BH24" s="49" t="s">
        <v>382</v>
      </c>
      <c r="BI24" s="49" t="s">
        <v>382</v>
      </c>
      <c r="BJ24" s="213">
        <v>0</v>
      </c>
      <c r="BK24" s="47">
        <v>346.30981606664682</v>
      </c>
      <c r="BL24" s="55">
        <v>11632000</v>
      </c>
      <c r="BM24" s="41">
        <v>28.206309561337566</v>
      </c>
      <c r="BN24" s="56">
        <v>1940000</v>
      </c>
      <c r="BO24" s="41">
        <v>4.7042847789713615</v>
      </c>
      <c r="BP24" s="56">
        <v>7401000</v>
      </c>
      <c r="BQ24" s="41">
        <v>17.946603942869611</v>
      </c>
      <c r="BR24" s="39">
        <v>5360000</v>
      </c>
      <c r="BS24" s="41">
        <v>12.997405368704381</v>
      </c>
      <c r="BT24" s="39">
        <v>7109000</v>
      </c>
      <c r="BU24" s="41">
        <v>17.238536336962586</v>
      </c>
      <c r="BV24" s="56">
        <v>5032000</v>
      </c>
      <c r="BW24" s="41">
        <v>12.202041756589637</v>
      </c>
      <c r="BX24" s="40">
        <v>2765000</v>
      </c>
      <c r="BY24" s="41">
        <v>6.704818254564854</v>
      </c>
      <c r="BZ24" s="57">
        <v>322.63611904695864</v>
      </c>
      <c r="CA24" s="58">
        <v>205.28111391562422</v>
      </c>
      <c r="CB24" s="43" t="s">
        <v>382</v>
      </c>
      <c r="CC24" s="47">
        <v>148.67001359110199</v>
      </c>
      <c r="CD24" s="58">
        <v>137.15918231492526</v>
      </c>
      <c r="CE24" s="59">
        <v>53.809669098271989</v>
      </c>
      <c r="CF24" s="59">
        <v>76.692646936454665</v>
      </c>
      <c r="CG24" s="59">
        <v>60.022744293124013</v>
      </c>
      <c r="CH24" s="47">
        <v>139.57229634149724</v>
      </c>
      <c r="CI24" s="43" t="s">
        <v>382</v>
      </c>
      <c r="CJ24" s="44">
        <v>384.51601791250431</v>
      </c>
      <c r="CK24" s="60">
        <v>34.056551460829404</v>
      </c>
      <c r="CL24" s="53">
        <v>2414.35</v>
      </c>
      <c r="CM24" s="41">
        <v>18.289532692156182</v>
      </c>
      <c r="CN24" s="53">
        <v>2081.36</v>
      </c>
      <c r="CO24" s="41">
        <v>15.767018768673225</v>
      </c>
      <c r="CP24" s="54">
        <v>8705.02</v>
      </c>
      <c r="CQ24" s="41">
        <v>65.943524292614342</v>
      </c>
      <c r="CR24" s="43">
        <v>6081</v>
      </c>
      <c r="CS24" s="52">
        <v>61.947048182864663</v>
      </c>
      <c r="CT24" s="41">
        <v>85.460000000000008</v>
      </c>
      <c r="CU24" s="41">
        <v>2.3703991346073838</v>
      </c>
      <c r="CV24" s="52">
        <v>37.74</v>
      </c>
      <c r="CW24" s="38">
        <v>1</v>
      </c>
      <c r="CX24" s="38">
        <v>2</v>
      </c>
      <c r="CY24" s="51">
        <v>1</v>
      </c>
      <c r="CZ24" s="61">
        <v>7.1733836296563389</v>
      </c>
      <c r="DA24" s="39">
        <v>2491000</v>
      </c>
      <c r="DB24" s="39">
        <v>3833000</v>
      </c>
      <c r="DC24" s="39">
        <v>2497000</v>
      </c>
      <c r="DD24" s="39">
        <v>4392000</v>
      </c>
      <c r="DE24" s="39">
        <v>2205000</v>
      </c>
      <c r="DF24" s="62">
        <v>3047000</v>
      </c>
      <c r="DG24" s="41">
        <v>72.37</v>
      </c>
      <c r="DH24" s="41">
        <v>96.28</v>
      </c>
      <c r="DI24" s="41">
        <v>7.89</v>
      </c>
      <c r="DJ24" s="37" t="s">
        <v>390</v>
      </c>
      <c r="DK24" s="40">
        <v>318504</v>
      </c>
      <c r="DL24" s="40">
        <v>163000</v>
      </c>
      <c r="DM24" s="40">
        <v>0</v>
      </c>
      <c r="DN24" s="40">
        <v>14781</v>
      </c>
      <c r="DO24" s="40">
        <v>4709</v>
      </c>
      <c r="DP24" s="40">
        <v>329300</v>
      </c>
      <c r="DQ24" s="64">
        <v>0</v>
      </c>
      <c r="DR24" s="40">
        <v>0</v>
      </c>
      <c r="DS24" s="65">
        <v>0</v>
      </c>
      <c r="DT24" s="38">
        <v>7</v>
      </c>
      <c r="DU24" s="66">
        <v>5150.4285714285716</v>
      </c>
      <c r="DV24" s="41">
        <v>28.571428571428569</v>
      </c>
      <c r="DW24" s="41">
        <v>71.428571428571431</v>
      </c>
      <c r="DX24" s="41">
        <v>0</v>
      </c>
      <c r="DY24" s="41">
        <v>42.857142857142854</v>
      </c>
      <c r="DZ24" s="41">
        <v>0</v>
      </c>
      <c r="EA24" s="41">
        <v>85.714285714285708</v>
      </c>
      <c r="EB24" s="41">
        <v>14.285714285714285</v>
      </c>
      <c r="EC24" s="40">
        <v>170</v>
      </c>
      <c r="ED24" s="184">
        <v>212.07647058823528</v>
      </c>
    </row>
    <row r="25" spans="1:134" s="13" customFormat="1">
      <c r="A25" s="156" t="s">
        <v>173</v>
      </c>
      <c r="B25" s="285">
        <v>2014</v>
      </c>
      <c r="C25" s="259">
        <v>4</v>
      </c>
      <c r="D25" s="80" t="s">
        <v>342</v>
      </c>
      <c r="E25" s="56">
        <v>565.79999999999995</v>
      </c>
      <c r="F25" s="56">
        <v>32119</v>
      </c>
      <c r="G25" s="82">
        <v>5.1806005828994337</v>
      </c>
      <c r="H25" s="179">
        <v>56.8</v>
      </c>
      <c r="I25" s="56">
        <v>15990</v>
      </c>
      <c r="J25" s="56">
        <v>49.783617173635541</v>
      </c>
      <c r="K25" s="56">
        <v>16129</v>
      </c>
      <c r="L25" s="84">
        <v>50.216382826364459</v>
      </c>
      <c r="M25" s="160">
        <v>23.817678009900682</v>
      </c>
      <c r="N25" s="160">
        <v>53.697188579968248</v>
      </c>
      <c r="O25" s="160">
        <v>22.485133410131077</v>
      </c>
      <c r="P25" s="160">
        <v>32.961798312525296</v>
      </c>
      <c r="Q25" s="160">
        <v>44.553068277343627</v>
      </c>
      <c r="R25" s="160">
        <v>22.485133410131077</v>
      </c>
      <c r="S25" s="83">
        <v>1.7599123467780593</v>
      </c>
      <c r="T25" s="83">
        <v>6.3</v>
      </c>
      <c r="U25" s="38">
        <v>98</v>
      </c>
      <c r="V25" s="41">
        <v>11.1</v>
      </c>
      <c r="W25" s="40">
        <v>37689</v>
      </c>
      <c r="X25" s="41">
        <v>2.4</v>
      </c>
      <c r="Y25" s="42" t="s">
        <v>350</v>
      </c>
      <c r="Z25" s="43">
        <v>3962</v>
      </c>
      <c r="AA25" s="45">
        <v>7</v>
      </c>
      <c r="AB25" s="63">
        <v>729</v>
      </c>
      <c r="AC25" s="63">
        <v>136162.18599999999</v>
      </c>
      <c r="AD25" s="43">
        <v>53</v>
      </c>
      <c r="AE25" s="44">
        <v>0.26</v>
      </c>
      <c r="AF25" s="44">
        <v>2.9111000000000002</v>
      </c>
      <c r="AG25" s="41">
        <v>72.010000000000005</v>
      </c>
      <c r="AH25" s="41">
        <v>27.989999999999995</v>
      </c>
      <c r="AI25" s="44">
        <v>3.81</v>
      </c>
      <c r="AJ25" s="41">
        <v>2.1686000000000001</v>
      </c>
      <c r="AK25" s="41">
        <v>10.528275229009664</v>
      </c>
      <c r="AL25" s="41">
        <v>12.611099999999999</v>
      </c>
      <c r="AM25" s="39">
        <v>76272.003349999999</v>
      </c>
      <c r="AN25" s="39">
        <v>74229</v>
      </c>
      <c r="AO25" s="40">
        <v>78715</v>
      </c>
      <c r="AP25" s="40">
        <v>85559.706180000008</v>
      </c>
      <c r="AQ25" s="39">
        <v>12778822.48</v>
      </c>
      <c r="AR25" s="44">
        <v>994.77054958742019</v>
      </c>
      <c r="AS25" s="39">
        <v>12846</v>
      </c>
      <c r="AT25" s="46">
        <v>13180000</v>
      </c>
      <c r="AU25" s="50">
        <v>1020.123839009288</v>
      </c>
      <c r="AV25" s="39">
        <v>12920</v>
      </c>
      <c r="AW25" s="46">
        <v>13565000</v>
      </c>
      <c r="AX25" s="47">
        <v>1035.8124618204031</v>
      </c>
      <c r="AY25" s="39">
        <v>13096</v>
      </c>
      <c r="AZ25" s="41">
        <v>73.5</v>
      </c>
      <c r="BA25" s="41">
        <v>18.188759926695177</v>
      </c>
      <c r="BB25" s="46">
        <v>984000</v>
      </c>
      <c r="BC25" s="48">
        <v>1779.3851717902351</v>
      </c>
      <c r="BD25" s="40">
        <v>553</v>
      </c>
      <c r="BE25" s="46">
        <v>3506000</v>
      </c>
      <c r="BF25" s="44">
        <v>2426.2975778546711</v>
      </c>
      <c r="BG25" s="40">
        <v>1445</v>
      </c>
      <c r="BH25" s="49" t="s">
        <v>382</v>
      </c>
      <c r="BI25" s="49" t="s">
        <v>382</v>
      </c>
      <c r="BJ25" s="213">
        <v>0</v>
      </c>
      <c r="BK25" s="47">
        <v>327.32952533924123</v>
      </c>
      <c r="BL25" s="55">
        <v>1858052.55</v>
      </c>
      <c r="BM25" s="41">
        <v>2.354812631820943</v>
      </c>
      <c r="BN25" s="56">
        <v>26234681.949999999</v>
      </c>
      <c r="BO25" s="41">
        <v>33.248661587997006</v>
      </c>
      <c r="BP25" s="56">
        <v>8083213.75</v>
      </c>
      <c r="BQ25" s="41">
        <v>10.24430328636762</v>
      </c>
      <c r="BR25" s="39">
        <v>7855896.8700000001</v>
      </c>
      <c r="BS25" s="41">
        <v>9.9562120478016674</v>
      </c>
      <c r="BT25" s="39">
        <v>7951751.9189999998</v>
      </c>
      <c r="BU25" s="41">
        <v>10.07769444624568</v>
      </c>
      <c r="BV25" s="56">
        <v>20514489.98</v>
      </c>
      <c r="BW25" s="41">
        <v>25.999146332146616</v>
      </c>
      <c r="BX25" s="40">
        <v>6406388.2200000007</v>
      </c>
      <c r="BY25" s="41">
        <v>8.119169667620481</v>
      </c>
      <c r="BZ25" s="57">
        <v>57.849016158659985</v>
      </c>
      <c r="CA25" s="58">
        <v>251.66455213425075</v>
      </c>
      <c r="CB25" s="59">
        <v>703.83916653694064</v>
      </c>
      <c r="CC25" s="47">
        <v>244.58721846881909</v>
      </c>
      <c r="CD25" s="58">
        <v>192.47091687163359</v>
      </c>
      <c r="CE25" s="59">
        <v>112.95718297580871</v>
      </c>
      <c r="CF25" s="59">
        <v>199.45789781749122</v>
      </c>
      <c r="CG25" s="59">
        <v>55.100673744512598</v>
      </c>
      <c r="CH25" s="47">
        <v>638.70263644571753</v>
      </c>
      <c r="CI25" s="43">
        <v>1667</v>
      </c>
      <c r="CJ25" s="44">
        <v>301.77153329260841</v>
      </c>
      <c r="CK25" s="60">
        <v>47.418642142530928</v>
      </c>
      <c r="CL25" s="53">
        <v>5800.97</v>
      </c>
      <c r="CM25" s="41">
        <v>28.304815307807313</v>
      </c>
      <c r="CN25" s="53">
        <v>3917.31</v>
      </c>
      <c r="CO25" s="41">
        <v>19.113826834723614</v>
      </c>
      <c r="CP25" s="54">
        <v>10776.36</v>
      </c>
      <c r="CQ25" s="41">
        <v>52.581357857469079</v>
      </c>
      <c r="CR25" s="43">
        <v>12539</v>
      </c>
      <c r="CS25" s="52">
        <v>80.08613127043624</v>
      </c>
      <c r="CT25" s="41">
        <v>637.71199999999999</v>
      </c>
      <c r="CU25" s="41">
        <v>19.854665462810175</v>
      </c>
      <c r="CV25" s="52">
        <v>274.83999999999997</v>
      </c>
      <c r="CW25" s="38">
        <v>2</v>
      </c>
      <c r="CX25" s="38">
        <v>15</v>
      </c>
      <c r="CY25" s="51">
        <v>3</v>
      </c>
      <c r="CZ25" s="61">
        <v>11.682866838942681</v>
      </c>
      <c r="DA25" s="39">
        <v>6681000</v>
      </c>
      <c r="DB25" s="39">
        <v>12046000</v>
      </c>
      <c r="DC25" s="39">
        <v>7273070</v>
      </c>
      <c r="DD25" s="39">
        <v>8547500</v>
      </c>
      <c r="DE25" s="39">
        <v>6987007</v>
      </c>
      <c r="DF25" s="62">
        <v>7703780</v>
      </c>
      <c r="DG25" s="41">
        <v>90.7</v>
      </c>
      <c r="DH25" s="41">
        <v>37.46</v>
      </c>
      <c r="DI25" s="41">
        <v>6.2700000000000005</v>
      </c>
      <c r="DJ25" s="37" t="s">
        <v>390</v>
      </c>
      <c r="DK25" s="40">
        <v>48000</v>
      </c>
      <c r="DL25" s="40">
        <v>200000</v>
      </c>
      <c r="DM25" s="40">
        <v>3144</v>
      </c>
      <c r="DN25" s="40">
        <v>6548</v>
      </c>
      <c r="DO25" s="40">
        <v>16345</v>
      </c>
      <c r="DP25" s="40">
        <v>251712</v>
      </c>
      <c r="DQ25" s="64">
        <v>9</v>
      </c>
      <c r="DR25" s="40">
        <v>1800</v>
      </c>
      <c r="DS25" s="65">
        <v>1</v>
      </c>
      <c r="DT25" s="38">
        <v>9</v>
      </c>
      <c r="DU25" s="66">
        <v>3568.7777777777778</v>
      </c>
      <c r="DV25" s="41">
        <v>22.222222222222221</v>
      </c>
      <c r="DW25" s="41">
        <v>77.777777777777786</v>
      </c>
      <c r="DX25" s="41">
        <v>0</v>
      </c>
      <c r="DY25" s="41">
        <v>11.111111111111111</v>
      </c>
      <c r="DZ25" s="41">
        <v>0</v>
      </c>
      <c r="EA25" s="41">
        <v>55.555555555555557</v>
      </c>
      <c r="EB25" s="41">
        <v>44.444444444444443</v>
      </c>
      <c r="EC25" s="40">
        <v>248</v>
      </c>
      <c r="ED25" s="184">
        <v>129.51209677419354</v>
      </c>
    </row>
    <row r="26" spans="1:134" s="13" customFormat="1">
      <c r="A26" s="156" t="s">
        <v>174</v>
      </c>
      <c r="B26" s="285">
        <v>2014</v>
      </c>
      <c r="C26" s="259">
        <v>11</v>
      </c>
      <c r="D26" s="80" t="s">
        <v>345</v>
      </c>
      <c r="E26" s="56">
        <v>6023.9</v>
      </c>
      <c r="F26" s="56">
        <v>13776</v>
      </c>
      <c r="G26" s="82">
        <v>6.5511640498105042</v>
      </c>
      <c r="H26" s="179">
        <v>2.2999999999999998</v>
      </c>
      <c r="I26" s="56">
        <v>6957</v>
      </c>
      <c r="J26" s="56">
        <v>50.500871080139376</v>
      </c>
      <c r="K26" s="56">
        <v>6819</v>
      </c>
      <c r="L26" s="84">
        <v>49.499128919860631</v>
      </c>
      <c r="M26" s="160">
        <v>27.852787456445995</v>
      </c>
      <c r="N26" s="160">
        <v>46.341463414634148</v>
      </c>
      <c r="O26" s="160">
        <v>25.805749128919857</v>
      </c>
      <c r="P26" s="160">
        <v>36.6869918699187</v>
      </c>
      <c r="Q26" s="160">
        <v>37.507259001161444</v>
      </c>
      <c r="R26" s="160">
        <v>25.805749128919857</v>
      </c>
      <c r="S26" s="83">
        <v>3.1191515907673115</v>
      </c>
      <c r="T26" s="83">
        <v>1.8</v>
      </c>
      <c r="U26" s="38">
        <v>111</v>
      </c>
      <c r="V26" s="41">
        <v>4.3</v>
      </c>
      <c r="W26" s="40">
        <v>44080</v>
      </c>
      <c r="X26" s="41">
        <v>2.6</v>
      </c>
      <c r="Y26" s="42" t="s">
        <v>93</v>
      </c>
      <c r="Z26" s="43">
        <v>1684</v>
      </c>
      <c r="AA26" s="45">
        <v>9</v>
      </c>
      <c r="AB26" s="63">
        <v>168</v>
      </c>
      <c r="AC26" s="63">
        <v>26086.347000000002</v>
      </c>
      <c r="AD26" s="43">
        <v>47</v>
      </c>
      <c r="AE26" s="44">
        <v>1.63</v>
      </c>
      <c r="AF26" s="44">
        <v>10.065300000000001</v>
      </c>
      <c r="AG26" s="41">
        <v>63.27</v>
      </c>
      <c r="AH26" s="41">
        <v>36.729999999999997</v>
      </c>
      <c r="AI26" s="44">
        <v>3.78</v>
      </c>
      <c r="AJ26" s="41">
        <v>25.452600000000004</v>
      </c>
      <c r="AK26" s="41">
        <v>1.0125627411727158</v>
      </c>
      <c r="AL26" s="41">
        <v>18.449200000000001</v>
      </c>
      <c r="AM26" s="39">
        <v>32303</v>
      </c>
      <c r="AN26" s="39">
        <v>32285</v>
      </c>
      <c r="AO26" s="40">
        <v>34222</v>
      </c>
      <c r="AP26" s="40">
        <v>38213</v>
      </c>
      <c r="AQ26" s="39">
        <v>2749000</v>
      </c>
      <c r="AR26" s="44">
        <v>614.30167597765364</v>
      </c>
      <c r="AS26" s="39">
        <v>4475</v>
      </c>
      <c r="AT26" s="46">
        <v>2489000</v>
      </c>
      <c r="AU26" s="50">
        <v>551.64007092198585</v>
      </c>
      <c r="AV26" s="39">
        <v>4512</v>
      </c>
      <c r="AW26" s="46">
        <v>2645000</v>
      </c>
      <c r="AX26" s="47">
        <v>583.88520971302432</v>
      </c>
      <c r="AY26" s="39">
        <v>4530</v>
      </c>
      <c r="AZ26" s="41">
        <v>69.099999999999994</v>
      </c>
      <c r="BA26" s="41">
        <v>22.803532008830022</v>
      </c>
      <c r="BB26" s="46">
        <v>4680000</v>
      </c>
      <c r="BC26" s="48">
        <v>2386.5374808771035</v>
      </c>
      <c r="BD26" s="40">
        <v>1961</v>
      </c>
      <c r="BE26" s="46">
        <v>218000</v>
      </c>
      <c r="BF26" s="44">
        <v>502.30414746543778</v>
      </c>
      <c r="BG26" s="40">
        <v>434</v>
      </c>
      <c r="BH26" s="46">
        <v>1669000</v>
      </c>
      <c r="BI26" s="49">
        <v>128384.61538461539</v>
      </c>
      <c r="BJ26" s="45">
        <v>13</v>
      </c>
      <c r="BK26" s="47">
        <v>179.33394648284846</v>
      </c>
      <c r="BL26" s="55">
        <v>3628000</v>
      </c>
      <c r="BM26" s="41">
        <v>10.60136754134767</v>
      </c>
      <c r="BN26" s="56">
        <v>4601000</v>
      </c>
      <c r="BO26" s="41">
        <v>13.444567821868972</v>
      </c>
      <c r="BP26" s="56">
        <v>4669000</v>
      </c>
      <c r="BQ26" s="41">
        <v>13.643270410846824</v>
      </c>
      <c r="BR26" s="39">
        <v>2757000</v>
      </c>
      <c r="BS26" s="41">
        <v>8.0562211442931453</v>
      </c>
      <c r="BT26" s="39">
        <v>2888000</v>
      </c>
      <c r="BU26" s="41">
        <v>8.4390158377651812</v>
      </c>
      <c r="BV26" s="56">
        <v>7397000</v>
      </c>
      <c r="BW26" s="41">
        <v>21.61475074513471</v>
      </c>
      <c r="BX26" s="40">
        <v>8282000</v>
      </c>
      <c r="BY26" s="41">
        <v>24.2008064987435</v>
      </c>
      <c r="BZ26" s="57">
        <v>263.35656213704993</v>
      </c>
      <c r="CA26" s="58">
        <v>338.92276422764229</v>
      </c>
      <c r="CB26" s="59">
        <v>234.10278745644598</v>
      </c>
      <c r="CC26" s="47">
        <v>200.13066202090593</v>
      </c>
      <c r="CD26" s="58">
        <v>182.99941927990707</v>
      </c>
      <c r="CE26" s="59">
        <v>99.883855981416957</v>
      </c>
      <c r="CF26" s="59">
        <v>601.19047619047615</v>
      </c>
      <c r="CG26" s="59">
        <v>26.640534262485481</v>
      </c>
      <c r="CH26" s="47">
        <v>536.94831591173056</v>
      </c>
      <c r="CI26" s="43">
        <v>1021</v>
      </c>
      <c r="CJ26" s="44">
        <v>222.29580573951435</v>
      </c>
      <c r="CK26" s="60">
        <v>30.197641470650332</v>
      </c>
      <c r="CL26" s="53">
        <v>1865.4816000000001</v>
      </c>
      <c r="CM26" s="41">
        <v>15.031585253788036</v>
      </c>
      <c r="CN26" s="53">
        <v>620.86</v>
      </c>
      <c r="CO26" s="41">
        <v>5.0027349616671861</v>
      </c>
      <c r="CP26" s="54">
        <v>8662.760000000002</v>
      </c>
      <c r="CQ26" s="41">
        <v>69.802358529349675</v>
      </c>
      <c r="CR26" s="43">
        <v>6525</v>
      </c>
      <c r="CS26" s="52">
        <v>25.701149425287355</v>
      </c>
      <c r="CT26" s="41">
        <v>1930.7139999999999</v>
      </c>
      <c r="CU26" s="41">
        <v>140.15055168408827</v>
      </c>
      <c r="CV26" s="52">
        <v>29</v>
      </c>
      <c r="CW26" s="38">
        <v>7</v>
      </c>
      <c r="CX26" s="38">
        <v>8</v>
      </c>
      <c r="CY26" s="51">
        <v>3</v>
      </c>
      <c r="CZ26" s="61">
        <v>1.8027003484320558</v>
      </c>
      <c r="DA26" s="39">
        <v>5499000</v>
      </c>
      <c r="DB26" s="39">
        <v>6614000</v>
      </c>
      <c r="DC26" s="39">
        <v>4983000</v>
      </c>
      <c r="DD26" s="39">
        <v>3181000</v>
      </c>
      <c r="DE26" s="39">
        <v>4226000</v>
      </c>
      <c r="DF26" s="62">
        <v>4646000</v>
      </c>
      <c r="DG26" s="41">
        <v>90.96</v>
      </c>
      <c r="DH26" s="41">
        <v>120.19</v>
      </c>
      <c r="DI26" s="41">
        <v>3.18</v>
      </c>
      <c r="DJ26" s="37" t="s">
        <v>390</v>
      </c>
      <c r="DK26" s="40">
        <v>49000</v>
      </c>
      <c r="DL26" s="40">
        <v>156000</v>
      </c>
      <c r="DM26" s="40">
        <v>0</v>
      </c>
      <c r="DN26" s="40">
        <v>13808.3</v>
      </c>
      <c r="DO26" s="40">
        <v>0</v>
      </c>
      <c r="DP26" s="40">
        <v>230690</v>
      </c>
      <c r="DQ26" s="64">
        <v>0</v>
      </c>
      <c r="DR26" s="40">
        <v>0</v>
      </c>
      <c r="DS26" s="65">
        <v>0</v>
      </c>
      <c r="DT26" s="38">
        <v>12</v>
      </c>
      <c r="DU26" s="66">
        <v>1148</v>
      </c>
      <c r="DV26" s="41">
        <v>25</v>
      </c>
      <c r="DW26" s="41">
        <v>75</v>
      </c>
      <c r="DX26" s="41">
        <v>0</v>
      </c>
      <c r="DY26" s="41">
        <v>0</v>
      </c>
      <c r="DZ26" s="41">
        <v>0</v>
      </c>
      <c r="EA26" s="41">
        <v>66.666666666666657</v>
      </c>
      <c r="EB26" s="41">
        <v>33.333333333333329</v>
      </c>
      <c r="EC26" s="40">
        <v>166</v>
      </c>
      <c r="ED26" s="184">
        <v>82.98795180722891</v>
      </c>
    </row>
    <row r="27" spans="1:134" s="13" customFormat="1">
      <c r="A27" s="156" t="s">
        <v>175</v>
      </c>
      <c r="B27" s="285">
        <v>2014</v>
      </c>
      <c r="C27" s="259">
        <v>6</v>
      </c>
      <c r="D27" s="80" t="s">
        <v>346</v>
      </c>
      <c r="E27" s="56">
        <v>201.3</v>
      </c>
      <c r="F27" s="56">
        <v>67084</v>
      </c>
      <c r="G27" s="82">
        <v>21.140545713924553</v>
      </c>
      <c r="H27" s="179">
        <v>333.3</v>
      </c>
      <c r="I27" s="56">
        <v>33455</v>
      </c>
      <c r="J27" s="56">
        <v>49.870311847832568</v>
      </c>
      <c r="K27" s="56">
        <v>33629</v>
      </c>
      <c r="L27" s="84">
        <v>50.129688152167432</v>
      </c>
      <c r="M27" s="160">
        <v>30.651123963985448</v>
      </c>
      <c r="N27" s="160">
        <v>54.237970305885163</v>
      </c>
      <c r="O27" s="160">
        <v>15.110905730129391</v>
      </c>
      <c r="P27" s="160">
        <v>44.359310714924568</v>
      </c>
      <c r="Q27" s="160">
        <v>40.529783554946036</v>
      </c>
      <c r="R27" s="160">
        <v>15.110905730129391</v>
      </c>
      <c r="S27" s="83">
        <v>1.9693924327374026</v>
      </c>
      <c r="T27" s="83">
        <v>10.199999999999999</v>
      </c>
      <c r="U27" s="38">
        <v>133</v>
      </c>
      <c r="V27" s="41">
        <v>2.9</v>
      </c>
      <c r="W27" s="40">
        <v>53729</v>
      </c>
      <c r="X27" s="41">
        <v>3</v>
      </c>
      <c r="Y27" s="42" t="s">
        <v>95</v>
      </c>
      <c r="Z27" s="43">
        <v>4793</v>
      </c>
      <c r="AA27" s="45">
        <v>29</v>
      </c>
      <c r="AB27" s="63">
        <v>1136</v>
      </c>
      <c r="AC27" s="63">
        <v>797037.745</v>
      </c>
      <c r="AD27" s="43">
        <v>60</v>
      </c>
      <c r="AE27" s="44">
        <v>-4.99</v>
      </c>
      <c r="AF27" s="44">
        <v>4.0682999999999998</v>
      </c>
      <c r="AG27" s="41">
        <v>42.47</v>
      </c>
      <c r="AH27" s="41">
        <v>57.53</v>
      </c>
      <c r="AI27" s="44">
        <v>4.0599999999999996</v>
      </c>
      <c r="AJ27" s="41">
        <v>3.6614</v>
      </c>
      <c r="AK27" s="41">
        <v>4.263550217693127</v>
      </c>
      <c r="AL27" s="41">
        <v>14.3469</v>
      </c>
      <c r="AM27" s="39">
        <v>71414</v>
      </c>
      <c r="AN27" s="39">
        <v>78283</v>
      </c>
      <c r="AO27" s="40">
        <v>78459</v>
      </c>
      <c r="AP27" s="40">
        <v>158657</v>
      </c>
      <c r="AQ27" s="39">
        <v>25354000</v>
      </c>
      <c r="AR27" s="44">
        <v>1191.2234542379251</v>
      </c>
      <c r="AS27" s="39">
        <v>21284</v>
      </c>
      <c r="AT27" s="46">
        <v>26879000</v>
      </c>
      <c r="AU27" s="50">
        <v>1194.3568095978671</v>
      </c>
      <c r="AV27" s="39">
        <v>22505</v>
      </c>
      <c r="AW27" s="46">
        <v>29901000</v>
      </c>
      <c r="AX27" s="47">
        <v>1222.0950668247026</v>
      </c>
      <c r="AY27" s="39">
        <v>24467</v>
      </c>
      <c r="AZ27" s="41">
        <v>81.3</v>
      </c>
      <c r="BA27" s="41">
        <v>11.623819838966771</v>
      </c>
      <c r="BB27" s="46">
        <v>730000</v>
      </c>
      <c r="BC27" s="48">
        <v>3201.7543859649122</v>
      </c>
      <c r="BD27" s="40">
        <v>228</v>
      </c>
      <c r="BE27" s="46">
        <v>7220000</v>
      </c>
      <c r="BF27" s="44">
        <v>4454.0407156076499</v>
      </c>
      <c r="BG27" s="40">
        <v>1621</v>
      </c>
      <c r="BH27" s="49" t="s">
        <v>382</v>
      </c>
      <c r="BI27" s="49" t="s">
        <v>382</v>
      </c>
      <c r="BJ27" s="213">
        <v>0</v>
      </c>
      <c r="BK27" s="47">
        <v>226.61185133814166</v>
      </c>
      <c r="BL27" s="55">
        <v>22326000</v>
      </c>
      <c r="BM27" s="41">
        <v>28.455626505563416</v>
      </c>
      <c r="BN27" s="56">
        <v>2634000</v>
      </c>
      <c r="BO27" s="41">
        <v>3.3571674377700456</v>
      </c>
      <c r="BP27" s="56">
        <v>11314000</v>
      </c>
      <c r="BQ27" s="41">
        <v>14.420270459730562</v>
      </c>
      <c r="BR27" s="39">
        <v>7709000</v>
      </c>
      <c r="BS27" s="41">
        <v>9.825513962706637</v>
      </c>
      <c r="BT27" s="39">
        <v>14849000</v>
      </c>
      <c r="BU27" s="41">
        <v>18.925808383996738</v>
      </c>
      <c r="BV27" s="56">
        <v>13297000</v>
      </c>
      <c r="BW27" s="41">
        <v>16.947705170853567</v>
      </c>
      <c r="BX27" s="40">
        <v>6330000</v>
      </c>
      <c r="BY27" s="41">
        <v>8.0679080793790376</v>
      </c>
      <c r="BZ27" s="57">
        <v>332.80663049311312</v>
      </c>
      <c r="CA27" s="58">
        <v>168.65422455429015</v>
      </c>
      <c r="CB27" s="43" t="s">
        <v>382</v>
      </c>
      <c r="CC27" s="47">
        <v>114.91562816767038</v>
      </c>
      <c r="CD27" s="58">
        <v>188.52483453580587</v>
      </c>
      <c r="CE27" s="59">
        <v>39.264206070001791</v>
      </c>
      <c r="CF27" s="59">
        <v>94.359310714924575</v>
      </c>
      <c r="CG27" s="59">
        <v>32.824518514101726</v>
      </c>
      <c r="CH27" s="47">
        <v>198.21417923797031</v>
      </c>
      <c r="CI27" s="43" t="s">
        <v>382</v>
      </c>
      <c r="CJ27" s="44">
        <v>319.3689459271672</v>
      </c>
      <c r="CK27" s="60">
        <v>73.41609155586346</v>
      </c>
      <c r="CL27" s="53">
        <v>7373.2</v>
      </c>
      <c r="CM27" s="41">
        <v>24.558341549201948</v>
      </c>
      <c r="CN27" s="53">
        <v>6767.66</v>
      </c>
      <c r="CO27" s="41">
        <v>22.541434623890858</v>
      </c>
      <c r="CP27" s="54">
        <v>7981.3400000000011</v>
      </c>
      <c r="CQ27" s="41">
        <v>26.58390844413654</v>
      </c>
      <c r="CR27" s="43">
        <v>27897</v>
      </c>
      <c r="CS27" s="52">
        <v>63.164497974692623</v>
      </c>
      <c r="CT27" s="41">
        <v>558.87799999999993</v>
      </c>
      <c r="CU27" s="41">
        <v>8.3310178283942502</v>
      </c>
      <c r="CV27" s="52">
        <v>467.88</v>
      </c>
      <c r="CW27" s="38">
        <v>2</v>
      </c>
      <c r="CX27" s="38">
        <v>15</v>
      </c>
      <c r="CY27" s="51">
        <v>2</v>
      </c>
      <c r="CZ27" s="61">
        <v>3.6856031244409992</v>
      </c>
      <c r="DA27" s="39">
        <v>8712000</v>
      </c>
      <c r="DB27" s="39">
        <v>9415000</v>
      </c>
      <c r="DC27" s="39">
        <v>3504000</v>
      </c>
      <c r="DD27" s="39">
        <v>4493000</v>
      </c>
      <c r="DE27" s="39">
        <v>5090000</v>
      </c>
      <c r="DF27" s="62">
        <v>5273000</v>
      </c>
      <c r="DG27" s="41">
        <v>96.53</v>
      </c>
      <c r="DH27" s="41">
        <v>13.850000000000001</v>
      </c>
      <c r="DI27" s="41">
        <v>1.63</v>
      </c>
      <c r="DJ27" s="37" t="s">
        <v>390</v>
      </c>
      <c r="DK27" s="40">
        <v>51000</v>
      </c>
      <c r="DL27" s="40">
        <v>174000</v>
      </c>
      <c r="DM27" s="40">
        <v>0</v>
      </c>
      <c r="DN27" s="40">
        <v>0</v>
      </c>
      <c r="DO27" s="40">
        <v>0</v>
      </c>
      <c r="DP27" s="40">
        <v>278122</v>
      </c>
      <c r="DQ27" s="64">
        <v>0</v>
      </c>
      <c r="DR27" s="40">
        <v>0</v>
      </c>
      <c r="DS27" s="65">
        <v>0</v>
      </c>
      <c r="DT27" s="38">
        <v>9</v>
      </c>
      <c r="DU27" s="66">
        <v>7453.7777777777774</v>
      </c>
      <c r="DV27" s="41">
        <v>55.555555555555557</v>
      </c>
      <c r="DW27" s="41">
        <v>44.444444444444443</v>
      </c>
      <c r="DX27" s="41">
        <v>0</v>
      </c>
      <c r="DY27" s="41">
        <v>0</v>
      </c>
      <c r="DZ27" s="41">
        <v>0</v>
      </c>
      <c r="EA27" s="41">
        <v>88.888888888888886</v>
      </c>
      <c r="EB27" s="41">
        <v>11.111111111111111</v>
      </c>
      <c r="EC27" s="40">
        <v>342</v>
      </c>
      <c r="ED27" s="184">
        <v>196.15204678362574</v>
      </c>
    </row>
    <row r="28" spans="1:134" s="13" customFormat="1">
      <c r="A28" s="156" t="s">
        <v>176</v>
      </c>
      <c r="B28" s="285">
        <v>2014</v>
      </c>
      <c r="C28" s="259">
        <v>7</v>
      </c>
      <c r="D28" s="80" t="s">
        <v>346</v>
      </c>
      <c r="E28" s="56">
        <v>312.10000000000002</v>
      </c>
      <c r="F28" s="56">
        <v>156572</v>
      </c>
      <c r="G28" s="82">
        <v>4.3910765004733774</v>
      </c>
      <c r="H28" s="179">
        <v>501.6</v>
      </c>
      <c r="I28" s="56">
        <v>77240</v>
      </c>
      <c r="J28" s="56">
        <v>49.331936744756405</v>
      </c>
      <c r="K28" s="56">
        <v>79332</v>
      </c>
      <c r="L28" s="84">
        <v>50.668063255243588</v>
      </c>
      <c r="M28" s="160">
        <v>28.268145006770045</v>
      </c>
      <c r="N28" s="160">
        <v>55.256367677490225</v>
      </c>
      <c r="O28" s="160">
        <v>16.475487315739723</v>
      </c>
      <c r="P28" s="160">
        <v>43.822011598497816</v>
      </c>
      <c r="Q28" s="160">
        <v>39.702501085762457</v>
      </c>
      <c r="R28" s="160">
        <v>16.475487315739723</v>
      </c>
      <c r="S28" s="83">
        <v>3.238336644515996</v>
      </c>
      <c r="T28" s="83">
        <v>25.2</v>
      </c>
      <c r="U28" s="38">
        <v>58</v>
      </c>
      <c r="V28" s="41">
        <v>8.1999999999999993</v>
      </c>
      <c r="W28" s="40">
        <v>46163</v>
      </c>
      <c r="X28" s="41">
        <v>2.9</v>
      </c>
      <c r="Y28" s="42" t="s">
        <v>95</v>
      </c>
      <c r="Z28" s="43">
        <v>8056</v>
      </c>
      <c r="AA28" s="45">
        <v>16</v>
      </c>
      <c r="AB28" s="63">
        <v>713</v>
      </c>
      <c r="AC28" s="63">
        <v>575359.84299999999</v>
      </c>
      <c r="AD28" s="43">
        <v>104</v>
      </c>
      <c r="AE28" s="44">
        <v>4.8600000000000003</v>
      </c>
      <c r="AF28" s="44">
        <v>3.6669</v>
      </c>
      <c r="AG28" s="41">
        <v>73.81</v>
      </c>
      <c r="AH28" s="41">
        <v>26.189999999999998</v>
      </c>
      <c r="AI28" s="44">
        <v>4.05</v>
      </c>
      <c r="AJ28" s="41">
        <v>5.4932000000000007</v>
      </c>
      <c r="AK28" s="41">
        <v>4.217264360960657</v>
      </c>
      <c r="AL28" s="41">
        <v>10.388699999999998</v>
      </c>
      <c r="AM28" s="39">
        <v>133029</v>
      </c>
      <c r="AN28" s="39">
        <v>128698</v>
      </c>
      <c r="AO28" s="40">
        <v>137192</v>
      </c>
      <c r="AP28" s="40">
        <v>155637</v>
      </c>
      <c r="AQ28" s="39">
        <v>43353000</v>
      </c>
      <c r="AR28" s="44">
        <v>845.1371425229546</v>
      </c>
      <c r="AS28" s="39">
        <v>51297</v>
      </c>
      <c r="AT28" s="46">
        <v>48532000</v>
      </c>
      <c r="AU28" s="50">
        <v>934.74576271186436</v>
      </c>
      <c r="AV28" s="39">
        <v>51920</v>
      </c>
      <c r="AW28" s="46">
        <v>54851000</v>
      </c>
      <c r="AX28" s="47">
        <v>1049.3983049226119</v>
      </c>
      <c r="AY28" s="39">
        <v>52269</v>
      </c>
      <c r="AZ28" s="41">
        <v>74.2</v>
      </c>
      <c r="BA28" s="41">
        <v>14.082917216705887</v>
      </c>
      <c r="BB28" s="46">
        <v>797000</v>
      </c>
      <c r="BC28" s="48">
        <v>12453.125</v>
      </c>
      <c r="BD28" s="40">
        <v>64</v>
      </c>
      <c r="BE28" s="46">
        <v>18610000</v>
      </c>
      <c r="BF28" s="44">
        <v>6601.6317843206807</v>
      </c>
      <c r="BG28" s="40">
        <v>2819</v>
      </c>
      <c r="BH28" s="46">
        <v>28000</v>
      </c>
      <c r="BI28" s="49">
        <v>14000</v>
      </c>
      <c r="BJ28" s="45">
        <v>2</v>
      </c>
      <c r="BK28" s="47">
        <v>141.7979931211803</v>
      </c>
      <c r="BL28" s="55">
        <v>28019000</v>
      </c>
      <c r="BM28" s="41">
        <v>20.423202519097323</v>
      </c>
      <c r="BN28" s="56">
        <v>6378000</v>
      </c>
      <c r="BO28" s="41">
        <v>4.6489591229809317</v>
      </c>
      <c r="BP28" s="56">
        <v>24242000</v>
      </c>
      <c r="BQ28" s="41">
        <v>17.670126537990555</v>
      </c>
      <c r="BR28" s="39">
        <v>22613000</v>
      </c>
      <c r="BS28" s="41">
        <v>16.482739518339262</v>
      </c>
      <c r="BT28" s="39">
        <v>30645000</v>
      </c>
      <c r="BU28" s="41">
        <v>22.337308297859934</v>
      </c>
      <c r="BV28" s="56">
        <v>17916000</v>
      </c>
      <c r="BW28" s="41">
        <v>13.059070499737594</v>
      </c>
      <c r="BX28" s="40">
        <v>7379000</v>
      </c>
      <c r="BY28" s="41">
        <v>5.3785935039944022</v>
      </c>
      <c r="BZ28" s="57">
        <v>178.95281404082468</v>
      </c>
      <c r="CA28" s="58">
        <v>154.82972689880694</v>
      </c>
      <c r="CB28" s="43" t="s">
        <v>382</v>
      </c>
      <c r="CC28" s="47">
        <v>144.42556778989857</v>
      </c>
      <c r="CD28" s="58">
        <v>162.70469815803591</v>
      </c>
      <c r="CE28" s="59">
        <v>40.735252791048211</v>
      </c>
      <c r="CF28" s="59">
        <v>47.128477633293308</v>
      </c>
      <c r="CG28" s="59">
        <v>33.019952481925252</v>
      </c>
      <c r="CH28" s="47">
        <v>114.42658968397926</v>
      </c>
      <c r="CI28" s="43" t="s">
        <v>382</v>
      </c>
      <c r="CJ28" s="44">
        <v>305.61135663586447</v>
      </c>
      <c r="CK28" s="60">
        <v>72.268275483820418</v>
      </c>
      <c r="CL28" s="53">
        <v>13314</v>
      </c>
      <c r="CM28" s="41">
        <v>20.86343336206221</v>
      </c>
      <c r="CN28" s="53">
        <v>15655</v>
      </c>
      <c r="CO28" s="41">
        <v>24.531849878555199</v>
      </c>
      <c r="CP28" s="54">
        <v>17697</v>
      </c>
      <c r="CQ28" s="41">
        <v>27.731724516179579</v>
      </c>
      <c r="CR28" s="43">
        <v>57016</v>
      </c>
      <c r="CS28" s="52">
        <v>62.277255507226037</v>
      </c>
      <c r="CT28" s="41">
        <v>713.63000000000011</v>
      </c>
      <c r="CU28" s="41">
        <v>4.557839204966406</v>
      </c>
      <c r="CV28" s="52">
        <v>1100</v>
      </c>
      <c r="CW28" s="38">
        <v>3</v>
      </c>
      <c r="CX28" s="38">
        <v>23</v>
      </c>
      <c r="CY28" s="51">
        <v>4</v>
      </c>
      <c r="CZ28" s="61">
        <v>3.6968615078047162</v>
      </c>
      <c r="DA28" s="39">
        <v>13607000</v>
      </c>
      <c r="DB28" s="39">
        <v>16995000</v>
      </c>
      <c r="DC28" s="39">
        <v>13933000</v>
      </c>
      <c r="DD28" s="39">
        <v>16243000</v>
      </c>
      <c r="DE28" s="39">
        <v>27348000</v>
      </c>
      <c r="DF28" s="62">
        <v>16945000</v>
      </c>
      <c r="DG28" s="41">
        <v>161.38999999999999</v>
      </c>
      <c r="DH28" s="41">
        <v>84.899999999999991</v>
      </c>
      <c r="DI28" s="41">
        <v>2.35</v>
      </c>
      <c r="DJ28" s="37" t="s">
        <v>390</v>
      </c>
      <c r="DK28" s="40">
        <v>167000</v>
      </c>
      <c r="DL28" s="40">
        <v>399000</v>
      </c>
      <c r="DM28" s="40">
        <v>0</v>
      </c>
      <c r="DN28" s="40">
        <v>46788</v>
      </c>
      <c r="DO28" s="40">
        <v>0</v>
      </c>
      <c r="DP28" s="40">
        <v>335065</v>
      </c>
      <c r="DQ28" s="64">
        <v>0</v>
      </c>
      <c r="DR28" s="40">
        <v>0</v>
      </c>
      <c r="DS28" s="65">
        <v>0</v>
      </c>
      <c r="DT28" s="38">
        <v>15</v>
      </c>
      <c r="DU28" s="66">
        <v>10438.133333333333</v>
      </c>
      <c r="DV28" s="41">
        <v>20</v>
      </c>
      <c r="DW28" s="41">
        <v>80</v>
      </c>
      <c r="DX28" s="41">
        <v>0</v>
      </c>
      <c r="DY28" s="41">
        <v>33.333333333333329</v>
      </c>
      <c r="DZ28" s="41">
        <v>6.666666666666667</v>
      </c>
      <c r="EA28" s="41">
        <v>33.333333333333329</v>
      </c>
      <c r="EB28" s="41">
        <v>60</v>
      </c>
      <c r="EC28" s="40">
        <v>601</v>
      </c>
      <c r="ED28" s="184">
        <v>260.51913477537437</v>
      </c>
    </row>
    <row r="29" spans="1:134" s="13" customFormat="1">
      <c r="A29" s="156" t="s">
        <v>177</v>
      </c>
      <c r="B29" s="285">
        <v>2014</v>
      </c>
      <c r="C29" s="259">
        <v>3</v>
      </c>
      <c r="D29" s="80" t="s">
        <v>343</v>
      </c>
      <c r="E29" s="56">
        <v>19.899999999999999</v>
      </c>
      <c r="F29" s="56">
        <v>87480</v>
      </c>
      <c r="G29" s="82">
        <v>16.125949131843043</v>
      </c>
      <c r="H29" s="179">
        <v>4397.3999999999996</v>
      </c>
      <c r="I29" s="56">
        <v>42791</v>
      </c>
      <c r="J29" s="56">
        <v>48.915180612711481</v>
      </c>
      <c r="K29" s="56">
        <v>44689</v>
      </c>
      <c r="L29" s="84">
        <v>51.084819387288526</v>
      </c>
      <c r="M29" s="160">
        <v>21.318015546410606</v>
      </c>
      <c r="N29" s="160">
        <v>59.511888431641516</v>
      </c>
      <c r="O29" s="160">
        <v>19.170096021947874</v>
      </c>
      <c r="P29" s="160">
        <v>37.467992684042066</v>
      </c>
      <c r="Q29" s="160">
        <v>43.361911294010056</v>
      </c>
      <c r="R29" s="160">
        <v>19.170096021947874</v>
      </c>
      <c r="S29" s="83">
        <v>0.37749297150324035</v>
      </c>
      <c r="T29" s="83">
        <v>35.799999999999997</v>
      </c>
      <c r="U29" s="38">
        <v>138</v>
      </c>
      <c r="V29" s="41">
        <v>2.5</v>
      </c>
      <c r="W29" s="40">
        <v>67877</v>
      </c>
      <c r="X29" s="41">
        <v>2.5</v>
      </c>
      <c r="Y29" s="42" t="s">
        <v>142</v>
      </c>
      <c r="Z29" s="43">
        <v>8746</v>
      </c>
      <c r="AA29" s="45">
        <v>17</v>
      </c>
      <c r="AB29" s="63">
        <v>465</v>
      </c>
      <c r="AC29" s="63">
        <v>491887.77600000001</v>
      </c>
      <c r="AD29" s="43">
        <v>112</v>
      </c>
      <c r="AE29" s="44">
        <v>3.92</v>
      </c>
      <c r="AF29" s="44">
        <v>2.9621</v>
      </c>
      <c r="AG29" s="41">
        <v>75.709999999999994</v>
      </c>
      <c r="AH29" s="41">
        <v>24.290000000000006</v>
      </c>
      <c r="AI29" s="44">
        <v>1.57</v>
      </c>
      <c r="AJ29" s="41">
        <v>21.7637</v>
      </c>
      <c r="AK29" s="41">
        <v>0.85977723692868291</v>
      </c>
      <c r="AL29" s="41">
        <v>15.3996</v>
      </c>
      <c r="AM29" s="39">
        <v>70378</v>
      </c>
      <c r="AN29" s="39">
        <v>72653</v>
      </c>
      <c r="AO29" s="40">
        <v>73758</v>
      </c>
      <c r="AP29" s="40">
        <v>99970.07</v>
      </c>
      <c r="AQ29" s="39">
        <v>26532000</v>
      </c>
      <c r="AR29" s="44">
        <v>852.70769725212915</v>
      </c>
      <c r="AS29" s="39">
        <v>31115</v>
      </c>
      <c r="AT29" s="46">
        <v>27962000</v>
      </c>
      <c r="AU29" s="50">
        <v>837.13550086821147</v>
      </c>
      <c r="AV29" s="39">
        <v>33402</v>
      </c>
      <c r="AW29" s="46">
        <v>29295000</v>
      </c>
      <c r="AX29" s="47">
        <v>861.92185477227258</v>
      </c>
      <c r="AY29" s="39">
        <v>33988</v>
      </c>
      <c r="AZ29" s="41">
        <v>78.5</v>
      </c>
      <c r="BA29" s="41">
        <v>11.845357184888785</v>
      </c>
      <c r="BB29" s="48" t="s">
        <v>382</v>
      </c>
      <c r="BC29" s="48" t="s">
        <v>382</v>
      </c>
      <c r="BD29" s="40">
        <v>0</v>
      </c>
      <c r="BE29" s="46">
        <v>4625000</v>
      </c>
      <c r="BF29" s="44">
        <v>2813.2603406326034</v>
      </c>
      <c r="BG29" s="40">
        <v>1644</v>
      </c>
      <c r="BH29" s="49" t="s">
        <v>382</v>
      </c>
      <c r="BI29" s="49" t="s">
        <v>382</v>
      </c>
      <c r="BJ29" s="213">
        <v>0</v>
      </c>
      <c r="BK29" s="47">
        <v>473.23336105542455</v>
      </c>
      <c r="BL29" s="55">
        <v>7599000</v>
      </c>
      <c r="BM29" s="41">
        <v>10.302611242170341</v>
      </c>
      <c r="BN29" s="56">
        <v>4262000</v>
      </c>
      <c r="BO29" s="41">
        <v>5.7783562461021178</v>
      </c>
      <c r="BP29" s="56">
        <v>18708000</v>
      </c>
      <c r="BQ29" s="41">
        <v>25.364028308793625</v>
      </c>
      <c r="BR29" s="39">
        <v>10749000</v>
      </c>
      <c r="BS29" s="41">
        <v>14.573334417961442</v>
      </c>
      <c r="BT29" s="39">
        <v>20196000</v>
      </c>
      <c r="BU29" s="41">
        <v>27.381436589929226</v>
      </c>
      <c r="BV29" s="56">
        <v>7712000</v>
      </c>
      <c r="BW29" s="41">
        <v>10.455814962444752</v>
      </c>
      <c r="BX29" s="40">
        <v>4532000</v>
      </c>
      <c r="BY29" s="41">
        <v>6.1444182325984977</v>
      </c>
      <c r="BZ29" s="57">
        <v>86.865569272976686</v>
      </c>
      <c r="CA29" s="58">
        <v>213.85459533607681</v>
      </c>
      <c r="CB29" s="43" t="s">
        <v>382</v>
      </c>
      <c r="CC29" s="47">
        <v>122.87379972565158</v>
      </c>
      <c r="CD29" s="58">
        <v>179.33241883859168</v>
      </c>
      <c r="CE29" s="59">
        <v>48.719707361682673</v>
      </c>
      <c r="CF29" s="59">
        <v>51.80612711476909</v>
      </c>
      <c r="CG29" s="59">
        <v>51.531778692272518</v>
      </c>
      <c r="CH29" s="47">
        <v>88.157293095564697</v>
      </c>
      <c r="CI29" s="43" t="s">
        <v>382</v>
      </c>
      <c r="CJ29" s="44">
        <v>378.95727903966105</v>
      </c>
      <c r="CK29" s="60">
        <v>48.653445498134431</v>
      </c>
      <c r="CL29" s="53">
        <v>8369.1</v>
      </c>
      <c r="CM29" s="41">
        <v>25.146039989207374</v>
      </c>
      <c r="CN29" s="53">
        <v>5259.5300000000007</v>
      </c>
      <c r="CO29" s="41">
        <v>15.802936003206543</v>
      </c>
      <c r="CP29" s="54">
        <v>17089.150000000001</v>
      </c>
      <c r="CQ29" s="41">
        <v>51.346554501865583</v>
      </c>
      <c r="CR29" s="43">
        <v>15829</v>
      </c>
      <c r="CS29" s="52">
        <v>57.445195527196915</v>
      </c>
      <c r="CT29" s="41">
        <v>207</v>
      </c>
      <c r="CU29" s="41">
        <v>2.3662551440329218</v>
      </c>
      <c r="CV29" s="52">
        <v>128.68</v>
      </c>
      <c r="CW29" s="38">
        <v>2</v>
      </c>
      <c r="CX29" s="38">
        <v>7</v>
      </c>
      <c r="CY29" s="51">
        <v>2</v>
      </c>
      <c r="CZ29" s="61">
        <v>5.7434385002286241</v>
      </c>
      <c r="DA29" s="39">
        <v>5612000</v>
      </c>
      <c r="DB29" s="39">
        <v>5350000</v>
      </c>
      <c r="DC29" s="39">
        <v>5957000</v>
      </c>
      <c r="DD29" s="39">
        <v>5988000</v>
      </c>
      <c r="DE29" s="39">
        <v>6439000</v>
      </c>
      <c r="DF29" s="62">
        <v>6030000</v>
      </c>
      <c r="DG29" s="41">
        <v>106.78</v>
      </c>
      <c r="DH29" s="41">
        <v>101.57000000000001</v>
      </c>
      <c r="DI29" s="41">
        <v>4.8</v>
      </c>
      <c r="DJ29" s="37" t="s">
        <v>390</v>
      </c>
      <c r="DK29" s="40">
        <v>105995</v>
      </c>
      <c r="DL29" s="40">
        <v>200000</v>
      </c>
      <c r="DM29" s="40">
        <v>16405.919999999998</v>
      </c>
      <c r="DN29" s="40">
        <v>25828.69</v>
      </c>
      <c r="DO29" s="40">
        <v>1271</v>
      </c>
      <c r="DP29" s="40">
        <v>281155</v>
      </c>
      <c r="DQ29" s="64">
        <v>1</v>
      </c>
      <c r="DR29" s="40">
        <v>2000</v>
      </c>
      <c r="DS29" s="65">
        <v>0</v>
      </c>
      <c r="DT29" s="38">
        <v>9</v>
      </c>
      <c r="DU29" s="66">
        <v>9720</v>
      </c>
      <c r="DV29" s="41">
        <v>33.333333333333329</v>
      </c>
      <c r="DW29" s="41">
        <v>66.666666666666657</v>
      </c>
      <c r="DX29" s="41">
        <v>0</v>
      </c>
      <c r="DY29" s="41">
        <v>44.444444444444443</v>
      </c>
      <c r="DZ29" s="41">
        <v>0</v>
      </c>
      <c r="EA29" s="41">
        <v>77.777777777777786</v>
      </c>
      <c r="EB29" s="41">
        <v>22.222222222222221</v>
      </c>
      <c r="EC29" s="40">
        <v>316</v>
      </c>
      <c r="ED29" s="184">
        <v>276.8354430379747</v>
      </c>
    </row>
    <row r="30" spans="1:134" s="13" customFormat="1">
      <c r="A30" s="156" t="s">
        <v>178</v>
      </c>
      <c r="B30" s="285">
        <v>2014</v>
      </c>
      <c r="C30" s="259">
        <v>3</v>
      </c>
      <c r="D30" s="80" t="s">
        <v>343</v>
      </c>
      <c r="E30" s="56">
        <v>33.6</v>
      </c>
      <c r="F30" s="56">
        <v>150626</v>
      </c>
      <c r="G30" s="82">
        <v>6.0574695647888017</v>
      </c>
      <c r="H30" s="179">
        <v>4487.7</v>
      </c>
      <c r="I30" s="56">
        <v>75622</v>
      </c>
      <c r="J30" s="56">
        <v>50.205143866264791</v>
      </c>
      <c r="K30" s="56">
        <v>75004</v>
      </c>
      <c r="L30" s="84">
        <v>49.794856133735209</v>
      </c>
      <c r="M30" s="160">
        <v>25.394022280350004</v>
      </c>
      <c r="N30" s="160">
        <v>55.907346673217106</v>
      </c>
      <c r="O30" s="160">
        <v>18.698631046432887</v>
      </c>
      <c r="P30" s="160">
        <v>40.180978051597997</v>
      </c>
      <c r="Q30" s="160">
        <v>41.120390901969117</v>
      </c>
      <c r="R30" s="160">
        <v>18.698631046432887</v>
      </c>
      <c r="S30" s="83">
        <v>0.580566306783459</v>
      </c>
      <c r="T30" s="83">
        <v>63.9</v>
      </c>
      <c r="U30" s="38">
        <v>51</v>
      </c>
      <c r="V30" s="41">
        <v>7.4</v>
      </c>
      <c r="W30" s="40">
        <v>43407</v>
      </c>
      <c r="X30" s="41">
        <v>2.8</v>
      </c>
      <c r="Y30" s="42" t="s">
        <v>139</v>
      </c>
      <c r="Z30" s="38">
        <v>12368</v>
      </c>
      <c r="AA30" s="45">
        <v>74</v>
      </c>
      <c r="AB30" s="63">
        <v>542</v>
      </c>
      <c r="AC30" s="63">
        <v>810239.027</v>
      </c>
      <c r="AD30" s="43">
        <v>106</v>
      </c>
      <c r="AE30" s="44">
        <v>4.5</v>
      </c>
      <c r="AF30" s="44">
        <v>2.5783999999999998</v>
      </c>
      <c r="AG30" s="41">
        <v>71.45</v>
      </c>
      <c r="AH30" s="41">
        <v>28.549999999999997</v>
      </c>
      <c r="AI30" s="44">
        <v>4.7</v>
      </c>
      <c r="AJ30" s="41">
        <v>8.9321000000000002</v>
      </c>
      <c r="AK30" s="41">
        <v>1.696927440098744</v>
      </c>
      <c r="AL30" s="41">
        <v>11.4367</v>
      </c>
      <c r="AM30" s="39">
        <v>95556</v>
      </c>
      <c r="AN30" s="39">
        <v>97577</v>
      </c>
      <c r="AO30" s="40">
        <v>101352.22690000001</v>
      </c>
      <c r="AP30" s="40">
        <v>131025</v>
      </c>
      <c r="AQ30" s="39">
        <v>39541000</v>
      </c>
      <c r="AR30" s="44">
        <v>888.18257373256358</v>
      </c>
      <c r="AS30" s="39">
        <v>44519</v>
      </c>
      <c r="AT30" s="46">
        <v>41015000</v>
      </c>
      <c r="AU30" s="50">
        <v>908.6176340274701</v>
      </c>
      <c r="AV30" s="39">
        <v>45140</v>
      </c>
      <c r="AW30" s="46">
        <v>44389000</v>
      </c>
      <c r="AX30" s="47">
        <v>963.55387687765915</v>
      </c>
      <c r="AY30" s="39">
        <v>46068</v>
      </c>
      <c r="AZ30" s="41">
        <v>68.100000000000009</v>
      </c>
      <c r="BA30" s="41">
        <v>21.778675002170704</v>
      </c>
      <c r="BB30" s="48" t="s">
        <v>382</v>
      </c>
      <c r="BC30" s="48" t="s">
        <v>382</v>
      </c>
      <c r="BD30" s="40">
        <v>0</v>
      </c>
      <c r="BE30" s="46">
        <v>12491000</v>
      </c>
      <c r="BF30" s="44">
        <v>4356.818974537844</v>
      </c>
      <c r="BG30" s="40">
        <v>2867</v>
      </c>
      <c r="BH30" s="49" t="s">
        <v>382</v>
      </c>
      <c r="BI30" s="49" t="s">
        <v>382</v>
      </c>
      <c r="BJ30" s="213">
        <v>0</v>
      </c>
      <c r="BK30" s="47">
        <v>275.84982948312233</v>
      </c>
      <c r="BL30" s="55">
        <v>24819226.940000001</v>
      </c>
      <c r="BM30" s="41">
        <v>24.488092358042472</v>
      </c>
      <c r="BN30" s="56">
        <v>2808000</v>
      </c>
      <c r="BO30" s="41">
        <v>2.7705360649473656</v>
      </c>
      <c r="BP30" s="56">
        <v>24510000</v>
      </c>
      <c r="BQ30" s="41">
        <v>24.1829910797222</v>
      </c>
      <c r="BR30" s="39">
        <v>15983000</v>
      </c>
      <c r="BS30" s="41">
        <v>15.769757096172988</v>
      </c>
      <c r="BT30" s="39">
        <v>23315000</v>
      </c>
      <c r="BU30" s="41">
        <v>23.00393459909111</v>
      </c>
      <c r="BV30" s="56">
        <v>9481000</v>
      </c>
      <c r="BW30" s="41">
        <v>9.3545058517685096</v>
      </c>
      <c r="BX30" s="40">
        <v>436000</v>
      </c>
      <c r="BY30" s="41">
        <v>0.43018295025536019</v>
      </c>
      <c r="BZ30" s="57">
        <v>164.77385670468578</v>
      </c>
      <c r="CA30" s="58">
        <v>162.72091139643885</v>
      </c>
      <c r="CB30" s="43" t="s">
        <v>382</v>
      </c>
      <c r="CC30" s="47">
        <v>106.11049885145991</v>
      </c>
      <c r="CD30" s="58">
        <v>126.67799715852509</v>
      </c>
      <c r="CE30" s="59">
        <v>18.642199885809887</v>
      </c>
      <c r="CF30" s="59">
        <v>2.8945865919562359</v>
      </c>
      <c r="CG30" s="59">
        <v>28.1093569503273</v>
      </c>
      <c r="CH30" s="47">
        <v>62.943980454901542</v>
      </c>
      <c r="CI30" s="43" t="s">
        <v>382</v>
      </c>
      <c r="CJ30" s="44">
        <v>394.78596856820354</v>
      </c>
      <c r="CK30" s="60">
        <v>33.849178728248496</v>
      </c>
      <c r="CL30" s="53">
        <v>9622.52</v>
      </c>
      <c r="CM30" s="41">
        <v>15.64891852333713</v>
      </c>
      <c r="CN30" s="53">
        <v>10821.34</v>
      </c>
      <c r="CO30" s="41">
        <v>17.598536347373557</v>
      </c>
      <c r="CP30" s="54">
        <v>40676.15</v>
      </c>
      <c r="CQ30" s="41">
        <v>66.150837534558477</v>
      </c>
      <c r="CR30" s="43">
        <v>21122</v>
      </c>
      <c r="CS30" s="52">
        <v>44.048859009563493</v>
      </c>
      <c r="CT30" s="41">
        <v>342.68299999999999</v>
      </c>
      <c r="CU30" s="41">
        <v>2.2750587547966483</v>
      </c>
      <c r="CV30" s="52">
        <v>352</v>
      </c>
      <c r="CW30" s="38">
        <v>2</v>
      </c>
      <c r="CX30" s="38">
        <v>10</v>
      </c>
      <c r="CY30" s="51">
        <v>4</v>
      </c>
      <c r="CZ30" s="61">
        <v>3.8880073825236017</v>
      </c>
      <c r="DA30" s="39">
        <v>3926000</v>
      </c>
      <c r="DB30" s="39">
        <v>21021000</v>
      </c>
      <c r="DC30" s="39">
        <v>7900501.8300000001</v>
      </c>
      <c r="DD30" s="39">
        <v>20617000</v>
      </c>
      <c r="DE30" s="39">
        <v>8646961.1410000008</v>
      </c>
      <c r="DF30" s="62">
        <v>8994961.1410000008</v>
      </c>
      <c r="DG30" s="41">
        <v>96.13000000000001</v>
      </c>
      <c r="DH30" s="41">
        <v>72.16</v>
      </c>
      <c r="DI30" s="41">
        <v>2.25</v>
      </c>
      <c r="DJ30" s="37" t="s">
        <v>390</v>
      </c>
      <c r="DK30" s="40">
        <v>0</v>
      </c>
      <c r="DL30" s="40">
        <v>225000</v>
      </c>
      <c r="DM30" s="40">
        <v>0</v>
      </c>
      <c r="DN30" s="40">
        <v>28660</v>
      </c>
      <c r="DO30" s="40">
        <v>0</v>
      </c>
      <c r="DP30" s="40">
        <v>334201</v>
      </c>
      <c r="DQ30" s="64">
        <v>1</v>
      </c>
      <c r="DR30" s="40">
        <v>9000</v>
      </c>
      <c r="DS30" s="65">
        <v>0</v>
      </c>
      <c r="DT30" s="38">
        <v>10</v>
      </c>
      <c r="DU30" s="66">
        <v>15062.6</v>
      </c>
      <c r="DV30" s="41">
        <v>30</v>
      </c>
      <c r="DW30" s="41">
        <v>70</v>
      </c>
      <c r="DX30" s="41">
        <v>0</v>
      </c>
      <c r="DY30" s="41">
        <v>40</v>
      </c>
      <c r="DZ30" s="41">
        <v>10</v>
      </c>
      <c r="EA30" s="41">
        <v>60</v>
      </c>
      <c r="EB30" s="41">
        <v>30</v>
      </c>
      <c r="EC30" s="40">
        <v>514</v>
      </c>
      <c r="ED30" s="184">
        <v>293.04669260700388</v>
      </c>
    </row>
    <row r="31" spans="1:134" s="13" customFormat="1">
      <c r="A31" s="156" t="s">
        <v>179</v>
      </c>
      <c r="B31" s="285">
        <v>2014</v>
      </c>
      <c r="C31" s="259">
        <v>9</v>
      </c>
      <c r="D31" s="80" t="s">
        <v>344</v>
      </c>
      <c r="E31" s="56">
        <v>18932.5</v>
      </c>
      <c r="F31" s="56">
        <v>2795</v>
      </c>
      <c r="G31" s="82">
        <v>0.61195104391648669</v>
      </c>
      <c r="H31" s="179">
        <v>0.1</v>
      </c>
      <c r="I31" s="56">
        <v>1479</v>
      </c>
      <c r="J31" s="56">
        <v>52.91592128801431</v>
      </c>
      <c r="K31" s="56">
        <v>1316</v>
      </c>
      <c r="L31" s="84">
        <v>47.08407871198569</v>
      </c>
      <c r="M31" s="160">
        <v>23.005366726296959</v>
      </c>
      <c r="N31" s="160">
        <v>55.849731663685155</v>
      </c>
      <c r="O31" s="160">
        <v>21.144901610017889</v>
      </c>
      <c r="P31" s="160">
        <v>36.457960644007152</v>
      </c>
      <c r="Q31" s="160">
        <v>42.397137745974959</v>
      </c>
      <c r="R31" s="160">
        <v>21.144901610017889</v>
      </c>
      <c r="S31" s="83">
        <v>6.6125290023201861</v>
      </c>
      <c r="T31" s="83">
        <v>3.8</v>
      </c>
      <c r="U31" s="38">
        <v>76</v>
      </c>
      <c r="V31" s="41">
        <v>3.3</v>
      </c>
      <c r="W31" s="40">
        <v>46180</v>
      </c>
      <c r="X31" s="41">
        <v>2.5</v>
      </c>
      <c r="Y31" s="42" t="s">
        <v>351</v>
      </c>
      <c r="Z31" s="38">
        <v>456</v>
      </c>
      <c r="AA31" s="45">
        <v>3</v>
      </c>
      <c r="AB31" s="67">
        <v>41</v>
      </c>
      <c r="AC31" s="63">
        <v>3991.6849999999999</v>
      </c>
      <c r="AD31" s="43">
        <v>24</v>
      </c>
      <c r="AE31" s="44">
        <v>19.04</v>
      </c>
      <c r="AF31" s="44">
        <v>6.3673999999999999</v>
      </c>
      <c r="AG31" s="41">
        <v>53.2</v>
      </c>
      <c r="AH31" s="41">
        <v>46.8</v>
      </c>
      <c r="AI31" s="44">
        <v>6.63</v>
      </c>
      <c r="AJ31" s="41">
        <v>19.285299999999999</v>
      </c>
      <c r="AK31" s="41">
        <v>2.3202137998056362</v>
      </c>
      <c r="AL31" s="41">
        <v>12.196800000000001</v>
      </c>
      <c r="AM31" s="39">
        <v>14287</v>
      </c>
      <c r="AN31" s="39">
        <v>12633</v>
      </c>
      <c r="AO31" s="40">
        <v>13749</v>
      </c>
      <c r="AP31" s="40">
        <v>18591</v>
      </c>
      <c r="AQ31" s="39">
        <v>370000</v>
      </c>
      <c r="AR31" s="44">
        <v>387.02928870292885</v>
      </c>
      <c r="AS31" s="39">
        <v>956</v>
      </c>
      <c r="AT31" s="46">
        <v>340000</v>
      </c>
      <c r="AU31" s="50">
        <v>388.12785388127855</v>
      </c>
      <c r="AV31" s="39">
        <v>876</v>
      </c>
      <c r="AW31" s="46">
        <v>334000</v>
      </c>
      <c r="AX31" s="47">
        <v>393.40400471142522</v>
      </c>
      <c r="AY31" s="39">
        <v>849</v>
      </c>
      <c r="AZ31" s="41">
        <v>59.4</v>
      </c>
      <c r="BA31" s="41">
        <v>21.43698468786808</v>
      </c>
      <c r="BB31" s="46">
        <v>2544000</v>
      </c>
      <c r="BC31" s="48">
        <v>2759.2190889370931</v>
      </c>
      <c r="BD31" s="40">
        <v>922</v>
      </c>
      <c r="BE31" s="46">
        <v>204000</v>
      </c>
      <c r="BF31" s="44">
        <v>1040.8163265306123</v>
      </c>
      <c r="BG31" s="40">
        <v>196</v>
      </c>
      <c r="BH31" s="49" t="s">
        <v>382</v>
      </c>
      <c r="BI31" s="49" t="s">
        <v>382</v>
      </c>
      <c r="BJ31" s="213">
        <v>0</v>
      </c>
      <c r="BK31" s="47">
        <v>151.67032770927969</v>
      </c>
      <c r="BL31" s="55">
        <v>3529000</v>
      </c>
      <c r="BM31" s="41">
        <v>25.667321259727981</v>
      </c>
      <c r="BN31" s="56">
        <v>2326000</v>
      </c>
      <c r="BO31" s="41">
        <v>16.917594006836861</v>
      </c>
      <c r="BP31" s="56">
        <v>586000</v>
      </c>
      <c r="BQ31" s="41">
        <v>4.262128154774893</v>
      </c>
      <c r="BR31" s="39">
        <v>926000</v>
      </c>
      <c r="BS31" s="41">
        <v>6.7350352752927485</v>
      </c>
      <c r="BT31" s="39">
        <v>1208000</v>
      </c>
      <c r="BU31" s="41">
        <v>8.7860935340752047</v>
      </c>
      <c r="BV31" s="56">
        <v>2028000</v>
      </c>
      <c r="BW31" s="41">
        <v>14.75016364826533</v>
      </c>
      <c r="BX31" s="40">
        <v>3146000</v>
      </c>
      <c r="BY31" s="41">
        <v>22.881664121026983</v>
      </c>
      <c r="BZ31" s="57">
        <v>1262.6118067978532</v>
      </c>
      <c r="CA31" s="58">
        <v>209.66010733452595</v>
      </c>
      <c r="CB31" s="59">
        <v>650.80500894454383</v>
      </c>
      <c r="CC31" s="47">
        <v>331.30590339892666</v>
      </c>
      <c r="CD31" s="58">
        <v>314.13237924865831</v>
      </c>
      <c r="CE31" s="59">
        <v>181.3953488372093</v>
      </c>
      <c r="CF31" s="59">
        <v>1125.5813953488373</v>
      </c>
      <c r="CG31" s="59">
        <v>118.06797853309482</v>
      </c>
      <c r="CH31" s="47">
        <v>725.58139534883719</v>
      </c>
      <c r="CI31" s="43">
        <v>1020</v>
      </c>
      <c r="CJ31" s="44">
        <v>354.53474676089519</v>
      </c>
      <c r="CK31" s="60">
        <v>0</v>
      </c>
      <c r="CL31" s="53" t="s">
        <v>382</v>
      </c>
      <c r="CM31" s="41">
        <v>0</v>
      </c>
      <c r="CN31" s="53" t="s">
        <v>382</v>
      </c>
      <c r="CO31" s="41">
        <v>0</v>
      </c>
      <c r="CP31" s="54">
        <v>413</v>
      </c>
      <c r="CQ31" s="41">
        <v>100</v>
      </c>
      <c r="CR31" s="43">
        <v>1555</v>
      </c>
      <c r="CS31" s="52">
        <v>54.726688102893895</v>
      </c>
      <c r="CT31" s="41">
        <v>2619.6600000000003</v>
      </c>
      <c r="CU31" s="41">
        <v>937.2665474060824</v>
      </c>
      <c r="CV31" s="52">
        <v>23.65</v>
      </c>
      <c r="CW31" s="38">
        <v>2</v>
      </c>
      <c r="CX31" s="38">
        <v>6</v>
      </c>
      <c r="CY31" s="51">
        <v>1</v>
      </c>
      <c r="CZ31" s="61">
        <v>7.379248658318426</v>
      </c>
      <c r="DA31" s="39">
        <v>3507000</v>
      </c>
      <c r="DB31" s="39">
        <v>3489000</v>
      </c>
      <c r="DC31" s="39">
        <v>3780000</v>
      </c>
      <c r="DD31" s="39">
        <v>3400000</v>
      </c>
      <c r="DE31" s="39">
        <v>3772000</v>
      </c>
      <c r="DF31" s="62">
        <v>3696000</v>
      </c>
      <c r="DG31" s="41">
        <v>102.06</v>
      </c>
      <c r="DH31" s="41">
        <v>168.38</v>
      </c>
      <c r="DI31" s="41">
        <v>1.7000000000000002</v>
      </c>
      <c r="DJ31" s="37" t="s">
        <v>390</v>
      </c>
      <c r="DK31" s="40">
        <v>27000</v>
      </c>
      <c r="DL31" s="40">
        <v>101000</v>
      </c>
      <c r="DM31" s="40">
        <v>0</v>
      </c>
      <c r="DN31" s="40">
        <v>2300.46</v>
      </c>
      <c r="DO31" s="40">
        <v>19599</v>
      </c>
      <c r="DP31" s="40">
        <v>200000</v>
      </c>
      <c r="DQ31" s="64">
        <v>0</v>
      </c>
      <c r="DR31" s="40">
        <v>0</v>
      </c>
      <c r="DS31" s="65">
        <v>0</v>
      </c>
      <c r="DT31" s="38">
        <v>10</v>
      </c>
      <c r="DU31" s="66">
        <v>279.5</v>
      </c>
      <c r="DV31" s="41">
        <v>10</v>
      </c>
      <c r="DW31" s="41">
        <v>90</v>
      </c>
      <c r="DX31" s="41">
        <v>0</v>
      </c>
      <c r="DY31" s="41">
        <v>0</v>
      </c>
      <c r="DZ31" s="41">
        <v>0</v>
      </c>
      <c r="EA31" s="41">
        <v>40</v>
      </c>
      <c r="EB31" s="41">
        <v>60</v>
      </c>
      <c r="EC31" s="40">
        <v>92</v>
      </c>
      <c r="ED31" s="184">
        <v>30.380434782608695</v>
      </c>
    </row>
    <row r="32" spans="1:134" s="13" customFormat="1">
      <c r="A32" s="156" t="s">
        <v>180</v>
      </c>
      <c r="B32" s="285">
        <v>2014</v>
      </c>
      <c r="C32" s="259">
        <v>9</v>
      </c>
      <c r="D32" s="80" t="s">
        <v>344</v>
      </c>
      <c r="E32" s="56">
        <v>53493.8</v>
      </c>
      <c r="F32" s="56">
        <v>2065</v>
      </c>
      <c r="G32" s="82">
        <v>1.7742730409068506</v>
      </c>
      <c r="H32" s="88">
        <v>0.04</v>
      </c>
      <c r="I32" s="56">
        <v>1105</v>
      </c>
      <c r="J32" s="56">
        <v>53.510895883777245</v>
      </c>
      <c r="K32" s="56">
        <v>960</v>
      </c>
      <c r="L32" s="84">
        <v>46.489104116222762</v>
      </c>
      <c r="M32" s="160">
        <v>26.634382566585955</v>
      </c>
      <c r="N32" s="160">
        <v>53.801452784503631</v>
      </c>
      <c r="O32" s="160">
        <v>19.564164648910413</v>
      </c>
      <c r="P32" s="160">
        <v>37.046004842615012</v>
      </c>
      <c r="Q32" s="160">
        <v>43.389830508474574</v>
      </c>
      <c r="R32" s="160">
        <v>19.564164648910413</v>
      </c>
      <c r="S32" s="83">
        <v>38.272225012556504</v>
      </c>
      <c r="T32" s="83">
        <v>2.9</v>
      </c>
      <c r="U32" s="38">
        <v>2</v>
      </c>
      <c r="V32" s="41">
        <v>9.9</v>
      </c>
      <c r="W32" s="40">
        <v>48085</v>
      </c>
      <c r="X32" s="41">
        <v>2.4</v>
      </c>
      <c r="Y32" s="42" t="s">
        <v>351</v>
      </c>
      <c r="Z32" s="43">
        <v>185</v>
      </c>
      <c r="AA32" s="45">
        <v>0</v>
      </c>
      <c r="AB32" s="67">
        <v>16</v>
      </c>
      <c r="AC32" s="63">
        <v>691.65</v>
      </c>
      <c r="AD32" s="43">
        <v>32</v>
      </c>
      <c r="AE32" s="44">
        <v>-1.28</v>
      </c>
      <c r="AF32" s="44">
        <v>0.34210000000000002</v>
      </c>
      <c r="AG32" s="41">
        <v>35.18</v>
      </c>
      <c r="AH32" s="41">
        <v>64.819999999999993</v>
      </c>
      <c r="AI32" s="44">
        <v>24.82</v>
      </c>
      <c r="AJ32" s="41">
        <v>12.9039</v>
      </c>
      <c r="AK32" s="41">
        <v>1.1654188444695579</v>
      </c>
      <c r="AL32" s="41">
        <v>1.9E-3</v>
      </c>
      <c r="AM32" s="39">
        <v>19525</v>
      </c>
      <c r="AN32" s="39">
        <v>16474</v>
      </c>
      <c r="AO32" s="40">
        <v>14339</v>
      </c>
      <c r="AP32" s="40">
        <v>15481</v>
      </c>
      <c r="AQ32" s="39">
        <v>256000</v>
      </c>
      <c r="AR32" s="44">
        <v>233.78995433789953</v>
      </c>
      <c r="AS32" s="39">
        <v>1095</v>
      </c>
      <c r="AT32" s="46">
        <v>314000</v>
      </c>
      <c r="AU32" s="50">
        <v>291.28014842300558</v>
      </c>
      <c r="AV32" s="39">
        <v>1078</v>
      </c>
      <c r="AW32" s="46">
        <v>324000</v>
      </c>
      <c r="AX32" s="47">
        <v>292.4187725631769</v>
      </c>
      <c r="AY32" s="39">
        <v>1108</v>
      </c>
      <c r="AZ32" s="41">
        <v>50.249999999999993</v>
      </c>
      <c r="BA32" s="41">
        <v>12.184115523465703</v>
      </c>
      <c r="BB32" s="46">
        <v>387000</v>
      </c>
      <c r="BC32" s="48">
        <v>1057.377049180328</v>
      </c>
      <c r="BD32" s="40">
        <v>366</v>
      </c>
      <c r="BE32" s="46">
        <v>40000</v>
      </c>
      <c r="BF32" s="44">
        <v>285.71428571428572</v>
      </c>
      <c r="BG32" s="40">
        <v>140</v>
      </c>
      <c r="BH32" s="49" t="s">
        <v>382</v>
      </c>
      <c r="BI32" s="49" t="s">
        <v>382</v>
      </c>
      <c r="BJ32" s="213">
        <v>0</v>
      </c>
      <c r="BK32" s="47">
        <v>161.24484687083887</v>
      </c>
      <c r="BL32" s="55">
        <v>2028000</v>
      </c>
      <c r="BM32" s="41">
        <v>14.131419413281304</v>
      </c>
      <c r="BN32" s="56">
        <v>1435000</v>
      </c>
      <c r="BO32" s="41">
        <v>9.9993031844470774</v>
      </c>
      <c r="BP32" s="56">
        <v>552000</v>
      </c>
      <c r="BQ32" s="41">
        <v>3.8464218521357396</v>
      </c>
      <c r="BR32" s="39">
        <v>170000</v>
      </c>
      <c r="BS32" s="41">
        <v>1.18458643996934</v>
      </c>
      <c r="BT32" s="39">
        <v>454000</v>
      </c>
      <c r="BU32" s="41">
        <v>3.1635426102710613</v>
      </c>
      <c r="BV32" s="56">
        <v>8527000</v>
      </c>
      <c r="BW32" s="41">
        <v>59.417462197756251</v>
      </c>
      <c r="BX32" s="40">
        <v>1185000</v>
      </c>
      <c r="BY32" s="41">
        <v>8.2572643021392231</v>
      </c>
      <c r="BZ32" s="57">
        <v>982.08232445520582</v>
      </c>
      <c r="CA32" s="58">
        <v>267.31234866828089</v>
      </c>
      <c r="CB32" s="59">
        <v>533.17191283292982</v>
      </c>
      <c r="CC32" s="47">
        <v>82.324455205811134</v>
      </c>
      <c r="CD32" s="58">
        <v>219.85472154963679</v>
      </c>
      <c r="CE32" s="59">
        <v>161.74334140435835</v>
      </c>
      <c r="CF32" s="59">
        <v>573.84987893462471</v>
      </c>
      <c r="CG32" s="59">
        <v>0</v>
      </c>
      <c r="CH32" s="47">
        <v>4129.2978208232444</v>
      </c>
      <c r="CI32" s="43">
        <v>1436</v>
      </c>
      <c r="CJ32" s="44">
        <v>361.91335740072202</v>
      </c>
      <c r="CK32" s="60">
        <v>0</v>
      </c>
      <c r="CL32" s="53" t="s">
        <v>382</v>
      </c>
      <c r="CM32" s="41">
        <v>0</v>
      </c>
      <c r="CN32" s="53" t="s">
        <v>382</v>
      </c>
      <c r="CO32" s="41">
        <v>0</v>
      </c>
      <c r="CP32" s="54">
        <v>1464</v>
      </c>
      <c r="CQ32" s="41">
        <v>100</v>
      </c>
      <c r="CR32" s="43">
        <v>1080</v>
      </c>
      <c r="CS32" s="52">
        <v>32.870370370370374</v>
      </c>
      <c r="CT32" s="41">
        <v>2395.8200000000002</v>
      </c>
      <c r="CU32" s="41">
        <v>1160.2033898305085</v>
      </c>
      <c r="CV32" s="52">
        <v>1</v>
      </c>
      <c r="CW32" s="38">
        <v>4</v>
      </c>
      <c r="CX32" s="38">
        <v>7</v>
      </c>
      <c r="CY32" s="51">
        <v>0</v>
      </c>
      <c r="CZ32" s="79">
        <v>0</v>
      </c>
      <c r="DA32" s="39">
        <v>6870000</v>
      </c>
      <c r="DB32" s="39">
        <v>5435000</v>
      </c>
      <c r="DC32" s="39">
        <v>7137000</v>
      </c>
      <c r="DD32" s="39">
        <v>5706000</v>
      </c>
      <c r="DE32" s="39">
        <v>5232000</v>
      </c>
      <c r="DF32" s="62">
        <v>6708000</v>
      </c>
      <c r="DG32" s="41">
        <v>78</v>
      </c>
      <c r="DH32" s="41">
        <v>97.009999999999991</v>
      </c>
      <c r="DI32" s="41">
        <v>19.309999999999999</v>
      </c>
      <c r="DJ32" s="37" t="s">
        <v>390</v>
      </c>
      <c r="DK32" s="40">
        <v>3000</v>
      </c>
      <c r="DL32" s="40">
        <v>0</v>
      </c>
      <c r="DM32" s="40">
        <v>0</v>
      </c>
      <c r="DN32" s="40">
        <v>0</v>
      </c>
      <c r="DO32" s="40">
        <v>0</v>
      </c>
      <c r="DP32" s="40">
        <v>190000</v>
      </c>
      <c r="DQ32" s="64">
        <v>0</v>
      </c>
      <c r="DR32" s="40">
        <v>0</v>
      </c>
      <c r="DS32" s="65">
        <v>0</v>
      </c>
      <c r="DT32" s="38">
        <v>9</v>
      </c>
      <c r="DU32" s="66">
        <v>229.44444444444446</v>
      </c>
      <c r="DV32" s="41">
        <v>22.222222222222221</v>
      </c>
      <c r="DW32" s="41">
        <v>77.777777777777786</v>
      </c>
      <c r="DX32" s="41">
        <v>0</v>
      </c>
      <c r="DY32" s="41">
        <v>0</v>
      </c>
      <c r="DZ32" s="41">
        <v>11.111111111111111</v>
      </c>
      <c r="EA32" s="41">
        <v>22.222222222222221</v>
      </c>
      <c r="EB32" s="41">
        <v>66.666666666666657</v>
      </c>
      <c r="EC32" s="40">
        <v>50</v>
      </c>
      <c r="ED32" s="184">
        <v>41.3</v>
      </c>
    </row>
    <row r="33" spans="1:134" s="13" customFormat="1">
      <c r="A33" s="156" t="s">
        <v>181</v>
      </c>
      <c r="B33" s="285">
        <v>2014</v>
      </c>
      <c r="C33" s="259">
        <v>4</v>
      </c>
      <c r="D33" s="80" t="s">
        <v>342</v>
      </c>
      <c r="E33" s="56">
        <v>1965.4</v>
      </c>
      <c r="F33" s="56">
        <v>54979</v>
      </c>
      <c r="G33" s="82">
        <v>9.4806643036361464</v>
      </c>
      <c r="H33" s="179">
        <v>28</v>
      </c>
      <c r="I33" s="56">
        <v>27642</v>
      </c>
      <c r="J33" s="56">
        <v>50.277378635478996</v>
      </c>
      <c r="K33" s="56">
        <v>27337</v>
      </c>
      <c r="L33" s="84">
        <v>49.722621364520997</v>
      </c>
      <c r="M33" s="160">
        <v>27.437748958693319</v>
      </c>
      <c r="N33" s="160">
        <v>51.821604612670292</v>
      </c>
      <c r="O33" s="160">
        <v>20.740646428636389</v>
      </c>
      <c r="P33" s="160">
        <v>40.650066388984882</v>
      </c>
      <c r="Q33" s="160">
        <v>38.609287182378729</v>
      </c>
      <c r="R33" s="160">
        <v>20.740646428636389</v>
      </c>
      <c r="S33" s="83">
        <v>4.8289698853242591</v>
      </c>
      <c r="T33" s="83">
        <v>1.7</v>
      </c>
      <c r="U33" s="38">
        <v>28</v>
      </c>
      <c r="V33" s="41">
        <v>13.8</v>
      </c>
      <c r="W33" s="40">
        <v>48333</v>
      </c>
      <c r="X33" s="41">
        <v>2.6</v>
      </c>
      <c r="Y33" s="42" t="s">
        <v>95</v>
      </c>
      <c r="Z33" s="43">
        <v>2769</v>
      </c>
      <c r="AA33" s="45">
        <v>9</v>
      </c>
      <c r="AB33" s="63">
        <v>678</v>
      </c>
      <c r="AC33" s="63">
        <v>112142.576</v>
      </c>
      <c r="AD33" s="43">
        <v>47</v>
      </c>
      <c r="AE33" s="44">
        <v>0.55000000000000004</v>
      </c>
      <c r="AF33" s="44">
        <v>2.9412000000000003</v>
      </c>
      <c r="AG33" s="41">
        <v>65.849999999999994</v>
      </c>
      <c r="AH33" s="41">
        <v>34.150000000000006</v>
      </c>
      <c r="AI33" s="44">
        <v>2.6</v>
      </c>
      <c r="AJ33" s="41">
        <v>7.9222000000000001</v>
      </c>
      <c r="AK33" s="41">
        <v>2.5679934632893664</v>
      </c>
      <c r="AL33" s="41">
        <v>7.4845000000000006</v>
      </c>
      <c r="AM33" s="39">
        <v>66335</v>
      </c>
      <c r="AN33" s="39">
        <v>69339</v>
      </c>
      <c r="AO33" s="40">
        <v>72004</v>
      </c>
      <c r="AP33" s="40">
        <v>79466</v>
      </c>
      <c r="AQ33" s="39">
        <v>20149000</v>
      </c>
      <c r="AR33" s="44">
        <v>968.60878761657534</v>
      </c>
      <c r="AS33" s="39">
        <v>20802</v>
      </c>
      <c r="AT33" s="46">
        <v>21262000</v>
      </c>
      <c r="AU33" s="50">
        <v>1013.7796214180137</v>
      </c>
      <c r="AV33" s="39">
        <v>20973</v>
      </c>
      <c r="AW33" s="46">
        <v>22332000</v>
      </c>
      <c r="AX33" s="47">
        <v>1052.2050508857897</v>
      </c>
      <c r="AY33" s="39">
        <v>21224</v>
      </c>
      <c r="AZ33" s="41">
        <v>67</v>
      </c>
      <c r="BA33" s="41">
        <v>22.224839803995479</v>
      </c>
      <c r="BB33" s="46">
        <v>3526000</v>
      </c>
      <c r="BC33" s="48">
        <v>2144.7688564476884</v>
      </c>
      <c r="BD33" s="40">
        <v>1644</v>
      </c>
      <c r="BE33" s="46">
        <v>4566000</v>
      </c>
      <c r="BF33" s="44">
        <v>3027.8514588859416</v>
      </c>
      <c r="BG33" s="40">
        <v>1508</v>
      </c>
      <c r="BH33" s="46">
        <v>1014000</v>
      </c>
      <c r="BI33" s="49">
        <v>169000</v>
      </c>
      <c r="BJ33" s="45">
        <v>6</v>
      </c>
      <c r="BK33" s="47">
        <v>128.16652245689929</v>
      </c>
      <c r="BL33" s="55">
        <v>11828000</v>
      </c>
      <c r="BM33" s="41">
        <v>16.42686517415699</v>
      </c>
      <c r="BN33" s="56">
        <v>3040000</v>
      </c>
      <c r="BO33" s="41">
        <v>4.2219876673518142</v>
      </c>
      <c r="BP33" s="56">
        <v>12762000</v>
      </c>
      <c r="BQ33" s="41">
        <v>17.724015332481528</v>
      </c>
      <c r="BR33" s="39">
        <v>6002000</v>
      </c>
      <c r="BS33" s="41">
        <v>8.3356480195544691</v>
      </c>
      <c r="BT33" s="39">
        <v>9144000</v>
      </c>
      <c r="BU33" s="41">
        <v>12.699294483639797</v>
      </c>
      <c r="BV33" s="56">
        <v>22669000</v>
      </c>
      <c r="BW33" s="41">
        <v>31.482973168157326</v>
      </c>
      <c r="BX33" s="40">
        <v>6559000</v>
      </c>
      <c r="BY33" s="41">
        <v>9.1092161546580748</v>
      </c>
      <c r="BZ33" s="57">
        <v>215.13668855381147</v>
      </c>
      <c r="CA33" s="58">
        <v>232.12499317921387</v>
      </c>
      <c r="CB33" s="43" t="s">
        <v>382</v>
      </c>
      <c r="CC33" s="47">
        <v>109.16895541934193</v>
      </c>
      <c r="CD33" s="58">
        <v>135.97919205514833</v>
      </c>
      <c r="CE33" s="59">
        <v>55.293839465977918</v>
      </c>
      <c r="CF33" s="59">
        <v>119.30009640044381</v>
      </c>
      <c r="CG33" s="59">
        <v>30.338856654358938</v>
      </c>
      <c r="CH33" s="47">
        <v>412.3210680441623</v>
      </c>
      <c r="CI33" s="43" t="s">
        <v>382</v>
      </c>
      <c r="CJ33" s="44">
        <v>443.97851488880514</v>
      </c>
      <c r="CK33" s="60">
        <v>27.346551975987367</v>
      </c>
      <c r="CL33" s="53">
        <v>6541.49</v>
      </c>
      <c r="CM33" s="41">
        <v>21.569592087939046</v>
      </c>
      <c r="CN33" s="53">
        <v>1752</v>
      </c>
      <c r="CO33" s="41">
        <v>5.7769598880483208</v>
      </c>
      <c r="CP33" s="54">
        <v>22033.88</v>
      </c>
      <c r="CQ33" s="41">
        <v>72.653448024012633</v>
      </c>
      <c r="CR33" s="43">
        <v>34602</v>
      </c>
      <c r="CS33" s="52">
        <v>61.328824923414828</v>
      </c>
      <c r="CT33" s="41">
        <v>1013.0899999999999</v>
      </c>
      <c r="CU33" s="41">
        <v>18.426853889666962</v>
      </c>
      <c r="CV33" s="52">
        <v>655.03</v>
      </c>
      <c r="CW33" s="38">
        <v>3</v>
      </c>
      <c r="CX33" s="38">
        <v>22</v>
      </c>
      <c r="CY33" s="51">
        <v>2</v>
      </c>
      <c r="CZ33" s="61">
        <v>4.1045308208588738</v>
      </c>
      <c r="DA33" s="39">
        <v>7815000</v>
      </c>
      <c r="DB33" s="39">
        <v>14812000</v>
      </c>
      <c r="DC33" s="39">
        <v>14499000</v>
      </c>
      <c r="DD33" s="39">
        <v>14583000</v>
      </c>
      <c r="DE33" s="39">
        <v>8856000</v>
      </c>
      <c r="DF33" s="62">
        <v>12466000</v>
      </c>
      <c r="DG33" s="41">
        <v>71.040000000000006</v>
      </c>
      <c r="DH33" s="41">
        <v>141.94999999999999</v>
      </c>
      <c r="DI33" s="41">
        <v>0.49</v>
      </c>
      <c r="DJ33" s="37" t="s">
        <v>390</v>
      </c>
      <c r="DK33" s="40">
        <v>64000</v>
      </c>
      <c r="DL33" s="40">
        <v>272000</v>
      </c>
      <c r="DM33" s="40">
        <v>0</v>
      </c>
      <c r="DN33" s="40">
        <v>17904</v>
      </c>
      <c r="DO33" s="40">
        <v>7123</v>
      </c>
      <c r="DP33" s="40">
        <v>276303</v>
      </c>
      <c r="DQ33" s="64">
        <v>0</v>
      </c>
      <c r="DR33" s="40">
        <v>0</v>
      </c>
      <c r="DS33" s="65">
        <v>0</v>
      </c>
      <c r="DT33" s="38">
        <v>13</v>
      </c>
      <c r="DU33" s="66">
        <v>4229.1538461538457</v>
      </c>
      <c r="DV33" s="41">
        <v>23.076923076923077</v>
      </c>
      <c r="DW33" s="41">
        <v>76.923076923076934</v>
      </c>
      <c r="DX33" s="41">
        <v>0</v>
      </c>
      <c r="DY33" s="41">
        <v>0</v>
      </c>
      <c r="DZ33" s="41">
        <v>15.384615384615385</v>
      </c>
      <c r="EA33" s="41">
        <v>46.153846153846153</v>
      </c>
      <c r="EB33" s="41">
        <v>38.461538461538467</v>
      </c>
      <c r="EC33" s="40">
        <v>280</v>
      </c>
      <c r="ED33" s="184">
        <v>196.35357142857143</v>
      </c>
    </row>
    <row r="34" spans="1:134" s="13" customFormat="1">
      <c r="A34" s="156" t="s">
        <v>182</v>
      </c>
      <c r="B34" s="285">
        <v>2014</v>
      </c>
      <c r="C34" s="259">
        <v>4</v>
      </c>
      <c r="D34" s="80" t="s">
        <v>342</v>
      </c>
      <c r="E34" s="56">
        <v>10428.799999999999</v>
      </c>
      <c r="F34" s="56">
        <v>51003</v>
      </c>
      <c r="G34" s="82">
        <v>1.130212360954137</v>
      </c>
      <c r="H34" s="179">
        <v>4.9000000000000004</v>
      </c>
      <c r="I34" s="56">
        <v>25273</v>
      </c>
      <c r="J34" s="56">
        <v>49.551987138011491</v>
      </c>
      <c r="K34" s="56">
        <v>25730</v>
      </c>
      <c r="L34" s="84">
        <v>50.448012861988509</v>
      </c>
      <c r="M34" s="160">
        <v>24.06525106366292</v>
      </c>
      <c r="N34" s="160">
        <v>45.120875242632785</v>
      </c>
      <c r="O34" s="160">
        <v>30.813873693704291</v>
      </c>
      <c r="P34" s="160">
        <v>32.59023978981628</v>
      </c>
      <c r="Q34" s="160">
        <v>36.595886516479418</v>
      </c>
      <c r="R34" s="160">
        <v>30.813873693704291</v>
      </c>
      <c r="S34" s="83">
        <v>5.7202110095437515</v>
      </c>
      <c r="T34" s="83">
        <v>1.9</v>
      </c>
      <c r="U34" s="38">
        <v>13</v>
      </c>
      <c r="V34" s="41">
        <v>7.3</v>
      </c>
      <c r="W34" s="40">
        <v>34988</v>
      </c>
      <c r="X34" s="41">
        <v>2.4</v>
      </c>
      <c r="Y34" s="42" t="s">
        <v>350</v>
      </c>
      <c r="Z34" s="43">
        <v>3935</v>
      </c>
      <c r="AA34" s="45">
        <v>15</v>
      </c>
      <c r="AB34" s="63">
        <v>682</v>
      </c>
      <c r="AC34" s="63">
        <v>91430.464999999997</v>
      </c>
      <c r="AD34" s="43">
        <v>44</v>
      </c>
      <c r="AE34" s="44">
        <v>-7.27</v>
      </c>
      <c r="AF34" s="44">
        <v>4.4069000000000003</v>
      </c>
      <c r="AG34" s="41">
        <v>67.33</v>
      </c>
      <c r="AH34" s="41">
        <v>32.67</v>
      </c>
      <c r="AI34" s="44">
        <v>5.76</v>
      </c>
      <c r="AJ34" s="41">
        <v>2.5428999999999999</v>
      </c>
      <c r="AK34" s="41">
        <v>12.090956700961263</v>
      </c>
      <c r="AL34" s="41">
        <v>10.3424</v>
      </c>
      <c r="AM34" s="39">
        <v>139346</v>
      </c>
      <c r="AN34" s="39">
        <v>123506</v>
      </c>
      <c r="AO34" s="40">
        <v>134540</v>
      </c>
      <c r="AP34" s="40">
        <v>125041</v>
      </c>
      <c r="AQ34" s="39">
        <v>17918000</v>
      </c>
      <c r="AR34" s="44">
        <v>815.31247653781145</v>
      </c>
      <c r="AS34" s="39">
        <v>21976.85</v>
      </c>
      <c r="AT34" s="46">
        <v>18640000</v>
      </c>
      <c r="AU34" s="50">
        <v>843.62978049332423</v>
      </c>
      <c r="AV34" s="39">
        <v>22095</v>
      </c>
      <c r="AW34" s="46">
        <v>19138000</v>
      </c>
      <c r="AX34" s="47">
        <v>857.70626988750951</v>
      </c>
      <c r="AY34" s="39">
        <v>22313</v>
      </c>
      <c r="AZ34" s="41">
        <v>65</v>
      </c>
      <c r="BA34" s="41">
        <v>27.410030027338323</v>
      </c>
      <c r="BB34" s="46">
        <v>2762000</v>
      </c>
      <c r="BC34" s="48">
        <v>1304.060434372049</v>
      </c>
      <c r="BD34" s="40">
        <v>2118</v>
      </c>
      <c r="BE34" s="46">
        <v>3321000</v>
      </c>
      <c r="BF34" s="44">
        <v>2243.9189189189187</v>
      </c>
      <c r="BG34" s="40">
        <v>1480</v>
      </c>
      <c r="BH34" s="49" t="s">
        <v>382</v>
      </c>
      <c r="BI34" s="49" t="s">
        <v>382</v>
      </c>
      <c r="BJ34" s="213">
        <v>0</v>
      </c>
      <c r="BK34" s="47">
        <v>162.95273771856785</v>
      </c>
      <c r="BL34" s="55">
        <v>20251000</v>
      </c>
      <c r="BM34" s="41">
        <v>15.058072959267136</v>
      </c>
      <c r="BN34" s="56">
        <v>29185000</v>
      </c>
      <c r="BO34" s="41">
        <v>21.701143613461625</v>
      </c>
      <c r="BP34" s="56">
        <v>14278000</v>
      </c>
      <c r="BQ34" s="41">
        <v>10.616718468836906</v>
      </c>
      <c r="BR34" s="39">
        <v>10726000</v>
      </c>
      <c r="BS34" s="41">
        <v>7.9755513585057187</v>
      </c>
      <c r="BT34" s="39">
        <v>10880000</v>
      </c>
      <c r="BU34" s="41">
        <v>8.0900614190324642</v>
      </c>
      <c r="BV34" s="56">
        <v>34987000</v>
      </c>
      <c r="BW34" s="41">
        <v>26.015347322397869</v>
      </c>
      <c r="BX34" s="40">
        <v>14179000</v>
      </c>
      <c r="BY34" s="41">
        <v>10.543104858498282</v>
      </c>
      <c r="BZ34" s="57">
        <v>397.05507519165542</v>
      </c>
      <c r="CA34" s="58">
        <v>279.94431700096072</v>
      </c>
      <c r="CB34" s="59">
        <v>524.73383918593026</v>
      </c>
      <c r="CC34" s="47">
        <v>210.30135482226535</v>
      </c>
      <c r="CD34" s="58">
        <v>174.75442621022293</v>
      </c>
      <c r="CE34" s="59">
        <v>47.487402701801855</v>
      </c>
      <c r="CF34" s="59">
        <v>278.00325471050724</v>
      </c>
      <c r="CG34" s="59">
        <v>38.566358841636763</v>
      </c>
      <c r="CH34" s="47">
        <v>685.97925612218887</v>
      </c>
      <c r="CI34" s="43">
        <v>1401</v>
      </c>
      <c r="CJ34" s="44">
        <v>259.04181418903778</v>
      </c>
      <c r="CK34" s="60">
        <v>61.31334746163818</v>
      </c>
      <c r="CL34" s="53">
        <v>7553.5328</v>
      </c>
      <c r="CM34" s="41">
        <v>24.965988099774723</v>
      </c>
      <c r="CN34" s="53">
        <v>10591</v>
      </c>
      <c r="CO34" s="41">
        <v>35.005445394334437</v>
      </c>
      <c r="CP34" s="54">
        <v>11704.76</v>
      </c>
      <c r="CQ34" s="41">
        <v>38.686652538361813</v>
      </c>
      <c r="CR34" s="43">
        <v>25981</v>
      </c>
      <c r="CS34" s="52">
        <v>51.918709826411614</v>
      </c>
      <c r="CT34" s="41">
        <v>2456.2800000000007</v>
      </c>
      <c r="CU34" s="41">
        <v>48.159520028233644</v>
      </c>
      <c r="CV34" s="52">
        <v>646</v>
      </c>
      <c r="CW34" s="38">
        <v>7</v>
      </c>
      <c r="CX34" s="38">
        <v>26</v>
      </c>
      <c r="CY34" s="51">
        <v>4</v>
      </c>
      <c r="CZ34" s="61">
        <v>5.6736662549261805</v>
      </c>
      <c r="DA34" s="39">
        <v>13326000</v>
      </c>
      <c r="DB34" s="39">
        <v>24324000</v>
      </c>
      <c r="DC34" s="39">
        <v>17359000</v>
      </c>
      <c r="DD34" s="39">
        <v>19261000</v>
      </c>
      <c r="DE34" s="39">
        <v>15862000</v>
      </c>
      <c r="DF34" s="62">
        <v>20934000</v>
      </c>
      <c r="DG34" s="41">
        <v>75.77000000000001</v>
      </c>
      <c r="DH34" s="41">
        <v>30.919999999999998</v>
      </c>
      <c r="DI34" s="41">
        <v>3.7699999999999996</v>
      </c>
      <c r="DJ34" s="37" t="s">
        <v>390</v>
      </c>
      <c r="DK34" s="40">
        <v>34000</v>
      </c>
      <c r="DL34" s="40">
        <v>191000</v>
      </c>
      <c r="DM34" s="40">
        <v>0</v>
      </c>
      <c r="DN34" s="40">
        <v>8976</v>
      </c>
      <c r="DO34" s="40">
        <v>5129</v>
      </c>
      <c r="DP34" s="40">
        <v>254514</v>
      </c>
      <c r="DQ34" s="64">
        <v>3</v>
      </c>
      <c r="DR34" s="40">
        <v>1550</v>
      </c>
      <c r="DS34" s="65">
        <v>0</v>
      </c>
      <c r="DT34" s="38">
        <v>9</v>
      </c>
      <c r="DU34" s="66">
        <v>5667</v>
      </c>
      <c r="DV34" s="41">
        <v>33.333333333333329</v>
      </c>
      <c r="DW34" s="41">
        <v>66.666666666666657</v>
      </c>
      <c r="DX34" s="41">
        <v>0</v>
      </c>
      <c r="DY34" s="41">
        <v>0</v>
      </c>
      <c r="DZ34" s="41">
        <v>0</v>
      </c>
      <c r="EA34" s="41">
        <v>77.777777777777786</v>
      </c>
      <c r="EB34" s="41">
        <v>22.222222222222221</v>
      </c>
      <c r="EC34" s="40">
        <v>542</v>
      </c>
      <c r="ED34" s="184">
        <v>94.101476014760152</v>
      </c>
    </row>
    <row r="35" spans="1:134" s="13" customFormat="1">
      <c r="A35" s="156" t="s">
        <v>183</v>
      </c>
      <c r="B35" s="285">
        <v>2014</v>
      </c>
      <c r="C35" s="259">
        <v>10</v>
      </c>
      <c r="D35" s="80" t="s">
        <v>345</v>
      </c>
      <c r="E35" s="56">
        <v>45571</v>
      </c>
      <c r="F35" s="56">
        <v>5111</v>
      </c>
      <c r="G35" s="82">
        <v>3.1691562373839322</v>
      </c>
      <c r="H35" s="179">
        <v>0.1</v>
      </c>
      <c r="I35" s="56">
        <v>2750</v>
      </c>
      <c r="J35" s="56">
        <v>53.805517511250244</v>
      </c>
      <c r="K35" s="56">
        <v>2361</v>
      </c>
      <c r="L35" s="84">
        <v>46.194482488749756</v>
      </c>
      <c r="M35" s="160">
        <v>28.233222461357855</v>
      </c>
      <c r="N35" s="160">
        <v>54.685971434161615</v>
      </c>
      <c r="O35" s="160">
        <v>17.08080610448053</v>
      </c>
      <c r="P35" s="160">
        <v>43.533555077284284</v>
      </c>
      <c r="Q35" s="160">
        <v>39.385638818235179</v>
      </c>
      <c r="R35" s="160">
        <v>17.08080610448053</v>
      </c>
      <c r="S35" s="83">
        <v>12.900488011882027</v>
      </c>
      <c r="T35" s="83">
        <v>3.2</v>
      </c>
      <c r="U35" s="38">
        <v>60</v>
      </c>
      <c r="V35" s="41">
        <v>2.8</v>
      </c>
      <c r="W35" s="40">
        <v>54502</v>
      </c>
      <c r="X35" s="41">
        <v>2.4</v>
      </c>
      <c r="Y35" s="42" t="s">
        <v>94</v>
      </c>
      <c r="Z35" s="43">
        <v>414</v>
      </c>
      <c r="AA35" s="45">
        <v>1</v>
      </c>
      <c r="AB35" s="67">
        <v>49</v>
      </c>
      <c r="AC35" s="63">
        <v>7129.3029999999999</v>
      </c>
      <c r="AD35" s="43">
        <v>29</v>
      </c>
      <c r="AE35" s="44">
        <v>6.98</v>
      </c>
      <c r="AF35" s="44">
        <v>2.2887</v>
      </c>
      <c r="AG35" s="41">
        <v>50.98</v>
      </c>
      <c r="AH35" s="41">
        <v>49.02</v>
      </c>
      <c r="AI35" s="44">
        <v>5.68</v>
      </c>
      <c r="AJ35" s="41">
        <v>13.650799999999998</v>
      </c>
      <c r="AK35" s="41">
        <v>1.451946586420914</v>
      </c>
      <c r="AL35" s="41">
        <v>5.7997000000000005</v>
      </c>
      <c r="AM35" s="39">
        <v>23557</v>
      </c>
      <c r="AN35" s="39">
        <v>25249</v>
      </c>
      <c r="AO35" s="40">
        <v>24811</v>
      </c>
      <c r="AP35" s="40">
        <v>30220</v>
      </c>
      <c r="AQ35" s="39">
        <v>813000</v>
      </c>
      <c r="AR35" s="44">
        <v>396.77891654465594</v>
      </c>
      <c r="AS35" s="39">
        <v>2049</v>
      </c>
      <c r="AT35" s="46">
        <v>1022000</v>
      </c>
      <c r="AU35" s="50">
        <v>500.24</v>
      </c>
      <c r="AV35" s="39">
        <v>2043</v>
      </c>
      <c r="AW35" s="46">
        <v>2362000</v>
      </c>
      <c r="AX35" s="47">
        <v>1158.9793915603532</v>
      </c>
      <c r="AY35" s="39">
        <v>2038</v>
      </c>
      <c r="AZ35" s="41">
        <v>62.2</v>
      </c>
      <c r="BA35" s="41">
        <v>14.474975466143277</v>
      </c>
      <c r="BB35" s="46">
        <v>622000</v>
      </c>
      <c r="BC35" s="48">
        <v>1532.0197044334975</v>
      </c>
      <c r="BD35" s="40">
        <v>406</v>
      </c>
      <c r="BE35" s="46">
        <v>361000</v>
      </c>
      <c r="BF35" s="44">
        <v>986.33879781420762</v>
      </c>
      <c r="BG35" s="40">
        <v>366</v>
      </c>
      <c r="BH35" s="46">
        <v>1523000</v>
      </c>
      <c r="BI35" s="49">
        <v>54392.857142857145</v>
      </c>
      <c r="BJ35" s="45">
        <v>28</v>
      </c>
      <c r="BK35" s="47">
        <v>49.549062243221037</v>
      </c>
      <c r="BL35" s="55">
        <v>2079000</v>
      </c>
      <c r="BM35" s="41">
        <v>8.3793478698964172</v>
      </c>
      <c r="BN35" s="56">
        <v>4378000</v>
      </c>
      <c r="BO35" s="41">
        <v>17.645399218088752</v>
      </c>
      <c r="BP35" s="56">
        <v>652000</v>
      </c>
      <c r="BQ35" s="41">
        <v>2.6278666720406272</v>
      </c>
      <c r="BR35" s="39">
        <v>4721000</v>
      </c>
      <c r="BS35" s="41">
        <v>19.027850550159204</v>
      </c>
      <c r="BT35" s="39">
        <v>2735000</v>
      </c>
      <c r="BU35" s="41">
        <v>11.023336423360606</v>
      </c>
      <c r="BV35" s="56">
        <v>2956000</v>
      </c>
      <c r="BW35" s="41">
        <v>11.914070372012414</v>
      </c>
      <c r="BX35" s="40">
        <v>7290000</v>
      </c>
      <c r="BY35" s="41">
        <v>29.382128894441983</v>
      </c>
      <c r="BZ35" s="57">
        <v>406.76971238505183</v>
      </c>
      <c r="CA35" s="58">
        <v>127.56799060849148</v>
      </c>
      <c r="CB35" s="59">
        <v>678.92780277832128</v>
      </c>
      <c r="CC35" s="47">
        <v>923.6939933476815</v>
      </c>
      <c r="CD35" s="58">
        <v>459.20563490510665</v>
      </c>
      <c r="CE35" s="59">
        <v>177.65603600078262</v>
      </c>
      <c r="CF35" s="59">
        <v>1426.3353551164155</v>
      </c>
      <c r="CG35" s="59">
        <v>75.914693797691257</v>
      </c>
      <c r="CH35" s="47">
        <v>578.36039913911168</v>
      </c>
      <c r="CI35" s="43">
        <v>1255</v>
      </c>
      <c r="CJ35" s="44">
        <v>248.28263002944064</v>
      </c>
      <c r="CK35" s="60">
        <v>0</v>
      </c>
      <c r="CL35" s="53" t="s">
        <v>382</v>
      </c>
      <c r="CM35" s="41">
        <v>0</v>
      </c>
      <c r="CN35" s="53" t="s">
        <v>382</v>
      </c>
      <c r="CO35" s="41">
        <v>0</v>
      </c>
      <c r="CP35" s="54">
        <v>1494.68</v>
      </c>
      <c r="CQ35" s="41">
        <v>100</v>
      </c>
      <c r="CR35" s="43">
        <v>3025</v>
      </c>
      <c r="CS35" s="52">
        <v>47.867768595041319</v>
      </c>
      <c r="CT35" s="41">
        <v>2319.98</v>
      </c>
      <c r="CU35" s="41">
        <v>453.91899823909216</v>
      </c>
      <c r="CV35" s="52">
        <v>121</v>
      </c>
      <c r="CW35" s="38">
        <v>1</v>
      </c>
      <c r="CX35" s="38">
        <v>4</v>
      </c>
      <c r="CY35" s="51">
        <v>3</v>
      </c>
      <c r="CZ35" s="61">
        <v>5.3116806887106245</v>
      </c>
      <c r="DA35" s="39">
        <v>5915000</v>
      </c>
      <c r="DB35" s="39">
        <v>13125000</v>
      </c>
      <c r="DC35" s="39">
        <v>4020000</v>
      </c>
      <c r="DD35" s="39">
        <v>7530300</v>
      </c>
      <c r="DE35" s="39">
        <v>3403000</v>
      </c>
      <c r="DF35" s="62">
        <v>8060000</v>
      </c>
      <c r="DG35" s="41">
        <v>42.22</v>
      </c>
      <c r="DH35" s="41">
        <v>65.89</v>
      </c>
      <c r="DI35" s="41">
        <v>10.08</v>
      </c>
      <c r="DJ35" s="37" t="s">
        <v>390</v>
      </c>
      <c r="DK35" s="40">
        <v>16000</v>
      </c>
      <c r="DL35" s="40">
        <v>147000</v>
      </c>
      <c r="DM35" s="40">
        <v>0</v>
      </c>
      <c r="DN35" s="40">
        <v>10294.370000000001</v>
      </c>
      <c r="DO35" s="40">
        <v>15332.4</v>
      </c>
      <c r="DP35" s="40">
        <v>197918</v>
      </c>
      <c r="DQ35" s="64">
        <v>0</v>
      </c>
      <c r="DR35" s="40">
        <v>0</v>
      </c>
      <c r="DS35" s="65">
        <v>0</v>
      </c>
      <c r="DT35" s="38">
        <v>12</v>
      </c>
      <c r="DU35" s="66">
        <v>425.91666666666669</v>
      </c>
      <c r="DV35" s="41">
        <v>33.333333333333329</v>
      </c>
      <c r="DW35" s="41">
        <v>66.666666666666657</v>
      </c>
      <c r="DX35" s="41">
        <v>8.3333333333333321</v>
      </c>
      <c r="DY35" s="41">
        <v>0</v>
      </c>
      <c r="DZ35" s="41">
        <v>0</v>
      </c>
      <c r="EA35" s="41">
        <v>50</v>
      </c>
      <c r="EB35" s="41">
        <v>50</v>
      </c>
      <c r="EC35" s="40">
        <v>131</v>
      </c>
      <c r="ED35" s="184">
        <v>39.015267175572518</v>
      </c>
    </row>
    <row r="36" spans="1:134" s="13" customFormat="1">
      <c r="A36" s="156" t="s">
        <v>184</v>
      </c>
      <c r="B36" s="285">
        <v>2014</v>
      </c>
      <c r="C36" s="259">
        <v>5</v>
      </c>
      <c r="D36" s="80" t="s">
        <v>342</v>
      </c>
      <c r="E36" s="56">
        <v>1173.7</v>
      </c>
      <c r="F36" s="56">
        <v>72382</v>
      </c>
      <c r="G36" s="82">
        <v>4.3599873122062345</v>
      </c>
      <c r="H36" s="179">
        <v>61.7</v>
      </c>
      <c r="I36" s="56">
        <v>35513</v>
      </c>
      <c r="J36" s="56">
        <v>49.063303031140336</v>
      </c>
      <c r="K36" s="56">
        <v>36869</v>
      </c>
      <c r="L36" s="84">
        <v>50.936696968859664</v>
      </c>
      <c r="M36" s="160">
        <v>25.394435080544888</v>
      </c>
      <c r="N36" s="160">
        <v>48.626730402586276</v>
      </c>
      <c r="O36" s="160">
        <v>25.978834516868837</v>
      </c>
      <c r="P36" s="160">
        <v>35.989610676687569</v>
      </c>
      <c r="Q36" s="160">
        <v>38.031554806443587</v>
      </c>
      <c r="R36" s="160">
        <v>25.978834516868837</v>
      </c>
      <c r="S36" s="83">
        <v>4.1161165843248453</v>
      </c>
      <c r="T36" s="83">
        <v>5.7</v>
      </c>
      <c r="U36" s="80">
        <v>70</v>
      </c>
      <c r="V36" s="84">
        <v>5.7</v>
      </c>
      <c r="W36" s="81">
        <v>39207</v>
      </c>
      <c r="X36" s="84">
        <v>2.4</v>
      </c>
      <c r="Y36" s="85" t="s">
        <v>350</v>
      </c>
      <c r="Z36" s="46">
        <v>5471</v>
      </c>
      <c r="AA36" s="91">
        <v>6</v>
      </c>
      <c r="AB36" s="92">
        <v>1012</v>
      </c>
      <c r="AC36" s="92">
        <v>166715.12899999999</v>
      </c>
      <c r="AD36" s="46">
        <v>63</v>
      </c>
      <c r="AE36" s="44">
        <v>-6.23</v>
      </c>
      <c r="AF36" s="44">
        <v>3.7082999999999999</v>
      </c>
      <c r="AG36" s="41">
        <v>76.099999999999994</v>
      </c>
      <c r="AH36" s="41">
        <v>23.900000000000006</v>
      </c>
      <c r="AI36" s="44">
        <v>6.29</v>
      </c>
      <c r="AJ36" s="41">
        <v>1.4927000000000001</v>
      </c>
      <c r="AK36" s="41">
        <v>21.598974372530101</v>
      </c>
      <c r="AL36" s="41">
        <v>9.2726000000000006</v>
      </c>
      <c r="AM36" s="39">
        <v>156064</v>
      </c>
      <c r="AN36" s="39">
        <v>159987</v>
      </c>
      <c r="AO36" s="81">
        <v>164528</v>
      </c>
      <c r="AP36" s="81">
        <v>176608</v>
      </c>
      <c r="AQ36" s="56">
        <v>23861000</v>
      </c>
      <c r="AR36" s="44">
        <v>837.66894856942247</v>
      </c>
      <c r="AS36" s="56">
        <v>28485</v>
      </c>
      <c r="AT36" s="81">
        <v>25943000</v>
      </c>
      <c r="AU36" s="50">
        <v>905.76775364848822</v>
      </c>
      <c r="AV36" s="56">
        <v>28642</v>
      </c>
      <c r="AW36" s="81">
        <v>28269000</v>
      </c>
      <c r="AX36" s="47">
        <v>986.42612882964613</v>
      </c>
      <c r="AY36" s="56">
        <v>28658</v>
      </c>
      <c r="AZ36" s="41">
        <v>71.099999999999994</v>
      </c>
      <c r="BA36" s="84">
        <v>21.536743666689929</v>
      </c>
      <c r="BB36" s="46">
        <v>1270000</v>
      </c>
      <c r="BC36" s="48">
        <v>1776.2237762237762</v>
      </c>
      <c r="BD36" s="40">
        <v>715</v>
      </c>
      <c r="BE36" s="46">
        <v>7052000</v>
      </c>
      <c r="BF36" s="44">
        <v>4036.6342301087579</v>
      </c>
      <c r="BG36" s="81">
        <v>1747</v>
      </c>
      <c r="BH36" s="49" t="s">
        <v>382</v>
      </c>
      <c r="BI36" s="49" t="s">
        <v>382</v>
      </c>
      <c r="BJ36" s="214">
        <v>0</v>
      </c>
      <c r="BK36" s="86">
        <v>173.73977748626712</v>
      </c>
      <c r="BL36" s="55">
        <v>35058000</v>
      </c>
      <c r="BM36" s="84">
        <v>21.308227171059031</v>
      </c>
      <c r="BN36" s="56">
        <v>54166000</v>
      </c>
      <c r="BO36" s="41">
        <v>32.922055820285912</v>
      </c>
      <c r="BP36" s="56">
        <v>24539000</v>
      </c>
      <c r="BQ36" s="41">
        <v>14.914786540892736</v>
      </c>
      <c r="BR36" s="56">
        <v>4671000</v>
      </c>
      <c r="BS36" s="41">
        <v>2.8390304385879608</v>
      </c>
      <c r="BT36" s="56">
        <v>15656000</v>
      </c>
      <c r="BU36" s="41">
        <v>9.515705533404649</v>
      </c>
      <c r="BV36" s="56">
        <v>18836000</v>
      </c>
      <c r="BW36" s="41">
        <v>11.448507244967422</v>
      </c>
      <c r="BX36" s="81">
        <v>11602000</v>
      </c>
      <c r="BY36" s="41">
        <v>7.0516872508022947</v>
      </c>
      <c r="BZ36" s="57">
        <v>484.34693708380536</v>
      </c>
      <c r="CA36" s="58">
        <v>339.02075101544585</v>
      </c>
      <c r="CB36" s="58">
        <v>689.82619988394902</v>
      </c>
      <c r="CC36" s="86">
        <v>64.532618606835953</v>
      </c>
      <c r="CD36" s="58">
        <v>188.66569036500786</v>
      </c>
      <c r="CE36" s="58">
        <v>58.509021579950819</v>
      </c>
      <c r="CF36" s="58">
        <v>160.28846950899396</v>
      </c>
      <c r="CG36" s="58">
        <v>27.631179022408887</v>
      </c>
      <c r="CH36" s="47">
        <v>260.23044403304687</v>
      </c>
      <c r="CI36" s="43">
        <v>1388</v>
      </c>
      <c r="CJ36" s="50">
        <v>550.98052899713866</v>
      </c>
      <c r="CK36" s="89">
        <v>72.663680336085704</v>
      </c>
      <c r="CL36" s="53">
        <v>9280.2495039999994</v>
      </c>
      <c r="CM36" s="41">
        <v>24.595170216240977</v>
      </c>
      <c r="CN36" s="53">
        <v>12869.619999999999</v>
      </c>
      <c r="CO36" s="41">
        <v>34.107972461506272</v>
      </c>
      <c r="CP36" s="54">
        <v>10314.539999999999</v>
      </c>
      <c r="CQ36" s="41">
        <v>27.33631966391431</v>
      </c>
      <c r="CR36" s="46">
        <v>29540</v>
      </c>
      <c r="CS36" s="87">
        <v>69.820582261340562</v>
      </c>
      <c r="CT36" s="164">
        <v>872.72700000000009</v>
      </c>
      <c r="CU36" s="41">
        <v>12.057237987344921</v>
      </c>
      <c r="CV36" s="87">
        <v>1809</v>
      </c>
      <c r="CW36" s="80">
        <v>4</v>
      </c>
      <c r="CX36" s="80">
        <v>14</v>
      </c>
      <c r="CY36" s="51">
        <v>3</v>
      </c>
      <c r="CZ36" s="90">
        <v>5.2086015860296762</v>
      </c>
      <c r="DA36" s="56">
        <v>17457000</v>
      </c>
      <c r="DB36" s="56">
        <v>19042000</v>
      </c>
      <c r="DC36" s="56">
        <v>23104000</v>
      </c>
      <c r="DD36" s="56">
        <v>25545000</v>
      </c>
      <c r="DE36" s="56">
        <v>13853000</v>
      </c>
      <c r="DF36" s="55">
        <v>14786000</v>
      </c>
      <c r="DG36" s="41">
        <v>93.69</v>
      </c>
      <c r="DH36" s="41">
        <v>11.01</v>
      </c>
      <c r="DI36" s="41">
        <v>0</v>
      </c>
      <c r="DJ36" s="37" t="s">
        <v>390</v>
      </c>
      <c r="DK36" s="81">
        <v>43000</v>
      </c>
      <c r="DL36" s="40">
        <v>202000</v>
      </c>
      <c r="DM36" s="81">
        <v>4380</v>
      </c>
      <c r="DN36" s="81">
        <v>10633</v>
      </c>
      <c r="DO36" s="81">
        <v>20410</v>
      </c>
      <c r="DP36" s="81">
        <v>282852</v>
      </c>
      <c r="DQ36" s="93">
        <v>3</v>
      </c>
      <c r="DR36" s="40">
        <v>10560</v>
      </c>
      <c r="DS36" s="94">
        <v>1</v>
      </c>
      <c r="DT36" s="80">
        <v>9</v>
      </c>
      <c r="DU36" s="66">
        <v>8042.4444444444443</v>
      </c>
      <c r="DV36" s="41">
        <v>33.333333333333329</v>
      </c>
      <c r="DW36" s="41">
        <v>66.666666666666657</v>
      </c>
      <c r="DX36" s="41">
        <v>0</v>
      </c>
      <c r="DY36" s="41">
        <v>0</v>
      </c>
      <c r="DZ36" s="41">
        <v>0</v>
      </c>
      <c r="EA36" s="41">
        <v>88.888888888888886</v>
      </c>
      <c r="EB36" s="41">
        <v>11.111111111111111</v>
      </c>
      <c r="EC36" s="81">
        <v>438</v>
      </c>
      <c r="ED36" s="185">
        <v>165.25570776255708</v>
      </c>
    </row>
    <row r="37" spans="1:134" s="13" customFormat="1">
      <c r="A37" s="156" t="s">
        <v>185</v>
      </c>
      <c r="B37" s="285">
        <v>2014</v>
      </c>
      <c r="C37" s="259">
        <v>8</v>
      </c>
      <c r="D37" s="80" t="s">
        <v>344</v>
      </c>
      <c r="E37" s="56">
        <v>8737.9</v>
      </c>
      <c r="F37" s="56">
        <v>1535</v>
      </c>
      <c r="G37" s="82">
        <v>-5.5965559655596557</v>
      </c>
      <c r="H37" s="179">
        <v>0.2</v>
      </c>
      <c r="I37" s="56">
        <v>787</v>
      </c>
      <c r="J37" s="56">
        <v>51.270358306188925</v>
      </c>
      <c r="K37" s="56">
        <v>748</v>
      </c>
      <c r="L37" s="84">
        <v>48.729641693811075</v>
      </c>
      <c r="M37" s="160">
        <v>29.120521172638437</v>
      </c>
      <c r="N37" s="160">
        <v>48.729641693811075</v>
      </c>
      <c r="O37" s="160">
        <v>22.149837133550488</v>
      </c>
      <c r="P37" s="160">
        <v>37.719869706840392</v>
      </c>
      <c r="Q37" s="160">
        <v>40.130293159609124</v>
      </c>
      <c r="R37" s="160">
        <v>22.149837133550488</v>
      </c>
      <c r="S37" s="83">
        <v>2.144249512670565</v>
      </c>
      <c r="T37" s="83">
        <v>1</v>
      </c>
      <c r="U37" s="38">
        <v>126</v>
      </c>
      <c r="V37" s="41">
        <v>7.3</v>
      </c>
      <c r="W37" s="40">
        <v>38366</v>
      </c>
      <c r="X37" s="41">
        <v>2.7</v>
      </c>
      <c r="Y37" s="42" t="s">
        <v>351</v>
      </c>
      <c r="Z37" s="38">
        <v>195</v>
      </c>
      <c r="AA37" s="45">
        <v>0</v>
      </c>
      <c r="AB37" s="67">
        <v>14</v>
      </c>
      <c r="AC37" s="63">
        <v>825.52700000000004</v>
      </c>
      <c r="AD37" s="43">
        <v>14</v>
      </c>
      <c r="AE37" s="44">
        <v>8.5399999999999991</v>
      </c>
      <c r="AF37" s="44">
        <v>15.771400000000002</v>
      </c>
      <c r="AG37" s="41">
        <v>37.85</v>
      </c>
      <c r="AH37" s="41">
        <v>62.15</v>
      </c>
      <c r="AI37" s="44">
        <v>4.84</v>
      </c>
      <c r="AJ37" s="41">
        <v>0</v>
      </c>
      <c r="AK37" s="41">
        <v>0</v>
      </c>
      <c r="AL37" s="41">
        <v>24.944699999999997</v>
      </c>
      <c r="AM37" s="39">
        <v>7632</v>
      </c>
      <c r="AN37" s="39">
        <v>7506</v>
      </c>
      <c r="AO37" s="40">
        <v>7289</v>
      </c>
      <c r="AP37" s="40">
        <v>8366</v>
      </c>
      <c r="AQ37" s="39">
        <v>94000</v>
      </c>
      <c r="AR37" s="44">
        <v>326.38888888888891</v>
      </c>
      <c r="AS37" s="39">
        <v>288</v>
      </c>
      <c r="AT37" s="46">
        <v>100000</v>
      </c>
      <c r="AU37" s="50">
        <v>353.35689045936397</v>
      </c>
      <c r="AV37" s="39">
        <v>283</v>
      </c>
      <c r="AW37" s="46">
        <v>102000</v>
      </c>
      <c r="AX37" s="47">
        <v>362.98932384341634</v>
      </c>
      <c r="AY37" s="39">
        <v>281</v>
      </c>
      <c r="AZ37" s="41">
        <v>74.900000000000006</v>
      </c>
      <c r="BA37" s="41">
        <v>16.014234875444842</v>
      </c>
      <c r="BB37" s="46">
        <v>2328000</v>
      </c>
      <c r="BC37" s="48">
        <v>2863.4686346863468</v>
      </c>
      <c r="BD37" s="40">
        <v>813</v>
      </c>
      <c r="BE37" s="46">
        <v>20000</v>
      </c>
      <c r="BF37" s="44">
        <v>322.58064516129031</v>
      </c>
      <c r="BG37" s="40">
        <v>62</v>
      </c>
      <c r="BH37" s="49" t="s">
        <v>382</v>
      </c>
      <c r="BI37" s="49" t="s">
        <v>382</v>
      </c>
      <c r="BJ37" s="213">
        <v>0</v>
      </c>
      <c r="BK37" s="47">
        <v>121.50209795918367</v>
      </c>
      <c r="BL37" s="55">
        <v>1075000</v>
      </c>
      <c r="BM37" s="41">
        <v>14.801046399559411</v>
      </c>
      <c r="BN37" s="56">
        <v>327000</v>
      </c>
      <c r="BO37" s="41">
        <v>4.5022717885171417</v>
      </c>
      <c r="BP37" s="56">
        <v>187000</v>
      </c>
      <c r="BQ37" s="41">
        <v>2.5746936527605673</v>
      </c>
      <c r="BR37" s="39">
        <v>153000</v>
      </c>
      <c r="BS37" s="41">
        <v>2.1065675340768277</v>
      </c>
      <c r="BT37" s="39">
        <v>607000</v>
      </c>
      <c r="BU37" s="41">
        <v>8.3574280600302906</v>
      </c>
      <c r="BV37" s="56">
        <v>4524000</v>
      </c>
      <c r="BW37" s="41">
        <v>62.288310615448161</v>
      </c>
      <c r="BX37" s="40">
        <v>390000</v>
      </c>
      <c r="BY37" s="41">
        <v>5.3696819496075996</v>
      </c>
      <c r="BZ37" s="57">
        <v>700.3257328990228</v>
      </c>
      <c r="CA37" s="58">
        <v>121.82410423452768</v>
      </c>
      <c r="CB37" s="59">
        <v>27.361563517915311</v>
      </c>
      <c r="CC37" s="47">
        <v>99.674267100977204</v>
      </c>
      <c r="CD37" s="58">
        <v>334.20195439739416</v>
      </c>
      <c r="CE37" s="59">
        <v>185.66775244299674</v>
      </c>
      <c r="CF37" s="59">
        <v>254.07166123778501</v>
      </c>
      <c r="CG37" s="59">
        <v>61.237785016286644</v>
      </c>
      <c r="CH37" s="47">
        <v>2947.2312703583061</v>
      </c>
      <c r="CI37" s="43" t="s">
        <v>382</v>
      </c>
      <c r="CJ37" s="44">
        <v>0</v>
      </c>
      <c r="CK37" s="60">
        <v>10.350698744029719</v>
      </c>
      <c r="CL37" s="53">
        <v>33.620000000000005</v>
      </c>
      <c r="CM37" s="41">
        <v>3.7170528922695922</v>
      </c>
      <c r="CN37" s="53">
        <v>60</v>
      </c>
      <c r="CO37" s="41">
        <v>6.6336458517601269</v>
      </c>
      <c r="CP37" s="54">
        <v>811</v>
      </c>
      <c r="CQ37" s="41">
        <v>89.649301255970286</v>
      </c>
      <c r="CR37" s="43">
        <v>140</v>
      </c>
      <c r="CS37" s="52">
        <v>12.142857142857142</v>
      </c>
      <c r="CT37" s="41">
        <v>1426.1899999999998</v>
      </c>
      <c r="CU37" s="41">
        <v>929.11400651465794</v>
      </c>
      <c r="CV37" s="52">
        <v>25.5</v>
      </c>
      <c r="CW37" s="38">
        <v>0</v>
      </c>
      <c r="CX37" s="38">
        <v>6</v>
      </c>
      <c r="CY37" s="51">
        <v>0</v>
      </c>
      <c r="CZ37" s="61">
        <v>4.0527687296416941</v>
      </c>
      <c r="DA37" s="39">
        <v>1900000</v>
      </c>
      <c r="DB37" s="39">
        <v>1900000</v>
      </c>
      <c r="DC37" s="39">
        <v>2099000</v>
      </c>
      <c r="DD37" s="39">
        <v>1622000</v>
      </c>
      <c r="DE37" s="39">
        <v>1840000</v>
      </c>
      <c r="DF37" s="62">
        <v>1710000</v>
      </c>
      <c r="DG37" s="41">
        <v>107.60000000000001</v>
      </c>
      <c r="DH37" s="41">
        <v>118.67000000000002</v>
      </c>
      <c r="DI37" s="41">
        <v>0.04</v>
      </c>
      <c r="DJ37" s="37" t="s">
        <v>390</v>
      </c>
      <c r="DK37" s="40">
        <v>17000</v>
      </c>
      <c r="DL37" s="40">
        <v>109000</v>
      </c>
      <c r="DM37" s="40">
        <v>0</v>
      </c>
      <c r="DN37" s="40">
        <v>3020</v>
      </c>
      <c r="DO37" s="40">
        <v>0</v>
      </c>
      <c r="DP37" s="40">
        <v>170620</v>
      </c>
      <c r="DQ37" s="64">
        <v>0</v>
      </c>
      <c r="DR37" s="40">
        <v>0</v>
      </c>
      <c r="DS37" s="65">
        <v>0</v>
      </c>
      <c r="DT37" s="38">
        <v>8</v>
      </c>
      <c r="DU37" s="66">
        <v>191.875</v>
      </c>
      <c r="DV37" s="41">
        <v>12.5</v>
      </c>
      <c r="DW37" s="41">
        <v>87.5</v>
      </c>
      <c r="DX37" s="41">
        <v>0</v>
      </c>
      <c r="DY37" s="41">
        <v>0</v>
      </c>
      <c r="DZ37" s="41">
        <v>0</v>
      </c>
      <c r="EA37" s="41">
        <v>62.5</v>
      </c>
      <c r="EB37" s="41">
        <v>37.5</v>
      </c>
      <c r="EC37" s="40">
        <v>34</v>
      </c>
      <c r="ED37" s="184">
        <v>45.147058823529413</v>
      </c>
    </row>
    <row r="38" spans="1:134" s="13" customFormat="1">
      <c r="A38" s="156" t="s">
        <v>186</v>
      </c>
      <c r="B38" s="285">
        <v>2014</v>
      </c>
      <c r="C38" s="259">
        <v>9</v>
      </c>
      <c r="D38" s="80" t="s">
        <v>344</v>
      </c>
      <c r="E38" s="56">
        <v>2430.9</v>
      </c>
      <c r="F38" s="56">
        <v>4308</v>
      </c>
      <c r="G38" s="82">
        <v>2.8898973011702891</v>
      </c>
      <c r="H38" s="179">
        <v>1.8</v>
      </c>
      <c r="I38" s="56">
        <v>2108</v>
      </c>
      <c r="J38" s="56">
        <v>48.932219127205201</v>
      </c>
      <c r="K38" s="56">
        <v>2200</v>
      </c>
      <c r="L38" s="84">
        <v>51.067780872794799</v>
      </c>
      <c r="M38" s="160">
        <v>26.926648096564531</v>
      </c>
      <c r="N38" s="160">
        <v>43.361188486536676</v>
      </c>
      <c r="O38" s="160">
        <v>29.71216341689879</v>
      </c>
      <c r="P38" s="160">
        <v>35.352831940575676</v>
      </c>
      <c r="Q38" s="160">
        <v>34.935004642525534</v>
      </c>
      <c r="R38" s="160">
        <v>29.71216341689879</v>
      </c>
      <c r="S38" s="83">
        <v>2.6084836665041444</v>
      </c>
      <c r="T38" s="83">
        <v>1.2</v>
      </c>
      <c r="U38" s="38">
        <v>80</v>
      </c>
      <c r="V38" s="41">
        <v>3.4</v>
      </c>
      <c r="W38" s="40">
        <v>46780</v>
      </c>
      <c r="X38" s="41">
        <v>2.6</v>
      </c>
      <c r="Y38" s="42" t="s">
        <v>351</v>
      </c>
      <c r="Z38" s="38">
        <v>478</v>
      </c>
      <c r="AA38" s="45">
        <v>7</v>
      </c>
      <c r="AB38" s="67">
        <v>87</v>
      </c>
      <c r="AC38" s="63">
        <v>11218.812</v>
      </c>
      <c r="AD38" s="43">
        <v>32</v>
      </c>
      <c r="AE38" s="44">
        <v>9.35</v>
      </c>
      <c r="AF38" s="44">
        <v>3.2370999999999999</v>
      </c>
      <c r="AG38" s="41">
        <v>52.04</v>
      </c>
      <c r="AH38" s="41">
        <v>47.96</v>
      </c>
      <c r="AI38" s="44">
        <v>7.53</v>
      </c>
      <c r="AJ38" s="41">
        <v>56.434799999999996</v>
      </c>
      <c r="AK38" s="41">
        <v>2.434077079107505E-2</v>
      </c>
      <c r="AL38" s="41">
        <v>19.700399999999998</v>
      </c>
      <c r="AM38" s="39">
        <v>12016</v>
      </c>
      <c r="AN38" s="39">
        <v>11626</v>
      </c>
      <c r="AO38" s="40">
        <v>11173</v>
      </c>
      <c r="AP38" s="40">
        <v>13218</v>
      </c>
      <c r="AQ38" s="39">
        <v>496000</v>
      </c>
      <c r="AR38" s="44">
        <v>289.71962616822429</v>
      </c>
      <c r="AS38" s="39">
        <v>1712</v>
      </c>
      <c r="AT38" s="46">
        <v>514000</v>
      </c>
      <c r="AU38" s="50">
        <v>298.83720930232556</v>
      </c>
      <c r="AV38" s="39">
        <v>1720</v>
      </c>
      <c r="AW38" s="46">
        <v>548000</v>
      </c>
      <c r="AX38" s="47">
        <v>316.94621168305378</v>
      </c>
      <c r="AY38" s="39">
        <v>1729</v>
      </c>
      <c r="AZ38" s="41">
        <v>63.6</v>
      </c>
      <c r="BA38" s="41">
        <v>25.216888374783114</v>
      </c>
      <c r="BB38" s="46">
        <v>1515000</v>
      </c>
      <c r="BC38" s="48">
        <v>1711.8644067796611</v>
      </c>
      <c r="BD38" s="40">
        <v>885</v>
      </c>
      <c r="BE38" s="46">
        <v>92000</v>
      </c>
      <c r="BF38" s="44">
        <v>400</v>
      </c>
      <c r="BG38" s="40">
        <v>230</v>
      </c>
      <c r="BH38" s="49" t="s">
        <v>382</v>
      </c>
      <c r="BI38" s="49" t="s">
        <v>382</v>
      </c>
      <c r="BJ38" s="213">
        <v>0</v>
      </c>
      <c r="BK38" s="47">
        <v>240.05653828306265</v>
      </c>
      <c r="BL38" s="55">
        <v>728000</v>
      </c>
      <c r="BM38" s="41">
        <v>6.5157075091739012</v>
      </c>
      <c r="BN38" s="56">
        <v>840000</v>
      </c>
      <c r="BO38" s="41">
        <v>7.5181240490468095</v>
      </c>
      <c r="BP38" s="56">
        <v>778000</v>
      </c>
      <c r="BQ38" s="41">
        <v>6.9632148930457358</v>
      </c>
      <c r="BR38" s="39">
        <v>1707000</v>
      </c>
      <c r="BS38" s="41">
        <v>15.27790208538441</v>
      </c>
      <c r="BT38" s="39">
        <v>1144000</v>
      </c>
      <c r="BU38" s="41">
        <v>10.23896894298756</v>
      </c>
      <c r="BV38" s="56">
        <v>3690000</v>
      </c>
      <c r="BW38" s="41">
        <v>33.026044929741339</v>
      </c>
      <c r="BX38" s="40">
        <v>2286000</v>
      </c>
      <c r="BY38" s="41">
        <v>20.460037590620246</v>
      </c>
      <c r="BZ38" s="57">
        <v>168.9879294336119</v>
      </c>
      <c r="CA38" s="58">
        <v>180.59424326833798</v>
      </c>
      <c r="CB38" s="59">
        <v>115.83101207056639</v>
      </c>
      <c r="CC38" s="47">
        <v>396.23955431754877</v>
      </c>
      <c r="CD38" s="58">
        <v>215.64531104921076</v>
      </c>
      <c r="CE38" s="59">
        <v>79.155060352831939</v>
      </c>
      <c r="CF38" s="59">
        <v>530.64066852367694</v>
      </c>
      <c r="CG38" s="59">
        <v>49.907149489322194</v>
      </c>
      <c r="CH38" s="47">
        <v>856.54596100278548</v>
      </c>
      <c r="CI38" s="43" t="s">
        <v>382</v>
      </c>
      <c r="CJ38" s="44">
        <v>235.39618276460382</v>
      </c>
      <c r="CK38" s="60">
        <v>35.658042744656917</v>
      </c>
      <c r="CL38" s="53">
        <v>239.73</v>
      </c>
      <c r="CM38" s="41">
        <v>21.401789062081527</v>
      </c>
      <c r="CN38" s="53">
        <v>159.69</v>
      </c>
      <c r="CO38" s="41">
        <v>14.256253682575393</v>
      </c>
      <c r="CP38" s="54">
        <v>720.73</v>
      </c>
      <c r="CQ38" s="41">
        <v>64.342850000892753</v>
      </c>
      <c r="CR38" s="43">
        <v>2782</v>
      </c>
      <c r="CS38" s="52">
        <v>46.908698777857651</v>
      </c>
      <c r="CT38" s="41">
        <v>1142.68</v>
      </c>
      <c r="CU38" s="41">
        <v>265.24605385329625</v>
      </c>
      <c r="CV38" s="52">
        <v>13</v>
      </c>
      <c r="CW38" s="38">
        <v>3</v>
      </c>
      <c r="CX38" s="38">
        <v>7</v>
      </c>
      <c r="CY38" s="51">
        <v>1</v>
      </c>
      <c r="CZ38" s="61">
        <v>6.4224698235840298</v>
      </c>
      <c r="DA38" s="39">
        <v>2666000</v>
      </c>
      <c r="DB38" s="39">
        <v>1762000</v>
      </c>
      <c r="DC38" s="39">
        <v>3169000</v>
      </c>
      <c r="DD38" s="39">
        <v>3229000</v>
      </c>
      <c r="DE38" s="39">
        <v>1894000</v>
      </c>
      <c r="DF38" s="62">
        <v>2154000</v>
      </c>
      <c r="DG38" s="41">
        <v>87.929999999999993</v>
      </c>
      <c r="DH38" s="41">
        <v>129.34</v>
      </c>
      <c r="DI38" s="41">
        <v>0.57000000000000006</v>
      </c>
      <c r="DJ38" s="37" t="s">
        <v>390</v>
      </c>
      <c r="DK38" s="40">
        <v>10000</v>
      </c>
      <c r="DL38" s="40">
        <v>89000</v>
      </c>
      <c r="DM38" s="40">
        <v>0</v>
      </c>
      <c r="DN38" s="40">
        <v>4390.26</v>
      </c>
      <c r="DO38" s="40">
        <v>0</v>
      </c>
      <c r="DP38" s="40">
        <v>170356</v>
      </c>
      <c r="DQ38" s="64">
        <v>0</v>
      </c>
      <c r="DR38" s="40">
        <v>0</v>
      </c>
      <c r="DS38" s="65">
        <v>0</v>
      </c>
      <c r="DT38" s="38">
        <v>9</v>
      </c>
      <c r="DU38" s="66">
        <v>478.66666666666669</v>
      </c>
      <c r="DV38" s="41">
        <v>33.333333333333329</v>
      </c>
      <c r="DW38" s="41">
        <v>66.666666666666657</v>
      </c>
      <c r="DX38" s="41">
        <v>0</v>
      </c>
      <c r="DY38" s="41">
        <v>0</v>
      </c>
      <c r="DZ38" s="41">
        <v>0</v>
      </c>
      <c r="EA38" s="41">
        <v>77.777777777777786</v>
      </c>
      <c r="EB38" s="41">
        <v>22.222222222222221</v>
      </c>
      <c r="EC38" s="40">
        <v>68</v>
      </c>
      <c r="ED38" s="184">
        <v>63.352941176470587</v>
      </c>
    </row>
    <row r="39" spans="1:134" s="13" customFormat="1">
      <c r="A39" s="156" t="s">
        <v>187</v>
      </c>
      <c r="B39" s="285">
        <v>2014</v>
      </c>
      <c r="C39" s="259">
        <v>11</v>
      </c>
      <c r="D39" s="80" t="s">
        <v>345</v>
      </c>
      <c r="E39" s="56">
        <v>5184.5</v>
      </c>
      <c r="F39" s="56">
        <v>10216</v>
      </c>
      <c r="G39" s="82">
        <v>1.641627698736444</v>
      </c>
      <c r="H39" s="179">
        <v>2</v>
      </c>
      <c r="I39" s="56">
        <v>5199</v>
      </c>
      <c r="J39" s="56">
        <v>50.890759592795618</v>
      </c>
      <c r="K39" s="56">
        <v>5017</v>
      </c>
      <c r="L39" s="84">
        <v>49.109240407204382</v>
      </c>
      <c r="M39" s="160">
        <v>24.95105716523101</v>
      </c>
      <c r="N39" s="160">
        <v>49.060297572435395</v>
      </c>
      <c r="O39" s="160">
        <v>25.988645262333591</v>
      </c>
      <c r="P39" s="160">
        <v>33.936961628817542</v>
      </c>
      <c r="Q39" s="160">
        <v>40.074393108848867</v>
      </c>
      <c r="R39" s="160">
        <v>25.988645262333591</v>
      </c>
      <c r="S39" s="83">
        <v>2.7217845083393022</v>
      </c>
      <c r="T39" s="83">
        <v>6.2</v>
      </c>
      <c r="U39" s="38">
        <v>95</v>
      </c>
      <c r="V39" s="41">
        <v>3.5</v>
      </c>
      <c r="W39" s="40">
        <v>44975</v>
      </c>
      <c r="X39" s="41">
        <v>2.2999999999999998</v>
      </c>
      <c r="Y39" s="42" t="s">
        <v>139</v>
      </c>
      <c r="Z39" s="43">
        <v>1140</v>
      </c>
      <c r="AA39" s="45">
        <v>6</v>
      </c>
      <c r="AB39" s="63">
        <v>133</v>
      </c>
      <c r="AC39" s="63">
        <v>16711.512999999999</v>
      </c>
      <c r="AD39" s="43">
        <v>54</v>
      </c>
      <c r="AE39" s="44">
        <v>-16.78</v>
      </c>
      <c r="AF39" s="44">
        <v>6.7991999999999999</v>
      </c>
      <c r="AG39" s="41">
        <v>65.400000000000006</v>
      </c>
      <c r="AH39" s="41">
        <v>34.599999999999994</v>
      </c>
      <c r="AI39" s="44">
        <v>6.64</v>
      </c>
      <c r="AJ39" s="41">
        <v>26.924400000000002</v>
      </c>
      <c r="AK39" s="41">
        <v>0.57034984134634692</v>
      </c>
      <c r="AL39" s="41">
        <v>8.6191999999999993</v>
      </c>
      <c r="AM39" s="39">
        <v>29286</v>
      </c>
      <c r="AN39" s="39">
        <v>30115</v>
      </c>
      <c r="AO39" s="40">
        <v>29275</v>
      </c>
      <c r="AP39" s="40">
        <v>27134</v>
      </c>
      <c r="AQ39" s="39">
        <v>3167000</v>
      </c>
      <c r="AR39" s="44">
        <v>742.72983114446527</v>
      </c>
      <c r="AS39" s="39">
        <v>4264</v>
      </c>
      <c r="AT39" s="46">
        <v>3302000</v>
      </c>
      <c r="AU39" s="50">
        <v>774.57189772460708</v>
      </c>
      <c r="AV39" s="39">
        <v>4263</v>
      </c>
      <c r="AW39" s="46">
        <v>3446000</v>
      </c>
      <c r="AX39" s="47">
        <v>805.89335827876516</v>
      </c>
      <c r="AY39" s="39">
        <v>4276</v>
      </c>
      <c r="AZ39" s="41">
        <v>69.3</v>
      </c>
      <c r="BA39" s="41">
        <v>20.299345182413468</v>
      </c>
      <c r="BB39" s="46">
        <v>1668000</v>
      </c>
      <c r="BC39" s="48">
        <v>1238.3073496659242</v>
      </c>
      <c r="BD39" s="40">
        <v>1347</v>
      </c>
      <c r="BE39" s="46">
        <v>1335000</v>
      </c>
      <c r="BF39" s="44">
        <v>3193.77990430622</v>
      </c>
      <c r="BG39" s="40">
        <v>418</v>
      </c>
      <c r="BH39" s="49" t="s">
        <v>382</v>
      </c>
      <c r="BI39" s="49" t="s">
        <v>382</v>
      </c>
      <c r="BJ39" s="213">
        <v>0</v>
      </c>
      <c r="BK39" s="47">
        <v>124.50711304078152</v>
      </c>
      <c r="BL39" s="55">
        <v>6233000</v>
      </c>
      <c r="BM39" s="41">
        <v>21.291204099060632</v>
      </c>
      <c r="BN39" s="56">
        <v>5666000</v>
      </c>
      <c r="BO39" s="41">
        <v>19.354397950469686</v>
      </c>
      <c r="BP39" s="56">
        <v>2583000</v>
      </c>
      <c r="BQ39" s="41">
        <v>8.8232280102476501</v>
      </c>
      <c r="BR39" s="39">
        <v>3606000</v>
      </c>
      <c r="BS39" s="41">
        <v>12.317677198975236</v>
      </c>
      <c r="BT39" s="39">
        <v>2552000</v>
      </c>
      <c r="BU39" s="41">
        <v>8.7173356105892399</v>
      </c>
      <c r="BV39" s="56">
        <v>6186000</v>
      </c>
      <c r="BW39" s="41">
        <v>21.13065755764304</v>
      </c>
      <c r="BX39" s="40">
        <v>2449000</v>
      </c>
      <c r="BY39" s="41">
        <v>8.3654995730145174</v>
      </c>
      <c r="BZ39" s="57">
        <v>610.12137823022715</v>
      </c>
      <c r="CA39" s="58">
        <v>252.83868441660141</v>
      </c>
      <c r="CB39" s="59">
        <v>468.6765857478465</v>
      </c>
      <c r="CC39" s="47">
        <v>352.9757243539546</v>
      </c>
      <c r="CD39" s="58">
        <v>217.30618637431479</v>
      </c>
      <c r="CE39" s="59">
        <v>85.94361785434613</v>
      </c>
      <c r="CF39" s="59">
        <v>239.72200469851214</v>
      </c>
      <c r="CG39" s="59">
        <v>32.498042286609241</v>
      </c>
      <c r="CH39" s="47">
        <v>605.52075176194205</v>
      </c>
      <c r="CI39" s="43">
        <v>1692</v>
      </c>
      <c r="CJ39" s="44">
        <v>267.53975678203926</v>
      </c>
      <c r="CK39" s="60">
        <v>50.395406521160723</v>
      </c>
      <c r="CL39" s="53">
        <v>1622.9299999999998</v>
      </c>
      <c r="CM39" s="41">
        <v>27.858350570322628</v>
      </c>
      <c r="CN39" s="53">
        <v>512.93000000000006</v>
      </c>
      <c r="CO39" s="41">
        <v>8.8046827392651483</v>
      </c>
      <c r="CP39" s="54">
        <v>2889.8</v>
      </c>
      <c r="CQ39" s="41">
        <v>49.604765133504422</v>
      </c>
      <c r="CR39" s="43">
        <v>5893</v>
      </c>
      <c r="CS39" s="52">
        <v>62.158493127439328</v>
      </c>
      <c r="CT39" s="41">
        <v>1000.7400000000001</v>
      </c>
      <c r="CU39" s="41">
        <v>97.958104933437767</v>
      </c>
      <c r="CV39" s="52">
        <v>401.21</v>
      </c>
      <c r="CW39" s="38">
        <v>1</v>
      </c>
      <c r="CX39" s="38">
        <v>9</v>
      </c>
      <c r="CY39" s="51">
        <v>1</v>
      </c>
      <c r="CZ39" s="61">
        <v>9.3437744714173849</v>
      </c>
      <c r="DA39" s="39">
        <v>2364000</v>
      </c>
      <c r="DB39" s="39">
        <v>4362000</v>
      </c>
      <c r="DC39" s="39">
        <v>5046000</v>
      </c>
      <c r="DD39" s="39">
        <v>5286000</v>
      </c>
      <c r="DE39" s="39">
        <v>5970000</v>
      </c>
      <c r="DF39" s="62">
        <v>5237000</v>
      </c>
      <c r="DG39" s="41">
        <v>113.99999999999999</v>
      </c>
      <c r="DH39" s="41">
        <v>22.71</v>
      </c>
      <c r="DI39" s="41">
        <v>3.1</v>
      </c>
      <c r="DJ39" s="37" t="s">
        <v>390</v>
      </c>
      <c r="DK39" s="40">
        <v>25000</v>
      </c>
      <c r="DL39" s="40">
        <v>120000</v>
      </c>
      <c r="DM39" s="40">
        <v>0</v>
      </c>
      <c r="DN39" s="40">
        <v>0</v>
      </c>
      <c r="DO39" s="40">
        <v>10015</v>
      </c>
      <c r="DP39" s="40">
        <v>163986</v>
      </c>
      <c r="DQ39" s="64">
        <v>0</v>
      </c>
      <c r="DR39" s="40">
        <v>0</v>
      </c>
      <c r="DS39" s="65">
        <v>0</v>
      </c>
      <c r="DT39" s="38">
        <v>9</v>
      </c>
      <c r="DU39" s="66">
        <v>1135.1111111111111</v>
      </c>
      <c r="DV39" s="41">
        <v>22.222222222222221</v>
      </c>
      <c r="DW39" s="41">
        <v>77.777777777777786</v>
      </c>
      <c r="DX39" s="41">
        <v>0</v>
      </c>
      <c r="DY39" s="41">
        <v>11.111111111111111</v>
      </c>
      <c r="DZ39" s="41">
        <v>0</v>
      </c>
      <c r="EA39" s="41">
        <v>44.444444444444443</v>
      </c>
      <c r="EB39" s="41">
        <v>55.555555555555557</v>
      </c>
      <c r="EC39" s="40">
        <v>160</v>
      </c>
      <c r="ED39" s="184">
        <v>63.85</v>
      </c>
    </row>
    <row r="40" spans="1:134" s="13" customFormat="1">
      <c r="A40" s="156" t="s">
        <v>188</v>
      </c>
      <c r="B40" s="285">
        <v>2014</v>
      </c>
      <c r="C40" s="259">
        <v>9</v>
      </c>
      <c r="D40" s="80" t="s">
        <v>344</v>
      </c>
      <c r="E40" s="56">
        <v>9915.9</v>
      </c>
      <c r="F40" s="56">
        <v>4292</v>
      </c>
      <c r="G40" s="82">
        <v>1.633909542978925</v>
      </c>
      <c r="H40" s="179">
        <v>0.4</v>
      </c>
      <c r="I40" s="56">
        <v>2189</v>
      </c>
      <c r="J40" s="56">
        <v>51.001863932898416</v>
      </c>
      <c r="K40" s="56">
        <v>2103</v>
      </c>
      <c r="L40" s="84">
        <v>48.998136067101584</v>
      </c>
      <c r="M40" s="160">
        <v>26.141658900279591</v>
      </c>
      <c r="N40" s="160">
        <v>50.20969245107176</v>
      </c>
      <c r="O40" s="160">
        <v>23.648648648648649</v>
      </c>
      <c r="P40" s="160">
        <v>39.888164026095062</v>
      </c>
      <c r="Q40" s="160">
        <v>36.463187325256293</v>
      </c>
      <c r="R40" s="160">
        <v>23.648648648648649</v>
      </c>
      <c r="S40" s="83">
        <v>29.273133217563878</v>
      </c>
      <c r="T40" s="83">
        <v>1</v>
      </c>
      <c r="U40" s="38">
        <v>6</v>
      </c>
      <c r="V40" s="41">
        <v>7.5</v>
      </c>
      <c r="W40" s="40">
        <v>48349</v>
      </c>
      <c r="X40" s="41">
        <v>2.4</v>
      </c>
      <c r="Y40" s="42" t="s">
        <v>351</v>
      </c>
      <c r="Z40" s="43">
        <v>633</v>
      </c>
      <c r="AA40" s="45">
        <v>0</v>
      </c>
      <c r="AB40" s="67">
        <v>15</v>
      </c>
      <c r="AC40" s="63">
        <v>831.58399999999995</v>
      </c>
      <c r="AD40" s="43">
        <v>35</v>
      </c>
      <c r="AE40" s="44">
        <v>4.95</v>
      </c>
      <c r="AF40" s="44">
        <v>5.3016999999999994</v>
      </c>
      <c r="AG40" s="41">
        <v>59.88</v>
      </c>
      <c r="AH40" s="41">
        <v>40.119999999999997</v>
      </c>
      <c r="AI40" s="44">
        <v>6.51</v>
      </c>
      <c r="AJ40" s="41">
        <v>92.15870000000001</v>
      </c>
      <c r="AK40" s="41">
        <v>0.34691629955947134</v>
      </c>
      <c r="AL40" s="41">
        <v>16.609200000000001</v>
      </c>
      <c r="AM40" s="39">
        <v>18011</v>
      </c>
      <c r="AN40" s="39">
        <v>18324</v>
      </c>
      <c r="AO40" s="40">
        <v>17274</v>
      </c>
      <c r="AP40" s="40">
        <v>20937</v>
      </c>
      <c r="AQ40" s="39">
        <v>437000</v>
      </c>
      <c r="AR40" s="44">
        <v>295.8700067704807</v>
      </c>
      <c r="AS40" s="39">
        <v>1477</v>
      </c>
      <c r="AT40" s="46">
        <v>459000</v>
      </c>
      <c r="AU40" s="50">
        <v>291.98473282442745</v>
      </c>
      <c r="AV40" s="39">
        <v>1572</v>
      </c>
      <c r="AW40" s="46">
        <v>497000</v>
      </c>
      <c r="AX40" s="47">
        <v>336.03786342123055</v>
      </c>
      <c r="AY40" s="39">
        <v>1479</v>
      </c>
      <c r="AZ40" s="41">
        <v>53.2</v>
      </c>
      <c r="BA40" s="41">
        <v>20.419202163624071</v>
      </c>
      <c r="BB40" s="46">
        <v>3658000</v>
      </c>
      <c r="BC40" s="48">
        <v>4133.333333333333</v>
      </c>
      <c r="BD40" s="40">
        <v>885</v>
      </c>
      <c r="BE40" s="46">
        <v>131000</v>
      </c>
      <c r="BF40" s="44">
        <v>617.92452830188677</v>
      </c>
      <c r="BG40" s="40">
        <v>212</v>
      </c>
      <c r="BH40" s="49" t="s">
        <v>382</v>
      </c>
      <c r="BI40" s="49" t="s">
        <v>382</v>
      </c>
      <c r="BJ40" s="213">
        <v>0</v>
      </c>
      <c r="BK40" s="47">
        <v>213.62418805412972</v>
      </c>
      <c r="BL40" s="55">
        <v>4572000</v>
      </c>
      <c r="BM40" s="41">
        <v>26.487457273622617</v>
      </c>
      <c r="BN40" s="56">
        <v>2705000</v>
      </c>
      <c r="BO40" s="41">
        <v>15.671166212849776</v>
      </c>
      <c r="BP40" s="56">
        <v>849000</v>
      </c>
      <c r="BQ40" s="41">
        <v>4.9186026302068244</v>
      </c>
      <c r="BR40" s="39">
        <v>325000</v>
      </c>
      <c r="BS40" s="41">
        <v>1.88285730838306</v>
      </c>
      <c r="BT40" s="39">
        <v>1285000</v>
      </c>
      <c r="BU40" s="41">
        <v>7.444528126991484</v>
      </c>
      <c r="BV40" s="56">
        <v>3584000</v>
      </c>
      <c r="BW40" s="41">
        <v>20.763571056138115</v>
      </c>
      <c r="BX40" s="40">
        <v>3941000</v>
      </c>
      <c r="BY40" s="41">
        <v>22.831817391808123</v>
      </c>
      <c r="BZ40" s="57">
        <v>1065.237651444548</v>
      </c>
      <c r="CA40" s="58">
        <v>197.80987884436161</v>
      </c>
      <c r="CB40" s="59">
        <v>435.9273066169618</v>
      </c>
      <c r="CC40" s="47">
        <v>75.72227399813606</v>
      </c>
      <c r="CD40" s="58">
        <v>234.85554520037277</v>
      </c>
      <c r="CE40" s="59">
        <v>194.31500465983225</v>
      </c>
      <c r="CF40" s="59">
        <v>918.21994408201306</v>
      </c>
      <c r="CG40" s="59">
        <v>64.538676607642131</v>
      </c>
      <c r="CH40" s="47">
        <v>835.04193849021431</v>
      </c>
      <c r="CI40" s="43">
        <v>1048</v>
      </c>
      <c r="CJ40" s="44">
        <v>298.17444219066937</v>
      </c>
      <c r="CK40" s="60">
        <v>6.9930069930069934</v>
      </c>
      <c r="CL40" s="53">
        <v>200</v>
      </c>
      <c r="CM40" s="41">
        <v>6.9930069930069934</v>
      </c>
      <c r="CN40" s="53" t="s">
        <v>382</v>
      </c>
      <c r="CO40" s="41">
        <v>0</v>
      </c>
      <c r="CP40" s="54">
        <v>2660</v>
      </c>
      <c r="CQ40" s="41">
        <v>93.006993006993014</v>
      </c>
      <c r="CR40" s="43">
        <v>3375</v>
      </c>
      <c r="CS40" s="52">
        <v>46.548148148148151</v>
      </c>
      <c r="CT40" s="41">
        <v>1657.0400000000002</v>
      </c>
      <c r="CU40" s="41">
        <v>386.07642124883512</v>
      </c>
      <c r="CV40" s="52">
        <v>30</v>
      </c>
      <c r="CW40" s="38">
        <v>3</v>
      </c>
      <c r="CX40" s="38">
        <v>3</v>
      </c>
      <c r="CY40" s="51">
        <v>3</v>
      </c>
      <c r="CZ40" s="61">
        <v>3.3958527493010253</v>
      </c>
      <c r="DA40" s="39">
        <v>1930000</v>
      </c>
      <c r="DB40" s="39">
        <v>2074000</v>
      </c>
      <c r="DC40" s="39">
        <v>2758279</v>
      </c>
      <c r="DD40" s="39">
        <v>2014000</v>
      </c>
      <c r="DE40" s="39">
        <v>2916000</v>
      </c>
      <c r="DF40" s="62">
        <v>1449000</v>
      </c>
      <c r="DG40" s="41">
        <v>201.24</v>
      </c>
      <c r="DH40" s="41">
        <v>138.30000000000001</v>
      </c>
      <c r="DI40" s="41">
        <v>1.06</v>
      </c>
      <c r="DJ40" s="37" t="s">
        <v>390</v>
      </c>
      <c r="DK40" s="40">
        <v>17000</v>
      </c>
      <c r="DL40" s="40">
        <v>81000</v>
      </c>
      <c r="DM40" s="40">
        <v>0</v>
      </c>
      <c r="DN40" s="40">
        <v>10897</v>
      </c>
      <c r="DO40" s="40">
        <v>6362</v>
      </c>
      <c r="DP40" s="40">
        <v>232800</v>
      </c>
      <c r="DQ40" s="64">
        <v>0</v>
      </c>
      <c r="DR40" s="40">
        <v>0</v>
      </c>
      <c r="DS40" s="65">
        <v>0</v>
      </c>
      <c r="DT40" s="38">
        <v>7</v>
      </c>
      <c r="DU40" s="66">
        <v>613.14285714285711</v>
      </c>
      <c r="DV40" s="41">
        <v>0</v>
      </c>
      <c r="DW40" s="41">
        <v>100</v>
      </c>
      <c r="DX40" s="41">
        <v>28.571428571428569</v>
      </c>
      <c r="DY40" s="41">
        <v>14.285714285714285</v>
      </c>
      <c r="DZ40" s="41">
        <v>0</v>
      </c>
      <c r="EA40" s="41">
        <v>57.142857142857139</v>
      </c>
      <c r="EB40" s="41">
        <v>42.857142857142854</v>
      </c>
      <c r="EC40" s="40">
        <v>98</v>
      </c>
      <c r="ED40" s="184">
        <v>43.795918367346935</v>
      </c>
    </row>
    <row r="41" spans="1:134" s="13" customFormat="1">
      <c r="A41" s="156" t="s">
        <v>189</v>
      </c>
      <c r="B41" s="285">
        <v>2014</v>
      </c>
      <c r="C41" s="259">
        <v>10</v>
      </c>
      <c r="D41" s="80" t="s">
        <v>345</v>
      </c>
      <c r="E41" s="56">
        <v>1523.8</v>
      </c>
      <c r="F41" s="56">
        <v>7749</v>
      </c>
      <c r="G41" s="82">
        <v>3.7210547450140545</v>
      </c>
      <c r="H41" s="179">
        <v>5.0999999999999996</v>
      </c>
      <c r="I41" s="56">
        <v>3741</v>
      </c>
      <c r="J41" s="56">
        <v>48.277197057684859</v>
      </c>
      <c r="K41" s="56">
        <v>4008</v>
      </c>
      <c r="L41" s="84">
        <v>51.722802942315141</v>
      </c>
      <c r="M41" s="160">
        <v>24.157955865272939</v>
      </c>
      <c r="N41" s="160">
        <v>42.457091237579043</v>
      </c>
      <c r="O41" s="160">
        <v>33.384952897148018</v>
      </c>
      <c r="P41" s="160">
        <v>32.700993676603431</v>
      </c>
      <c r="Q41" s="160">
        <v>33.91405342624855</v>
      </c>
      <c r="R41" s="160">
        <v>33.384952897148018</v>
      </c>
      <c r="S41" s="83">
        <v>3.912747102931152</v>
      </c>
      <c r="T41" s="83">
        <v>1.4</v>
      </c>
      <c r="U41" s="38">
        <v>32</v>
      </c>
      <c r="V41" s="41">
        <v>4.3</v>
      </c>
      <c r="W41" s="40">
        <v>43405</v>
      </c>
      <c r="X41" s="41">
        <v>2.2999999999999998</v>
      </c>
      <c r="Y41" s="42" t="s">
        <v>139</v>
      </c>
      <c r="Z41" s="43">
        <v>782</v>
      </c>
      <c r="AA41" s="45">
        <v>5</v>
      </c>
      <c r="AB41" s="63">
        <v>118</v>
      </c>
      <c r="AC41" s="63">
        <v>13144.235000000001</v>
      </c>
      <c r="AD41" s="43">
        <v>22</v>
      </c>
      <c r="AE41" s="44">
        <v>-5.58</v>
      </c>
      <c r="AF41" s="44">
        <v>6.2309999999999999</v>
      </c>
      <c r="AG41" s="41">
        <v>72.94</v>
      </c>
      <c r="AH41" s="41">
        <v>27.060000000000002</v>
      </c>
      <c r="AI41" s="44">
        <v>3.69</v>
      </c>
      <c r="AJ41" s="41">
        <v>18.914400000000001</v>
      </c>
      <c r="AK41" s="41">
        <v>1.1794386628823716</v>
      </c>
      <c r="AL41" s="41">
        <v>14.6089</v>
      </c>
      <c r="AM41" s="39">
        <v>17889</v>
      </c>
      <c r="AN41" s="39">
        <v>16714</v>
      </c>
      <c r="AO41" s="40">
        <v>16755</v>
      </c>
      <c r="AP41" s="40">
        <v>16340</v>
      </c>
      <c r="AQ41" s="39">
        <v>1819000</v>
      </c>
      <c r="AR41" s="44">
        <v>565.78538102643859</v>
      </c>
      <c r="AS41" s="39">
        <v>3215</v>
      </c>
      <c r="AT41" s="46">
        <v>1824000</v>
      </c>
      <c r="AU41" s="50">
        <v>566.28</v>
      </c>
      <c r="AV41" s="39">
        <v>3221</v>
      </c>
      <c r="AW41" s="46">
        <v>1929000</v>
      </c>
      <c r="AX41" s="47">
        <v>597.39</v>
      </c>
      <c r="AY41" s="39">
        <v>3229</v>
      </c>
      <c r="AZ41" s="41">
        <v>60.8</v>
      </c>
      <c r="BA41" s="41">
        <v>32.982347475998765</v>
      </c>
      <c r="BB41" s="46">
        <v>1220000</v>
      </c>
      <c r="BC41" s="48">
        <v>2293.2330827067667</v>
      </c>
      <c r="BD41" s="40">
        <v>532</v>
      </c>
      <c r="BE41" s="46">
        <v>617000</v>
      </c>
      <c r="BF41" s="44">
        <v>1733.1460674157304</v>
      </c>
      <c r="BG41" s="40">
        <v>356</v>
      </c>
      <c r="BH41" s="49" t="s">
        <v>382</v>
      </c>
      <c r="BI41" s="49" t="s">
        <v>382</v>
      </c>
      <c r="BJ41" s="213">
        <v>0</v>
      </c>
      <c r="BK41" s="47">
        <v>159.10247334200261</v>
      </c>
      <c r="BL41" s="55">
        <v>2551000</v>
      </c>
      <c r="BM41" s="41">
        <v>15.238948626045401</v>
      </c>
      <c r="BN41" s="56">
        <v>4008000</v>
      </c>
      <c r="BO41" s="41">
        <v>23.942652329749102</v>
      </c>
      <c r="BP41" s="56">
        <v>1429000</v>
      </c>
      <c r="BQ41" s="41">
        <v>8.5364396654719226</v>
      </c>
      <c r="BR41" s="39">
        <v>284000</v>
      </c>
      <c r="BS41" s="41">
        <v>1.6965352449223419</v>
      </c>
      <c r="BT41" s="39">
        <v>2397000</v>
      </c>
      <c r="BU41" s="41">
        <v>14.318996415770609</v>
      </c>
      <c r="BV41" s="56">
        <v>3746000</v>
      </c>
      <c r="BW41" s="41">
        <v>22.377538829151732</v>
      </c>
      <c r="BX41" s="40">
        <v>2325000</v>
      </c>
      <c r="BY41" s="41">
        <v>13.888888888888889</v>
      </c>
      <c r="BZ41" s="57">
        <v>329.20376822815848</v>
      </c>
      <c r="CA41" s="58">
        <v>184.41089172796489</v>
      </c>
      <c r="CB41" s="59">
        <v>447.6706671828623</v>
      </c>
      <c r="CC41" s="47">
        <v>36.64989030842689</v>
      </c>
      <c r="CD41" s="58">
        <v>252.80681378242355</v>
      </c>
      <c r="CE41" s="59">
        <v>69.557362240289066</v>
      </c>
      <c r="CF41" s="59">
        <v>300.03871467286103</v>
      </c>
      <c r="CG41" s="59">
        <v>56.523422377080912</v>
      </c>
      <c r="CH41" s="47">
        <v>483.41721512453222</v>
      </c>
      <c r="CI41" s="43">
        <v>1050</v>
      </c>
      <c r="CJ41" s="44">
        <v>305.97708268813875</v>
      </c>
      <c r="CK41" s="60">
        <v>43.535776338651083</v>
      </c>
      <c r="CL41" s="53">
        <v>1173</v>
      </c>
      <c r="CM41" s="41">
        <v>18.527878692149741</v>
      </c>
      <c r="CN41" s="53">
        <v>1583.25</v>
      </c>
      <c r="CO41" s="41">
        <v>25.007897646501341</v>
      </c>
      <c r="CP41" s="54">
        <v>3574.76</v>
      </c>
      <c r="CQ41" s="41">
        <v>56.464381614278949</v>
      </c>
      <c r="CR41" s="43">
        <v>5026</v>
      </c>
      <c r="CS41" s="52">
        <v>41.961798647035415</v>
      </c>
      <c r="CT41" s="41">
        <v>617.58000000000004</v>
      </c>
      <c r="CU41" s="41">
        <v>79.698025551684097</v>
      </c>
      <c r="CV41" s="52">
        <v>136</v>
      </c>
      <c r="CW41" s="38">
        <v>1</v>
      </c>
      <c r="CX41" s="38">
        <v>5</v>
      </c>
      <c r="CY41" s="51">
        <v>1</v>
      </c>
      <c r="CZ41" s="61">
        <v>7.0051619563814684</v>
      </c>
      <c r="DA41" s="49">
        <v>2142000</v>
      </c>
      <c r="DB41" s="49">
        <v>2395000</v>
      </c>
      <c r="DC41" s="49">
        <v>2686000</v>
      </c>
      <c r="DD41" s="49">
        <v>2335000</v>
      </c>
      <c r="DE41" s="39">
        <v>2560000</v>
      </c>
      <c r="DF41" s="62">
        <v>2560000</v>
      </c>
      <c r="DG41" s="41">
        <v>100</v>
      </c>
      <c r="DH41" s="41">
        <v>47.96</v>
      </c>
      <c r="DI41" s="41">
        <v>3.34</v>
      </c>
      <c r="DJ41" s="37" t="s">
        <v>390</v>
      </c>
      <c r="DK41" s="40">
        <v>18000</v>
      </c>
      <c r="DL41" s="40">
        <v>120286</v>
      </c>
      <c r="DM41" s="40">
        <v>0</v>
      </c>
      <c r="DN41" s="40">
        <v>6345</v>
      </c>
      <c r="DO41" s="40">
        <v>2111</v>
      </c>
      <c r="DP41" s="40">
        <v>217567</v>
      </c>
      <c r="DQ41" s="64">
        <v>0</v>
      </c>
      <c r="DR41" s="40">
        <v>0</v>
      </c>
      <c r="DS41" s="65">
        <v>0</v>
      </c>
      <c r="DT41" s="38">
        <v>9</v>
      </c>
      <c r="DU41" s="66">
        <v>861</v>
      </c>
      <c r="DV41" s="41">
        <v>22.222222222222221</v>
      </c>
      <c r="DW41" s="41">
        <v>77.777777777777786</v>
      </c>
      <c r="DX41" s="41">
        <v>0</v>
      </c>
      <c r="DY41" s="41">
        <v>0</v>
      </c>
      <c r="DZ41" s="41">
        <v>0</v>
      </c>
      <c r="EA41" s="41">
        <v>44.444444444444443</v>
      </c>
      <c r="EB41" s="41">
        <v>55.555555555555557</v>
      </c>
      <c r="EC41" s="40">
        <v>85.3</v>
      </c>
      <c r="ED41" s="184">
        <v>90.844079718640103</v>
      </c>
    </row>
    <row r="42" spans="1:134" s="13" customFormat="1">
      <c r="A42" s="156" t="s">
        <v>190</v>
      </c>
      <c r="B42" s="285">
        <v>2014</v>
      </c>
      <c r="C42" s="259">
        <v>11</v>
      </c>
      <c r="D42" s="80" t="s">
        <v>345</v>
      </c>
      <c r="E42" s="56">
        <v>2329.3000000000002</v>
      </c>
      <c r="F42" s="56">
        <v>11455</v>
      </c>
      <c r="G42" s="82">
        <v>1.3896264825632856</v>
      </c>
      <c r="H42" s="179">
        <v>4.9000000000000004</v>
      </c>
      <c r="I42" s="56">
        <v>5729</v>
      </c>
      <c r="J42" s="56">
        <v>50.013094718463556</v>
      </c>
      <c r="K42" s="56">
        <v>5726</v>
      </c>
      <c r="L42" s="84">
        <v>49.986905281536451</v>
      </c>
      <c r="M42" s="160">
        <v>23.483195111305108</v>
      </c>
      <c r="N42" s="160">
        <v>43.195111305106941</v>
      </c>
      <c r="O42" s="160">
        <v>33.321693583587951</v>
      </c>
      <c r="P42" s="160">
        <v>32.6407682234832</v>
      </c>
      <c r="Q42" s="160">
        <v>34.037538192928849</v>
      </c>
      <c r="R42" s="160">
        <v>33.321693583587951</v>
      </c>
      <c r="S42" s="83">
        <v>1.3180619943641487</v>
      </c>
      <c r="T42" s="83">
        <v>1.7</v>
      </c>
      <c r="U42" s="38">
        <v>57</v>
      </c>
      <c r="V42" s="41">
        <v>9.3000000000000007</v>
      </c>
      <c r="W42" s="40">
        <v>41558</v>
      </c>
      <c r="X42" s="41">
        <v>2.2999999999999998</v>
      </c>
      <c r="Y42" s="42" t="s">
        <v>95</v>
      </c>
      <c r="Z42" s="43">
        <v>1167</v>
      </c>
      <c r="AA42" s="45">
        <v>13</v>
      </c>
      <c r="AB42" s="63">
        <v>218</v>
      </c>
      <c r="AC42" s="63">
        <v>19919.647000000001</v>
      </c>
      <c r="AD42" s="43">
        <v>37</v>
      </c>
      <c r="AE42" s="44">
        <v>6.03</v>
      </c>
      <c r="AF42" s="44">
        <v>3.3377999999999997</v>
      </c>
      <c r="AG42" s="41">
        <v>70.73</v>
      </c>
      <c r="AH42" s="41">
        <v>29.269999999999996</v>
      </c>
      <c r="AI42" s="44">
        <v>7.28</v>
      </c>
      <c r="AJ42" s="41">
        <v>4.0226999999999995</v>
      </c>
      <c r="AK42" s="41">
        <v>7.4970443007163228</v>
      </c>
      <c r="AL42" s="41">
        <v>11.449100000000001</v>
      </c>
      <c r="AM42" s="39">
        <v>27345</v>
      </c>
      <c r="AN42" s="39">
        <v>27529</v>
      </c>
      <c r="AO42" s="40">
        <v>27549</v>
      </c>
      <c r="AP42" s="40">
        <v>30279</v>
      </c>
      <c r="AQ42" s="39">
        <v>2351000</v>
      </c>
      <c r="AR42" s="44">
        <v>451.59431425278524</v>
      </c>
      <c r="AS42" s="39">
        <v>5206</v>
      </c>
      <c r="AT42" s="46">
        <v>7281000</v>
      </c>
      <c r="AU42" s="50">
        <v>478.15</v>
      </c>
      <c r="AV42" s="39">
        <v>5287</v>
      </c>
      <c r="AW42" s="46">
        <v>2799000</v>
      </c>
      <c r="AX42" s="47">
        <v>529.41176470588232</v>
      </c>
      <c r="AY42" s="39">
        <v>5287</v>
      </c>
      <c r="AZ42" s="41">
        <v>63.5</v>
      </c>
      <c r="BA42" s="41">
        <v>27.974276527331188</v>
      </c>
      <c r="BB42" s="46">
        <v>1500000</v>
      </c>
      <c r="BC42" s="48">
        <v>2242.1524663677128</v>
      </c>
      <c r="BD42" s="40">
        <v>669</v>
      </c>
      <c r="BE42" s="46">
        <v>341000</v>
      </c>
      <c r="BF42" s="44">
        <v>672.58382642998026</v>
      </c>
      <c r="BG42" s="40">
        <v>507</v>
      </c>
      <c r="BH42" s="49" t="s">
        <v>382</v>
      </c>
      <c r="BI42" s="49" t="s">
        <v>382</v>
      </c>
      <c r="BJ42" s="213">
        <v>0</v>
      </c>
      <c r="BK42" s="47">
        <v>213.16437715517242</v>
      </c>
      <c r="BL42" s="55">
        <v>3894000</v>
      </c>
      <c r="BM42" s="41">
        <v>14.134814330828704</v>
      </c>
      <c r="BN42" s="56">
        <v>8777000</v>
      </c>
      <c r="BO42" s="41">
        <v>31.85959562960543</v>
      </c>
      <c r="BP42" s="56">
        <v>2734000</v>
      </c>
      <c r="BQ42" s="41">
        <v>9.9241351773204105</v>
      </c>
      <c r="BR42" s="39">
        <v>866000</v>
      </c>
      <c r="BS42" s="41">
        <v>3.143489781843261</v>
      </c>
      <c r="BT42" s="39">
        <v>3311000</v>
      </c>
      <c r="BU42" s="41">
        <v>12.018585066608587</v>
      </c>
      <c r="BV42" s="56">
        <v>5030000</v>
      </c>
      <c r="BW42" s="41">
        <v>18.258375984609245</v>
      </c>
      <c r="BX42" s="40">
        <v>2937000</v>
      </c>
      <c r="BY42" s="41">
        <v>10.661004029184362</v>
      </c>
      <c r="BZ42" s="57">
        <v>339.93889131383673</v>
      </c>
      <c r="CA42" s="58">
        <v>238.67306852902664</v>
      </c>
      <c r="CB42" s="59">
        <v>678.04452204277607</v>
      </c>
      <c r="CC42" s="47">
        <v>75.600174596246177</v>
      </c>
      <c r="CD42" s="58">
        <v>249.4107376691401</v>
      </c>
      <c r="CE42" s="59">
        <v>88.17110432125709</v>
      </c>
      <c r="CF42" s="59">
        <v>256.3945875163684</v>
      </c>
      <c r="CG42" s="59">
        <v>39.633347883020512</v>
      </c>
      <c r="CH42" s="47">
        <v>439.1095591444784</v>
      </c>
      <c r="CI42" s="43">
        <v>1228</v>
      </c>
      <c r="CJ42" s="44">
        <v>259.88273122753924</v>
      </c>
      <c r="CK42" s="60">
        <v>18.064617699022165</v>
      </c>
      <c r="CL42" s="53">
        <v>1205.4000000000001</v>
      </c>
      <c r="CM42" s="41">
        <v>10.542795668829919</v>
      </c>
      <c r="CN42" s="53">
        <v>860</v>
      </c>
      <c r="CO42" s="41">
        <v>7.5218220301922436</v>
      </c>
      <c r="CP42" s="54">
        <v>9368</v>
      </c>
      <c r="CQ42" s="41">
        <v>81.935382300977849</v>
      </c>
      <c r="CR42" s="43">
        <v>5611</v>
      </c>
      <c r="CS42" s="52">
        <v>52.931741222598475</v>
      </c>
      <c r="CT42" s="41">
        <v>1322.9500000000003</v>
      </c>
      <c r="CU42" s="41">
        <v>115.49105194238327</v>
      </c>
      <c r="CV42" s="52">
        <v>223.73</v>
      </c>
      <c r="CW42" s="38">
        <v>3</v>
      </c>
      <c r="CX42" s="38">
        <v>4</v>
      </c>
      <c r="CY42" s="51">
        <v>2</v>
      </c>
      <c r="CZ42" s="78">
        <v>4.6515058926233088</v>
      </c>
      <c r="DA42" s="39">
        <v>3573000</v>
      </c>
      <c r="DB42" s="39">
        <v>3958000</v>
      </c>
      <c r="DC42" s="39">
        <v>3357000</v>
      </c>
      <c r="DD42" s="39">
        <v>3823000</v>
      </c>
      <c r="DE42" s="39">
        <v>3199000</v>
      </c>
      <c r="DF42" s="62">
        <v>3494000</v>
      </c>
      <c r="DG42" s="41">
        <v>91.56</v>
      </c>
      <c r="DH42" s="41">
        <v>93.19</v>
      </c>
      <c r="DI42" s="41">
        <v>7.1800000000000006</v>
      </c>
      <c r="DJ42" s="37" t="s">
        <v>390</v>
      </c>
      <c r="DK42" s="40">
        <v>6000</v>
      </c>
      <c r="DL42" s="40">
        <v>111000</v>
      </c>
      <c r="DM42" s="40">
        <v>0</v>
      </c>
      <c r="DN42" s="40">
        <v>4060</v>
      </c>
      <c r="DO42" s="40">
        <v>31571</v>
      </c>
      <c r="DP42" s="40">
        <v>208478</v>
      </c>
      <c r="DQ42" s="64">
        <v>0</v>
      </c>
      <c r="DR42" s="40">
        <v>0</v>
      </c>
      <c r="DS42" s="65">
        <v>0</v>
      </c>
      <c r="DT42" s="38">
        <v>9</v>
      </c>
      <c r="DU42" s="66">
        <v>1272.7777777777778</v>
      </c>
      <c r="DV42" s="41">
        <v>33.333333333333329</v>
      </c>
      <c r="DW42" s="41">
        <v>66.666666666666657</v>
      </c>
      <c r="DX42" s="41">
        <v>0</v>
      </c>
      <c r="DY42" s="41">
        <v>11.111111111111111</v>
      </c>
      <c r="DZ42" s="41">
        <v>0</v>
      </c>
      <c r="EA42" s="41">
        <v>22.222222222222221</v>
      </c>
      <c r="EB42" s="41">
        <v>77.777777777777786</v>
      </c>
      <c r="EC42" s="40">
        <v>108</v>
      </c>
      <c r="ED42" s="184">
        <v>106.06481481481481</v>
      </c>
    </row>
    <row r="43" spans="1:134" s="13" customFormat="1">
      <c r="A43" s="156" t="s">
        <v>191</v>
      </c>
      <c r="B43" s="285">
        <v>2014</v>
      </c>
      <c r="C43" s="259">
        <v>11</v>
      </c>
      <c r="D43" s="80" t="s">
        <v>345</v>
      </c>
      <c r="E43" s="56">
        <v>2808.7</v>
      </c>
      <c r="F43" s="56">
        <v>12574</v>
      </c>
      <c r="G43" s="82">
        <v>0.20720433535224739</v>
      </c>
      <c r="H43" s="179">
        <v>4.5</v>
      </c>
      <c r="I43" s="56">
        <v>6390</v>
      </c>
      <c r="J43" s="56">
        <v>50.819150628280575</v>
      </c>
      <c r="K43" s="56">
        <v>6184</v>
      </c>
      <c r="L43" s="84">
        <v>49.180849371719418</v>
      </c>
      <c r="M43" s="160">
        <v>24.57451884841737</v>
      </c>
      <c r="N43" s="160">
        <v>44.663591538094479</v>
      </c>
      <c r="O43" s="160">
        <v>30.761889613488151</v>
      </c>
      <c r="P43" s="160">
        <v>33.855574996023542</v>
      </c>
      <c r="Q43" s="160">
        <v>35.382535390488307</v>
      </c>
      <c r="R43" s="160">
        <v>30.761889613488151</v>
      </c>
      <c r="S43" s="83">
        <v>6.5283609121593811</v>
      </c>
      <c r="T43" s="83">
        <v>2.2000000000000002</v>
      </c>
      <c r="U43" s="38">
        <v>24</v>
      </c>
      <c r="V43" s="41">
        <v>10.6</v>
      </c>
      <c r="W43" s="40">
        <v>39621</v>
      </c>
      <c r="X43" s="41">
        <v>2.4</v>
      </c>
      <c r="Y43" s="42" t="s">
        <v>351</v>
      </c>
      <c r="Z43" s="43">
        <v>1136</v>
      </c>
      <c r="AA43" s="45">
        <v>23</v>
      </c>
      <c r="AB43" s="63">
        <v>126</v>
      </c>
      <c r="AC43" s="63">
        <v>15247.769</v>
      </c>
      <c r="AD43" s="43">
        <v>46</v>
      </c>
      <c r="AE43" s="44">
        <v>7.6</v>
      </c>
      <c r="AF43" s="44">
        <v>3.0087000000000002</v>
      </c>
      <c r="AG43" s="41">
        <v>79.95</v>
      </c>
      <c r="AH43" s="41">
        <v>20.049999999999997</v>
      </c>
      <c r="AI43" s="44">
        <v>8.3000000000000007</v>
      </c>
      <c r="AJ43" s="41">
        <v>3.9687000000000001</v>
      </c>
      <c r="AK43" s="41">
        <v>7.2876518873753282</v>
      </c>
      <c r="AL43" s="41">
        <v>8.0129000000000001</v>
      </c>
      <c r="AM43" s="39">
        <v>31325</v>
      </c>
      <c r="AN43" s="39">
        <v>29850</v>
      </c>
      <c r="AO43" s="40">
        <v>31407</v>
      </c>
      <c r="AP43" s="40">
        <v>34712</v>
      </c>
      <c r="AQ43" s="39">
        <v>1879000</v>
      </c>
      <c r="AR43" s="44">
        <v>382.92235581821888</v>
      </c>
      <c r="AS43" s="39">
        <v>4907</v>
      </c>
      <c r="AT43" s="46">
        <v>1949000</v>
      </c>
      <c r="AU43" s="50">
        <v>385.02568154879492</v>
      </c>
      <c r="AV43" s="39">
        <v>5062</v>
      </c>
      <c r="AW43" s="46">
        <v>2054000</v>
      </c>
      <c r="AX43" s="47">
        <v>404.64933018124509</v>
      </c>
      <c r="AY43" s="39">
        <v>5076</v>
      </c>
      <c r="AZ43" s="41">
        <v>57.8</v>
      </c>
      <c r="BA43" s="41">
        <v>28.34909377462569</v>
      </c>
      <c r="BB43" s="46">
        <v>2657000</v>
      </c>
      <c r="BC43" s="48">
        <v>1611.2795633717406</v>
      </c>
      <c r="BD43" s="40">
        <v>1649</v>
      </c>
      <c r="BE43" s="46">
        <v>1166000</v>
      </c>
      <c r="BF43" s="44">
        <v>2699.0740740740739</v>
      </c>
      <c r="BG43" s="40">
        <v>432</v>
      </c>
      <c r="BH43" s="46">
        <v>81000</v>
      </c>
      <c r="BI43" s="49">
        <v>40500</v>
      </c>
      <c r="BJ43" s="45">
        <v>2</v>
      </c>
      <c r="BK43" s="47">
        <v>157.72538183954347</v>
      </c>
      <c r="BL43" s="55">
        <v>4012000</v>
      </c>
      <c r="BM43" s="41">
        <v>12.774222307128985</v>
      </c>
      <c r="BN43" s="56">
        <v>9423000</v>
      </c>
      <c r="BO43" s="41">
        <v>30.002865603209479</v>
      </c>
      <c r="BP43" s="56">
        <v>3799000</v>
      </c>
      <c r="BQ43" s="41">
        <v>12.096029547553092</v>
      </c>
      <c r="BR43" s="39">
        <v>1822000</v>
      </c>
      <c r="BS43" s="41">
        <v>5.8012544974050373</v>
      </c>
      <c r="BT43" s="39">
        <v>3296000</v>
      </c>
      <c r="BU43" s="41">
        <v>10.494475753812845</v>
      </c>
      <c r="BV43" s="56">
        <v>2833000</v>
      </c>
      <c r="BW43" s="41">
        <v>9.0202821027159548</v>
      </c>
      <c r="BX43" s="40">
        <v>6222000</v>
      </c>
      <c r="BY43" s="41">
        <v>19.810870188174611</v>
      </c>
      <c r="BZ43" s="57">
        <v>319.07109909336725</v>
      </c>
      <c r="CA43" s="58">
        <v>302.13138221727377</v>
      </c>
      <c r="CB43" s="59">
        <v>705.58294894226185</v>
      </c>
      <c r="CC43" s="47">
        <v>144.90217909972961</v>
      </c>
      <c r="CD43" s="58">
        <v>237.71274057579132</v>
      </c>
      <c r="CE43" s="59">
        <v>43.820582153650392</v>
      </c>
      <c r="CF43" s="59">
        <v>494.83060283123905</v>
      </c>
      <c r="CG43" s="59">
        <v>24.415460473993956</v>
      </c>
      <c r="CH43" s="47">
        <v>225.30618737076506</v>
      </c>
      <c r="CI43" s="43">
        <v>1656</v>
      </c>
      <c r="CJ43" s="44">
        <v>375.88652482269504</v>
      </c>
      <c r="CK43" s="60">
        <v>25.974809214946177</v>
      </c>
      <c r="CL43" s="53">
        <v>1506.57248</v>
      </c>
      <c r="CM43" s="41">
        <v>23.289496380684938</v>
      </c>
      <c r="CN43" s="53">
        <v>173.71</v>
      </c>
      <c r="CO43" s="41">
        <v>2.6853128342612371</v>
      </c>
      <c r="CP43" s="54">
        <v>4788.6099999999997</v>
      </c>
      <c r="CQ43" s="41">
        <v>74.025190785053823</v>
      </c>
      <c r="CR43" s="43">
        <v>7103</v>
      </c>
      <c r="CS43" s="52">
        <v>41.911868224693791</v>
      </c>
      <c r="CT43" s="41">
        <v>1271.58</v>
      </c>
      <c r="CU43" s="41">
        <v>101.127723874662</v>
      </c>
      <c r="CV43" s="52">
        <v>48</v>
      </c>
      <c r="CW43" s="38">
        <v>1</v>
      </c>
      <c r="CX43" s="38">
        <v>1</v>
      </c>
      <c r="CY43" s="51">
        <v>1</v>
      </c>
      <c r="CZ43" s="61">
        <v>3.3333068236042629</v>
      </c>
      <c r="DA43" s="39">
        <v>6709000</v>
      </c>
      <c r="DB43" s="39">
        <v>8847000</v>
      </c>
      <c r="DC43" s="39">
        <v>4624000</v>
      </c>
      <c r="DD43" s="39">
        <v>5907000</v>
      </c>
      <c r="DE43" s="39">
        <v>6101000</v>
      </c>
      <c r="DF43" s="62">
        <v>4538000</v>
      </c>
      <c r="DG43" s="41">
        <v>134.44</v>
      </c>
      <c r="DH43" s="41">
        <v>94.72</v>
      </c>
      <c r="DI43" s="41">
        <v>1.9900000000000002</v>
      </c>
      <c r="DJ43" s="37" t="s">
        <v>390</v>
      </c>
      <c r="DK43" s="40">
        <v>40000</v>
      </c>
      <c r="DL43" s="40">
        <v>120000</v>
      </c>
      <c r="DM43" s="40">
        <v>0</v>
      </c>
      <c r="DN43" s="40">
        <v>10380</v>
      </c>
      <c r="DO43" s="40">
        <v>164</v>
      </c>
      <c r="DP43" s="40">
        <v>210617</v>
      </c>
      <c r="DQ43" s="64">
        <v>0</v>
      </c>
      <c r="DR43" s="40">
        <v>0</v>
      </c>
      <c r="DS43" s="65">
        <v>0</v>
      </c>
      <c r="DT43" s="38">
        <v>9</v>
      </c>
      <c r="DU43" s="66">
        <v>1397.1111111111111</v>
      </c>
      <c r="DV43" s="41">
        <v>33.333333333333329</v>
      </c>
      <c r="DW43" s="41">
        <v>66.666666666666657</v>
      </c>
      <c r="DX43" s="41">
        <v>0</v>
      </c>
      <c r="DY43" s="41">
        <v>0</v>
      </c>
      <c r="DZ43" s="41">
        <v>0</v>
      </c>
      <c r="EA43" s="41">
        <v>33.333333333333329</v>
      </c>
      <c r="EB43" s="41">
        <v>66.666666666666657</v>
      </c>
      <c r="EC43" s="40">
        <v>167</v>
      </c>
      <c r="ED43" s="184">
        <v>75.293413173652695</v>
      </c>
    </row>
    <row r="44" spans="1:134" s="13" customFormat="1">
      <c r="A44" s="156" t="s">
        <v>192</v>
      </c>
      <c r="B44" s="285">
        <v>2014</v>
      </c>
      <c r="C44" s="259">
        <v>4</v>
      </c>
      <c r="D44" s="80" t="s">
        <v>342</v>
      </c>
      <c r="E44" s="56">
        <v>143.19999999999999</v>
      </c>
      <c r="F44" s="56">
        <v>7437</v>
      </c>
      <c r="G44" s="82">
        <v>-0.12087026591458502</v>
      </c>
      <c r="H44" s="179">
        <v>51.9</v>
      </c>
      <c r="I44" s="56">
        <v>3648</v>
      </c>
      <c r="J44" s="56">
        <v>49.052037111738606</v>
      </c>
      <c r="K44" s="56">
        <v>3789</v>
      </c>
      <c r="L44" s="84">
        <v>50.947962888261401</v>
      </c>
      <c r="M44" s="160">
        <v>24.499125991663306</v>
      </c>
      <c r="N44" s="160">
        <v>46.403119537447893</v>
      </c>
      <c r="O44" s="160">
        <v>29.097754470888798</v>
      </c>
      <c r="P44" s="160">
        <v>35.000672314105152</v>
      </c>
      <c r="Q44" s="160">
        <v>35.901573215006053</v>
      </c>
      <c r="R44" s="160">
        <v>29.097754470888798</v>
      </c>
      <c r="S44" s="83">
        <v>3.5809577306558067</v>
      </c>
      <c r="T44" s="83">
        <v>2.4</v>
      </c>
      <c r="U44" s="38">
        <v>31</v>
      </c>
      <c r="V44" s="41">
        <v>11.6</v>
      </c>
      <c r="W44" s="40">
        <v>39332</v>
      </c>
      <c r="X44" s="41">
        <v>2.2999999999999998</v>
      </c>
      <c r="Y44" s="42" t="s">
        <v>350</v>
      </c>
      <c r="Z44" s="43">
        <v>667</v>
      </c>
      <c r="AA44" s="45">
        <v>4</v>
      </c>
      <c r="AB44" s="67">
        <v>105</v>
      </c>
      <c r="AC44" s="63">
        <v>20851.137999999999</v>
      </c>
      <c r="AD44" s="43">
        <v>37</v>
      </c>
      <c r="AE44" s="44">
        <v>7.84</v>
      </c>
      <c r="AF44" s="44">
        <v>3.5716000000000001</v>
      </c>
      <c r="AG44" s="41">
        <v>73.61</v>
      </c>
      <c r="AH44" s="41">
        <v>26.39</v>
      </c>
      <c r="AI44" s="44">
        <v>4.3</v>
      </c>
      <c r="AJ44" s="41">
        <v>6.9490999999999996</v>
      </c>
      <c r="AK44" s="41">
        <v>4.7124007539841211</v>
      </c>
      <c r="AL44" s="41">
        <v>16.665499999999998</v>
      </c>
      <c r="AM44" s="39">
        <v>16426</v>
      </c>
      <c r="AN44" s="39">
        <v>16260</v>
      </c>
      <c r="AO44" s="40">
        <v>16338</v>
      </c>
      <c r="AP44" s="40">
        <v>17665</v>
      </c>
      <c r="AQ44" s="39">
        <v>2558000</v>
      </c>
      <c r="AR44" s="44">
        <v>777.74399513529943</v>
      </c>
      <c r="AS44" s="39">
        <v>3289</v>
      </c>
      <c r="AT44" s="46">
        <v>2806000</v>
      </c>
      <c r="AU44" s="50">
        <v>838.86397608370703</v>
      </c>
      <c r="AV44" s="39">
        <v>3345</v>
      </c>
      <c r="AW44" s="46">
        <v>2852000</v>
      </c>
      <c r="AX44" s="47">
        <v>850.58156874440795</v>
      </c>
      <c r="AY44" s="39">
        <v>3353</v>
      </c>
      <c r="AZ44" s="41">
        <v>59.699999999999996</v>
      </c>
      <c r="BA44" s="41">
        <v>23.352221890844021</v>
      </c>
      <c r="BB44" s="46">
        <v>186000</v>
      </c>
      <c r="BC44" s="48">
        <v>1690.909090909091</v>
      </c>
      <c r="BD44" s="40">
        <v>110</v>
      </c>
      <c r="BE44" s="46">
        <v>953000</v>
      </c>
      <c r="BF44" s="44">
        <v>2067.2451193058569</v>
      </c>
      <c r="BG44" s="40">
        <v>461</v>
      </c>
      <c r="BH44" s="46">
        <v>26000</v>
      </c>
      <c r="BI44" s="49" t="s">
        <v>382</v>
      </c>
      <c r="BJ44" s="213">
        <v>0</v>
      </c>
      <c r="BK44" s="47">
        <v>58.718931789892956</v>
      </c>
      <c r="BL44" s="55">
        <v>2231000</v>
      </c>
      <c r="BM44" s="41">
        <v>13.655282164279594</v>
      </c>
      <c r="BN44" s="56">
        <v>6207000</v>
      </c>
      <c r="BO44" s="41">
        <v>37.991186191700329</v>
      </c>
      <c r="BP44" s="56">
        <v>1580000</v>
      </c>
      <c r="BQ44" s="41">
        <v>9.670706328804016</v>
      </c>
      <c r="BR44" s="39">
        <v>514000</v>
      </c>
      <c r="BS44" s="41">
        <v>3.1460399069653566</v>
      </c>
      <c r="BT44" s="39">
        <v>1910000</v>
      </c>
      <c r="BU44" s="41">
        <v>11.690537397478272</v>
      </c>
      <c r="BV44" s="56">
        <v>861000</v>
      </c>
      <c r="BW44" s="41">
        <v>5.2699228791773782</v>
      </c>
      <c r="BX44" s="40">
        <v>3035000</v>
      </c>
      <c r="BY44" s="41">
        <v>18.576325131595052</v>
      </c>
      <c r="BZ44" s="57">
        <v>299.98655371789698</v>
      </c>
      <c r="CA44" s="58">
        <v>212.45125722737663</v>
      </c>
      <c r="CB44" s="59">
        <v>622.02501008471154</v>
      </c>
      <c r="CC44" s="47">
        <v>69.113890009412401</v>
      </c>
      <c r="CD44" s="58">
        <v>194.16431356729865</v>
      </c>
      <c r="CE44" s="59">
        <v>212.58572004840661</v>
      </c>
      <c r="CF44" s="59">
        <v>408.09466182600511</v>
      </c>
      <c r="CG44" s="59">
        <v>62.659674599973108</v>
      </c>
      <c r="CH44" s="47">
        <v>115.77248890681726</v>
      </c>
      <c r="CI44" s="43">
        <v>1469</v>
      </c>
      <c r="CJ44" s="44">
        <v>357.29197733373098</v>
      </c>
      <c r="CK44" s="60">
        <v>23.577366777339741</v>
      </c>
      <c r="CL44" s="53">
        <v>94.50439999999999</v>
      </c>
      <c r="CM44" s="41">
        <v>2.1643082835512168</v>
      </c>
      <c r="CN44" s="53">
        <v>935</v>
      </c>
      <c r="CO44" s="41">
        <v>21.413058493788519</v>
      </c>
      <c r="CP44" s="54">
        <v>3336.9900000000002</v>
      </c>
      <c r="CQ44" s="41">
        <v>76.422633222660281</v>
      </c>
      <c r="CR44" s="43">
        <v>3201</v>
      </c>
      <c r="CS44" s="52">
        <v>36.644798500468603</v>
      </c>
      <c r="CT44" s="41">
        <v>172.57000000000002</v>
      </c>
      <c r="CU44" s="41">
        <v>23.204249025144549</v>
      </c>
      <c r="CV44" s="52">
        <v>1137</v>
      </c>
      <c r="CW44" s="38">
        <v>1</v>
      </c>
      <c r="CX44" s="38">
        <v>4</v>
      </c>
      <c r="CY44" s="51">
        <v>1</v>
      </c>
      <c r="CZ44" s="61">
        <v>6.782439155573484</v>
      </c>
      <c r="DA44" s="39">
        <v>4748000</v>
      </c>
      <c r="DB44" s="39">
        <v>4748000</v>
      </c>
      <c r="DC44" s="39">
        <v>2259000</v>
      </c>
      <c r="DD44" s="39">
        <v>3742000</v>
      </c>
      <c r="DE44" s="39">
        <v>2212000</v>
      </c>
      <c r="DF44" s="62">
        <v>2300000</v>
      </c>
      <c r="DG44" s="41">
        <v>96.17</v>
      </c>
      <c r="DH44" s="41">
        <v>36.1</v>
      </c>
      <c r="DI44" s="41">
        <v>0.77</v>
      </c>
      <c r="DJ44" s="37" t="s">
        <v>390</v>
      </c>
      <c r="DK44" s="40">
        <v>38000</v>
      </c>
      <c r="DL44" s="40">
        <v>98000</v>
      </c>
      <c r="DM44" s="40">
        <v>0</v>
      </c>
      <c r="DN44" s="40">
        <v>15184</v>
      </c>
      <c r="DO44" s="40">
        <v>9324</v>
      </c>
      <c r="DP44" s="40">
        <v>223108</v>
      </c>
      <c r="DQ44" s="64">
        <v>0</v>
      </c>
      <c r="DR44" s="40">
        <v>0</v>
      </c>
      <c r="DS44" s="65">
        <v>0</v>
      </c>
      <c r="DT44" s="38">
        <v>7</v>
      </c>
      <c r="DU44" s="66">
        <v>1062.4285714285713</v>
      </c>
      <c r="DV44" s="41">
        <v>28.571428571428569</v>
      </c>
      <c r="DW44" s="41">
        <v>71.428571428571431</v>
      </c>
      <c r="DX44" s="41">
        <v>0</v>
      </c>
      <c r="DY44" s="41">
        <v>0</v>
      </c>
      <c r="DZ44" s="41">
        <v>0</v>
      </c>
      <c r="EA44" s="41">
        <v>57.142857142857139</v>
      </c>
      <c r="EB44" s="41">
        <v>42.857142857142854</v>
      </c>
      <c r="EC44" s="40">
        <v>71.88</v>
      </c>
      <c r="ED44" s="184">
        <v>103.46410684474124</v>
      </c>
    </row>
    <row r="45" spans="1:134" s="13" customFormat="1">
      <c r="A45" s="156" t="s">
        <v>193</v>
      </c>
      <c r="B45" s="285">
        <v>2014</v>
      </c>
      <c r="C45" s="259">
        <v>4</v>
      </c>
      <c r="D45" s="80" t="s">
        <v>342</v>
      </c>
      <c r="E45" s="56">
        <v>3425.7</v>
      </c>
      <c r="F45" s="56">
        <v>41573</v>
      </c>
      <c r="G45" s="82">
        <v>4.9134406702669962</v>
      </c>
      <c r="H45" s="179">
        <v>12.1</v>
      </c>
      <c r="I45" s="56">
        <v>20190</v>
      </c>
      <c r="J45" s="56">
        <v>48.565174512303663</v>
      </c>
      <c r="K45" s="56">
        <v>21383</v>
      </c>
      <c r="L45" s="84">
        <v>51.434825487696344</v>
      </c>
      <c r="M45" s="160">
        <v>29.14151011473793</v>
      </c>
      <c r="N45" s="160">
        <v>50.843095278185359</v>
      </c>
      <c r="O45" s="160">
        <v>20.015394607076708</v>
      </c>
      <c r="P45" s="160">
        <v>42.587737233300459</v>
      </c>
      <c r="Q45" s="160">
        <v>37.396868159622834</v>
      </c>
      <c r="R45" s="160">
        <v>20.015394607076708</v>
      </c>
      <c r="S45" s="83">
        <v>12.845289631003917</v>
      </c>
      <c r="T45" s="83">
        <v>3</v>
      </c>
      <c r="U45" s="38">
        <v>83</v>
      </c>
      <c r="V45" s="41">
        <v>3.7</v>
      </c>
      <c r="W45" s="40">
        <v>46001</v>
      </c>
      <c r="X45" s="41">
        <v>2.6</v>
      </c>
      <c r="Y45" s="42" t="s">
        <v>350</v>
      </c>
      <c r="Z45" s="43">
        <v>3674</v>
      </c>
      <c r="AA45" s="45">
        <v>2</v>
      </c>
      <c r="AB45" s="63">
        <v>623</v>
      </c>
      <c r="AC45" s="63">
        <v>155545.54399999999</v>
      </c>
      <c r="AD45" s="43">
        <v>38</v>
      </c>
      <c r="AE45" s="44">
        <v>0.79</v>
      </c>
      <c r="AF45" s="44">
        <v>3.4657</v>
      </c>
      <c r="AG45" s="41">
        <v>61.14</v>
      </c>
      <c r="AH45" s="41">
        <v>38.86</v>
      </c>
      <c r="AI45" s="44">
        <v>4.13</v>
      </c>
      <c r="AJ45" s="41">
        <v>5.0399000000000003</v>
      </c>
      <c r="AK45" s="41">
        <v>6.6260166678366916</v>
      </c>
      <c r="AL45" s="41">
        <v>16.0077</v>
      </c>
      <c r="AM45" s="39">
        <v>89832</v>
      </c>
      <c r="AN45" s="39">
        <v>93310</v>
      </c>
      <c r="AO45" s="40">
        <v>98927</v>
      </c>
      <c r="AP45" s="40">
        <v>141980</v>
      </c>
      <c r="AQ45" s="39">
        <v>13370000</v>
      </c>
      <c r="AR45" s="44">
        <v>907.17872167186863</v>
      </c>
      <c r="AS45" s="39">
        <v>14738</v>
      </c>
      <c r="AT45" s="46">
        <v>14050000</v>
      </c>
      <c r="AU45" s="50">
        <v>940.86921583071046</v>
      </c>
      <c r="AV45" s="39">
        <v>14933</v>
      </c>
      <c r="AW45" s="46">
        <v>14512000</v>
      </c>
      <c r="AX45" s="47">
        <v>946.33192044343002</v>
      </c>
      <c r="AY45" s="39">
        <v>15335</v>
      </c>
      <c r="AZ45" s="41">
        <v>69</v>
      </c>
      <c r="BA45" s="41">
        <v>15.454841865014673</v>
      </c>
      <c r="BB45" s="46">
        <v>1913000</v>
      </c>
      <c r="BC45" s="48">
        <v>2876.6917293233082</v>
      </c>
      <c r="BD45" s="40">
        <v>665</v>
      </c>
      <c r="BE45" s="46">
        <v>7192000</v>
      </c>
      <c r="BF45" s="44">
        <v>5036.4145658263305</v>
      </c>
      <c r="BG45" s="40">
        <v>1428</v>
      </c>
      <c r="BH45" s="49" t="s">
        <v>382</v>
      </c>
      <c r="BI45" s="49" t="s">
        <v>382</v>
      </c>
      <c r="BJ45" s="213">
        <v>0</v>
      </c>
      <c r="BK45" s="47">
        <v>84.660408265232675</v>
      </c>
      <c r="BL45" s="55">
        <v>675000</v>
      </c>
      <c r="BM45" s="41">
        <v>0.68232130763087928</v>
      </c>
      <c r="BN45" s="56">
        <v>27915000</v>
      </c>
      <c r="BO45" s="41">
        <v>28.217776744468143</v>
      </c>
      <c r="BP45" s="56">
        <v>9683000</v>
      </c>
      <c r="BQ45" s="41">
        <v>9.7880255137626726</v>
      </c>
      <c r="BR45" s="39">
        <v>7376000</v>
      </c>
      <c r="BS45" s="41">
        <v>7.4560029112375785</v>
      </c>
      <c r="BT45" s="39">
        <v>19425000</v>
      </c>
      <c r="BU45" s="41">
        <v>19.635690964044194</v>
      </c>
      <c r="BV45" s="56">
        <v>18557000</v>
      </c>
      <c r="BW45" s="41">
        <v>18.75827630474997</v>
      </c>
      <c r="BX45" s="40">
        <v>15296000</v>
      </c>
      <c r="BY45" s="41">
        <v>15.461906254106564</v>
      </c>
      <c r="BZ45" s="57">
        <v>16.236499651215933</v>
      </c>
      <c r="CA45" s="58">
        <v>232.91559425588724</v>
      </c>
      <c r="CB45" s="59">
        <v>600.77454116854688</v>
      </c>
      <c r="CC45" s="47">
        <v>177.42284655906477</v>
      </c>
      <c r="CD45" s="58">
        <v>422.10088278449956</v>
      </c>
      <c r="CE45" s="59">
        <v>70.694922185072045</v>
      </c>
      <c r="CF45" s="59">
        <v>367.93110913333174</v>
      </c>
      <c r="CG45" s="59">
        <v>45.149496067158971</v>
      </c>
      <c r="CH45" s="47">
        <v>446.37144300387268</v>
      </c>
      <c r="CI45" s="43">
        <v>1538</v>
      </c>
      <c r="CJ45" s="44">
        <v>274.07890446690578</v>
      </c>
      <c r="CK45" s="60">
        <v>22.759543801789743</v>
      </c>
      <c r="CL45" s="53">
        <v>3448.44</v>
      </c>
      <c r="CM45" s="41">
        <v>19.827235281536112</v>
      </c>
      <c r="CN45" s="53">
        <v>508</v>
      </c>
      <c r="CO45" s="41">
        <v>2.9208092711545932</v>
      </c>
      <c r="CP45" s="54">
        <v>13434</v>
      </c>
      <c r="CQ45" s="41">
        <v>77.240456198210254</v>
      </c>
      <c r="CR45" s="43">
        <v>22694</v>
      </c>
      <c r="CS45" s="52">
        <v>55.983960518198636</v>
      </c>
      <c r="CT45" s="41">
        <v>1316.1699999999998</v>
      </c>
      <c r="CU45" s="41">
        <v>31.659249993986478</v>
      </c>
      <c r="CV45" s="52">
        <v>841.74</v>
      </c>
      <c r="CW45" s="38">
        <v>1</v>
      </c>
      <c r="CX45" s="38">
        <v>3</v>
      </c>
      <c r="CY45" s="51">
        <v>1</v>
      </c>
      <c r="CZ45" s="61">
        <v>4.8902893705048953</v>
      </c>
      <c r="DA45" s="39">
        <v>5955000</v>
      </c>
      <c r="DB45" s="39">
        <v>6956000</v>
      </c>
      <c r="DC45" s="39">
        <v>6576000</v>
      </c>
      <c r="DD45" s="39">
        <v>7230000</v>
      </c>
      <c r="DE45" s="39">
        <v>6963000</v>
      </c>
      <c r="DF45" s="62">
        <v>7183000</v>
      </c>
      <c r="DG45" s="41">
        <v>96.94</v>
      </c>
      <c r="DH45" s="41">
        <v>100.47</v>
      </c>
      <c r="DI45" s="41">
        <v>0.95</v>
      </c>
      <c r="DJ45" s="37" t="s">
        <v>390</v>
      </c>
      <c r="DK45" s="40">
        <v>121000</v>
      </c>
      <c r="DL45" s="40">
        <v>237000</v>
      </c>
      <c r="DM45" s="40">
        <v>157</v>
      </c>
      <c r="DN45" s="40">
        <v>25990</v>
      </c>
      <c r="DO45" s="40">
        <v>68143</v>
      </c>
      <c r="DP45" s="40">
        <v>298485</v>
      </c>
      <c r="DQ45" s="64">
        <v>1</v>
      </c>
      <c r="DR45" s="40">
        <v>6435</v>
      </c>
      <c r="DS45" s="65">
        <v>0</v>
      </c>
      <c r="DT45" s="38">
        <v>11</v>
      </c>
      <c r="DU45" s="66">
        <v>3779.3636363636365</v>
      </c>
      <c r="DV45" s="41">
        <v>18.181818181818183</v>
      </c>
      <c r="DW45" s="41">
        <v>81.818181818181827</v>
      </c>
      <c r="DX45" s="41">
        <v>9.0909090909090917</v>
      </c>
      <c r="DY45" s="41">
        <v>0</v>
      </c>
      <c r="DZ45" s="41">
        <v>0</v>
      </c>
      <c r="EA45" s="41">
        <v>72.727272727272734</v>
      </c>
      <c r="EB45" s="41">
        <v>27.27272727272727</v>
      </c>
      <c r="EC45" s="40">
        <v>321</v>
      </c>
      <c r="ED45" s="184">
        <v>129.51090342679129</v>
      </c>
    </row>
    <row r="46" spans="1:134" s="13" customFormat="1">
      <c r="A46" s="156" t="s">
        <v>194</v>
      </c>
      <c r="B46" s="285">
        <v>2014</v>
      </c>
      <c r="C46" s="259">
        <v>10</v>
      </c>
      <c r="D46" s="80" t="s">
        <v>345</v>
      </c>
      <c r="E46" s="56">
        <v>2250</v>
      </c>
      <c r="F46" s="56">
        <v>9108</v>
      </c>
      <c r="G46" s="82">
        <v>8.235294117647058</v>
      </c>
      <c r="H46" s="179">
        <v>4</v>
      </c>
      <c r="I46" s="56">
        <v>4594</v>
      </c>
      <c r="J46" s="56">
        <v>50.439174352217833</v>
      </c>
      <c r="K46" s="56">
        <v>4514</v>
      </c>
      <c r="L46" s="84">
        <v>49.560825647782167</v>
      </c>
      <c r="M46" s="160">
        <v>24.75845410628019</v>
      </c>
      <c r="N46" s="160">
        <v>48.616600790513836</v>
      </c>
      <c r="O46" s="160">
        <v>26.62494510320597</v>
      </c>
      <c r="P46" s="160">
        <v>33.498023715415023</v>
      </c>
      <c r="Q46" s="160">
        <v>39.87703118137901</v>
      </c>
      <c r="R46" s="160">
        <v>26.62494510320597</v>
      </c>
      <c r="S46" s="83">
        <v>3.2215410506070441</v>
      </c>
      <c r="T46" s="83">
        <v>1.1000000000000001</v>
      </c>
      <c r="U46" s="38">
        <v>97</v>
      </c>
      <c r="V46" s="41">
        <v>7</v>
      </c>
      <c r="W46" s="40">
        <v>45987</v>
      </c>
      <c r="X46" s="41">
        <v>2.5</v>
      </c>
      <c r="Y46" s="42" t="s">
        <v>351</v>
      </c>
      <c r="Z46" s="43">
        <v>986</v>
      </c>
      <c r="AA46" s="45">
        <v>7</v>
      </c>
      <c r="AB46" s="63">
        <v>177</v>
      </c>
      <c r="AC46" s="63">
        <v>25549.952000000001</v>
      </c>
      <c r="AD46" s="43">
        <v>72</v>
      </c>
      <c r="AE46" s="44">
        <v>-28.79</v>
      </c>
      <c r="AF46" s="44">
        <v>4.7679</v>
      </c>
      <c r="AG46" s="41">
        <v>36</v>
      </c>
      <c r="AH46" s="41">
        <v>64</v>
      </c>
      <c r="AI46" s="44">
        <v>4.24</v>
      </c>
      <c r="AJ46" s="41">
        <v>9.1912000000000003</v>
      </c>
      <c r="AK46" s="41">
        <v>1.7954960438222762</v>
      </c>
      <c r="AL46" s="41">
        <v>9.9019000000000013</v>
      </c>
      <c r="AM46" s="39">
        <v>13138</v>
      </c>
      <c r="AN46" s="39">
        <v>14223</v>
      </c>
      <c r="AO46" s="40">
        <v>19456</v>
      </c>
      <c r="AP46" s="40">
        <v>22992</v>
      </c>
      <c r="AQ46" s="39">
        <v>2368000</v>
      </c>
      <c r="AR46" s="44">
        <v>710.89762833983787</v>
      </c>
      <c r="AS46" s="39">
        <v>3331</v>
      </c>
      <c r="AT46" s="46">
        <v>2530000</v>
      </c>
      <c r="AU46" s="50">
        <v>744.99411071849238</v>
      </c>
      <c r="AV46" s="39">
        <v>3396</v>
      </c>
      <c r="AW46" s="46">
        <v>2645000</v>
      </c>
      <c r="AX46" s="47">
        <v>768.00232288037171</v>
      </c>
      <c r="AY46" s="39">
        <v>3444</v>
      </c>
      <c r="AZ46" s="41">
        <v>68.100000000000009</v>
      </c>
      <c r="BA46" s="41">
        <v>22.531939605110338</v>
      </c>
      <c r="BB46" s="46">
        <v>2064000</v>
      </c>
      <c r="BC46" s="48">
        <v>2108.2737487231871</v>
      </c>
      <c r="BD46" s="40">
        <v>979</v>
      </c>
      <c r="BE46" s="46">
        <v>313000</v>
      </c>
      <c r="BF46" s="44">
        <v>855.19125683060111</v>
      </c>
      <c r="BG46" s="40">
        <v>366</v>
      </c>
      <c r="BH46" s="49" t="s">
        <v>382</v>
      </c>
      <c r="BI46" s="49" t="s">
        <v>382</v>
      </c>
      <c r="BJ46" s="213">
        <v>0</v>
      </c>
      <c r="BK46" s="47">
        <v>268.60226483472718</v>
      </c>
      <c r="BL46" s="55">
        <v>2323000</v>
      </c>
      <c r="BM46" s="41">
        <v>11.939761513157894</v>
      </c>
      <c r="BN46" s="56">
        <v>515000</v>
      </c>
      <c r="BO46" s="41">
        <v>2.646998355263158</v>
      </c>
      <c r="BP46" s="56">
        <v>1856000</v>
      </c>
      <c r="BQ46" s="41">
        <v>9.5394736842105274</v>
      </c>
      <c r="BR46" s="39">
        <v>1543000</v>
      </c>
      <c r="BS46" s="41">
        <v>7.9307154605263168</v>
      </c>
      <c r="BT46" s="39">
        <v>1526000</v>
      </c>
      <c r="BU46" s="41">
        <v>7.8433388157894735</v>
      </c>
      <c r="BV46" s="56">
        <v>10919000</v>
      </c>
      <c r="BW46" s="41">
        <v>56.121504934210535</v>
      </c>
      <c r="BX46" s="40">
        <v>774000</v>
      </c>
      <c r="BY46" s="41">
        <v>3.9782072368421053</v>
      </c>
      <c r="BZ46" s="57">
        <v>255.05050505050505</v>
      </c>
      <c r="CA46" s="58">
        <v>203.77689942907335</v>
      </c>
      <c r="CB46" s="43" t="s">
        <v>382</v>
      </c>
      <c r="CC46" s="47">
        <v>169.41150636802811</v>
      </c>
      <c r="CD46" s="58">
        <v>145.80588493631973</v>
      </c>
      <c r="CE46" s="59">
        <v>56.543697848045674</v>
      </c>
      <c r="CF46" s="59">
        <v>84.980237154150203</v>
      </c>
      <c r="CG46" s="59">
        <v>21.739130434782609</v>
      </c>
      <c r="CH46" s="47">
        <v>1198.8361879666227</v>
      </c>
      <c r="CI46" s="43" t="s">
        <v>382</v>
      </c>
      <c r="CJ46" s="44">
        <v>299.36120789779324</v>
      </c>
      <c r="CK46" s="60">
        <v>36.358719769247841</v>
      </c>
      <c r="CL46" s="53">
        <v>1538.52</v>
      </c>
      <c r="CM46" s="41">
        <v>26.668931661859329</v>
      </c>
      <c r="CN46" s="53">
        <v>480</v>
      </c>
      <c r="CO46" s="41">
        <v>8.3203905036609722</v>
      </c>
      <c r="CP46" s="54">
        <v>3671.44</v>
      </c>
      <c r="CQ46" s="41">
        <v>63.641280230752159</v>
      </c>
      <c r="CR46" s="43">
        <v>5630</v>
      </c>
      <c r="CS46" s="52">
        <v>60.284191829484904</v>
      </c>
      <c r="CT46" s="41">
        <v>724.22</v>
      </c>
      <c r="CU46" s="41">
        <v>79.514712340799292</v>
      </c>
      <c r="CV46" s="52">
        <v>71.41</v>
      </c>
      <c r="CW46" s="38">
        <v>2</v>
      </c>
      <c r="CX46" s="38">
        <v>7</v>
      </c>
      <c r="CY46" s="51">
        <v>1</v>
      </c>
      <c r="CZ46" s="61">
        <v>3.293697848045674</v>
      </c>
      <c r="DA46" s="39">
        <v>2619000</v>
      </c>
      <c r="DB46" s="39">
        <v>2370000</v>
      </c>
      <c r="DC46" s="39">
        <v>2852000</v>
      </c>
      <c r="DD46" s="39">
        <v>5686000</v>
      </c>
      <c r="DE46" s="39">
        <v>2803000</v>
      </c>
      <c r="DF46" s="62">
        <v>5662000</v>
      </c>
      <c r="DG46" s="41">
        <v>49.51</v>
      </c>
      <c r="DH46" s="41">
        <v>175.89</v>
      </c>
      <c r="DI46" s="41">
        <v>12.53</v>
      </c>
      <c r="DJ46" s="37" t="s">
        <v>390</v>
      </c>
      <c r="DK46" s="40">
        <v>14000</v>
      </c>
      <c r="DL46" s="40">
        <v>92000</v>
      </c>
      <c r="DM46" s="40">
        <v>0</v>
      </c>
      <c r="DN46" s="40">
        <v>8478</v>
      </c>
      <c r="DO46" s="40">
        <v>0</v>
      </c>
      <c r="DP46" s="40">
        <v>199200</v>
      </c>
      <c r="DQ46" s="64">
        <v>1</v>
      </c>
      <c r="DR46" s="40">
        <v>400</v>
      </c>
      <c r="DS46" s="65">
        <v>0</v>
      </c>
      <c r="DT46" s="38">
        <v>9</v>
      </c>
      <c r="DU46" s="66">
        <v>1012</v>
      </c>
      <c r="DV46" s="41">
        <v>33.333333333333329</v>
      </c>
      <c r="DW46" s="41">
        <v>66.666666666666657</v>
      </c>
      <c r="DX46" s="41">
        <v>0</v>
      </c>
      <c r="DY46" s="41">
        <v>0</v>
      </c>
      <c r="DZ46" s="41">
        <v>0</v>
      </c>
      <c r="EA46" s="41">
        <v>55.555555555555557</v>
      </c>
      <c r="EB46" s="41">
        <v>44.444444444444443</v>
      </c>
      <c r="EC46" s="40">
        <v>65</v>
      </c>
      <c r="ED46" s="184">
        <v>140.12307692307692</v>
      </c>
    </row>
    <row r="47" spans="1:134" s="13" customFormat="1">
      <c r="A47" s="156" t="s">
        <v>195</v>
      </c>
      <c r="B47" s="285">
        <v>2014</v>
      </c>
      <c r="C47" s="259">
        <v>4</v>
      </c>
      <c r="D47" s="80" t="s">
        <v>342</v>
      </c>
      <c r="E47" s="56">
        <v>3428.2</v>
      </c>
      <c r="F47" s="56">
        <v>37643</v>
      </c>
      <c r="G47" s="82">
        <v>3.2389885360100927</v>
      </c>
      <c r="H47" s="179">
        <v>11</v>
      </c>
      <c r="I47" s="56">
        <v>18616</v>
      </c>
      <c r="J47" s="56">
        <v>49.454081768190633</v>
      </c>
      <c r="K47" s="56">
        <v>19027</v>
      </c>
      <c r="L47" s="84">
        <v>50.545918231809374</v>
      </c>
      <c r="M47" s="160">
        <v>21.589671386446351</v>
      </c>
      <c r="N47" s="160">
        <v>41.155062030125123</v>
      </c>
      <c r="O47" s="160">
        <v>37.255266583428522</v>
      </c>
      <c r="P47" s="160">
        <v>28.244295088064181</v>
      </c>
      <c r="Q47" s="160">
        <v>34.500438328507293</v>
      </c>
      <c r="R47" s="160">
        <v>37.255266583428522</v>
      </c>
      <c r="S47" s="83">
        <v>5.0727476217123675</v>
      </c>
      <c r="T47" s="83">
        <v>3.7</v>
      </c>
      <c r="U47" s="38">
        <v>53</v>
      </c>
      <c r="V47" s="41">
        <v>6.5</v>
      </c>
      <c r="W47" s="40">
        <v>36934</v>
      </c>
      <c r="X47" s="41">
        <v>2.2999999999999998</v>
      </c>
      <c r="Y47" s="42" t="s">
        <v>139</v>
      </c>
      <c r="Z47" s="43">
        <v>2834</v>
      </c>
      <c r="AA47" s="45">
        <v>0</v>
      </c>
      <c r="AB47" s="63">
        <v>626</v>
      </c>
      <c r="AC47" s="63">
        <v>97771.303</v>
      </c>
      <c r="AD47" s="43">
        <v>47</v>
      </c>
      <c r="AE47" s="44">
        <v>4.6900000000000004</v>
      </c>
      <c r="AF47" s="44">
        <v>3.0895999999999999</v>
      </c>
      <c r="AG47" s="41">
        <v>77.47</v>
      </c>
      <c r="AH47" s="41">
        <v>22.53</v>
      </c>
      <c r="AI47" s="44">
        <v>3.07</v>
      </c>
      <c r="AJ47" s="41">
        <v>2.1978</v>
      </c>
      <c r="AK47" s="41">
        <v>16.919886260328493</v>
      </c>
      <c r="AL47" s="41">
        <v>12.239600000000001</v>
      </c>
      <c r="AM47" s="39">
        <v>94690.785439999992</v>
      </c>
      <c r="AN47" s="39">
        <v>97019.895080000002</v>
      </c>
      <c r="AO47" s="40">
        <v>97421.882299999997</v>
      </c>
      <c r="AP47" s="40">
        <v>105457</v>
      </c>
      <c r="AQ47" s="39">
        <v>17074000</v>
      </c>
      <c r="AR47" s="44">
        <v>736.77397082937773</v>
      </c>
      <c r="AS47" s="39">
        <v>23174</v>
      </c>
      <c r="AT47" s="46">
        <v>18533000</v>
      </c>
      <c r="AU47" s="50">
        <v>795.54429945054949</v>
      </c>
      <c r="AV47" s="39">
        <v>23296</v>
      </c>
      <c r="AW47" s="46">
        <v>19048000</v>
      </c>
      <c r="AX47" s="47">
        <v>816.35451935027641</v>
      </c>
      <c r="AY47" s="39">
        <v>23333</v>
      </c>
      <c r="AZ47" s="41">
        <v>66.900000000000006</v>
      </c>
      <c r="BA47" s="41">
        <v>21.304590065572366</v>
      </c>
      <c r="BB47" s="46">
        <v>362000</v>
      </c>
      <c r="BC47" s="48">
        <v>1274.6478873239437</v>
      </c>
      <c r="BD47" s="40">
        <v>284</v>
      </c>
      <c r="BE47" s="46">
        <v>3564000</v>
      </c>
      <c r="BF47" s="44">
        <v>2907.0146818923326</v>
      </c>
      <c r="BG47" s="40">
        <v>1226</v>
      </c>
      <c r="BH47" s="49" t="s">
        <v>382</v>
      </c>
      <c r="BI47" s="49" t="s">
        <v>382</v>
      </c>
      <c r="BJ47" s="213">
        <v>0</v>
      </c>
      <c r="BK47" s="47">
        <v>214.68077087141987</v>
      </c>
      <c r="BL47" s="55">
        <v>1011000</v>
      </c>
      <c r="BM47" s="41">
        <v>1.0363066073515241</v>
      </c>
      <c r="BN47" s="56">
        <v>35951000</v>
      </c>
      <c r="BO47" s="41">
        <v>36.850898952418049</v>
      </c>
      <c r="BP47" s="56">
        <v>11918000</v>
      </c>
      <c r="BQ47" s="41">
        <v>12.216322597839234</v>
      </c>
      <c r="BR47" s="39">
        <v>12528000</v>
      </c>
      <c r="BS47" s="41">
        <v>12.84159166854589</v>
      </c>
      <c r="BT47" s="39">
        <v>9816000</v>
      </c>
      <c r="BU47" s="41">
        <v>10.061706882059902</v>
      </c>
      <c r="BV47" s="56">
        <v>17100000</v>
      </c>
      <c r="BW47" s="41">
        <v>17.528034605055453</v>
      </c>
      <c r="BX47" s="40">
        <v>9234000</v>
      </c>
      <c r="BY47" s="41">
        <v>9.4651386867299454</v>
      </c>
      <c r="BZ47" s="57">
        <v>26.857583083176156</v>
      </c>
      <c r="CA47" s="58">
        <v>316.60600908535451</v>
      </c>
      <c r="CB47" s="59">
        <v>868.44831708418565</v>
      </c>
      <c r="CC47" s="47">
        <v>332.81088117312646</v>
      </c>
      <c r="CD47" s="58">
        <v>214.46218420423452</v>
      </c>
      <c r="CE47" s="59">
        <v>86.603086895305907</v>
      </c>
      <c r="CF47" s="59">
        <v>245.30457189915788</v>
      </c>
      <c r="CG47" s="59">
        <v>46.30342958850251</v>
      </c>
      <c r="CH47" s="47">
        <v>454.26772573918123</v>
      </c>
      <c r="CI47" s="43">
        <v>1533</v>
      </c>
      <c r="CJ47" s="44">
        <v>208.4601208588694</v>
      </c>
      <c r="CK47" s="60">
        <v>56.666821944922951</v>
      </c>
      <c r="CL47" s="53">
        <v>6356.6280000000006</v>
      </c>
      <c r="CM47" s="41">
        <v>29.790124096695301</v>
      </c>
      <c r="CN47" s="53">
        <v>5734.96</v>
      </c>
      <c r="CO47" s="41">
        <v>26.876697848227661</v>
      </c>
      <c r="CP47" s="54">
        <v>9246.4500000000007</v>
      </c>
      <c r="CQ47" s="41">
        <v>43.333178055077042</v>
      </c>
      <c r="CR47" s="43">
        <v>17735</v>
      </c>
      <c r="CS47" s="52">
        <v>52.511981956583028</v>
      </c>
      <c r="CT47" s="41">
        <v>1006.202</v>
      </c>
      <c r="CU47" s="41">
        <v>26.7301224663284</v>
      </c>
      <c r="CV47" s="52">
        <v>1550</v>
      </c>
      <c r="CW47" s="38">
        <v>3</v>
      </c>
      <c r="CX47" s="38">
        <v>15</v>
      </c>
      <c r="CY47" s="51">
        <v>3</v>
      </c>
      <c r="CZ47" s="61">
        <v>5.9</v>
      </c>
      <c r="DA47" s="39">
        <v>7680000</v>
      </c>
      <c r="DB47" s="39">
        <v>12271000</v>
      </c>
      <c r="DC47" s="39">
        <v>10373000</v>
      </c>
      <c r="DD47" s="39">
        <v>17777000</v>
      </c>
      <c r="DE47" s="39">
        <v>7082000</v>
      </c>
      <c r="DF47" s="62">
        <v>7082000</v>
      </c>
      <c r="DG47" s="41">
        <v>100</v>
      </c>
      <c r="DH47" s="41">
        <v>44.56</v>
      </c>
      <c r="DI47" s="41">
        <v>5.0599999999999996</v>
      </c>
      <c r="DJ47" s="37" t="s">
        <v>390</v>
      </c>
      <c r="DK47" s="40">
        <v>123000</v>
      </c>
      <c r="DL47" s="40">
        <v>195000</v>
      </c>
      <c r="DM47" s="40">
        <v>0</v>
      </c>
      <c r="DN47" s="40">
        <v>42360</v>
      </c>
      <c r="DO47" s="40">
        <v>36225</v>
      </c>
      <c r="DP47" s="40">
        <v>276750</v>
      </c>
      <c r="DQ47" s="64">
        <v>22</v>
      </c>
      <c r="DR47" s="40">
        <v>22770</v>
      </c>
      <c r="DS47" s="65">
        <v>1</v>
      </c>
      <c r="DT47" s="38">
        <v>9</v>
      </c>
      <c r="DU47" s="66">
        <v>4182.5555555555557</v>
      </c>
      <c r="DV47" s="41">
        <v>33.333333333333329</v>
      </c>
      <c r="DW47" s="41">
        <v>66.666666666666657</v>
      </c>
      <c r="DX47" s="41">
        <v>0</v>
      </c>
      <c r="DY47" s="41">
        <v>0</v>
      </c>
      <c r="DZ47" s="41">
        <v>0</v>
      </c>
      <c r="EA47" s="41">
        <v>66.666666666666657</v>
      </c>
      <c r="EB47" s="41">
        <v>33.333333333333329</v>
      </c>
      <c r="EC47" s="40">
        <v>461</v>
      </c>
      <c r="ED47" s="184">
        <v>81.655097613882859</v>
      </c>
    </row>
    <row r="48" spans="1:134" s="13" customFormat="1">
      <c r="A48" s="156" t="s">
        <v>196</v>
      </c>
      <c r="B48" s="285">
        <v>2014</v>
      </c>
      <c r="C48" s="259">
        <v>3</v>
      </c>
      <c r="D48" s="80" t="s">
        <v>343</v>
      </c>
      <c r="E48" s="56">
        <v>101.5</v>
      </c>
      <c r="F48" s="56">
        <v>203109</v>
      </c>
      <c r="G48" s="82">
        <v>4.9349803933724949</v>
      </c>
      <c r="H48" s="179">
        <v>2000.6</v>
      </c>
      <c r="I48" s="56">
        <v>100523</v>
      </c>
      <c r="J48" s="56">
        <v>49.492144612006364</v>
      </c>
      <c r="K48" s="56">
        <v>102586</v>
      </c>
      <c r="L48" s="84">
        <v>50.507855387993636</v>
      </c>
      <c r="M48" s="160">
        <v>26.852084348797938</v>
      </c>
      <c r="N48" s="160">
        <v>54.880876770601006</v>
      </c>
      <c r="O48" s="160">
        <v>18.267038880601056</v>
      </c>
      <c r="P48" s="160">
        <v>41.898192596093722</v>
      </c>
      <c r="Q48" s="160">
        <v>39.834768523305222</v>
      </c>
      <c r="R48" s="160">
        <v>18.267038880601056</v>
      </c>
      <c r="S48" s="83">
        <v>0.70247383697707244</v>
      </c>
      <c r="T48" s="83">
        <v>69.900000000000006</v>
      </c>
      <c r="U48" s="38">
        <v>5</v>
      </c>
      <c r="V48" s="41">
        <v>8.6</v>
      </c>
      <c r="W48" s="40">
        <v>41691</v>
      </c>
      <c r="X48" s="41">
        <v>3.2</v>
      </c>
      <c r="Y48" s="42" t="s">
        <v>95</v>
      </c>
      <c r="Z48" s="43">
        <v>13831</v>
      </c>
      <c r="AA48" s="45">
        <v>17</v>
      </c>
      <c r="AB48" s="63">
        <v>715</v>
      </c>
      <c r="AC48" s="63">
        <v>336251.24900000001</v>
      </c>
      <c r="AD48" s="43">
        <v>114</v>
      </c>
      <c r="AE48" s="44">
        <v>2.75</v>
      </c>
      <c r="AF48" s="44">
        <v>2.5655999999999999</v>
      </c>
      <c r="AG48" s="41">
        <v>78.77</v>
      </c>
      <c r="AH48" s="41">
        <v>21.230000000000004</v>
      </c>
      <c r="AI48" s="44">
        <v>2.95</v>
      </c>
      <c r="AJ48" s="41">
        <v>93.817399999999992</v>
      </c>
      <c r="AK48" s="41">
        <v>0.23697753556277323</v>
      </c>
      <c r="AL48" s="41">
        <v>1.8194999999999999</v>
      </c>
      <c r="AM48" s="39">
        <v>143437</v>
      </c>
      <c r="AN48" s="39">
        <v>149544</v>
      </c>
      <c r="AO48" s="40">
        <v>150615</v>
      </c>
      <c r="AP48" s="40">
        <v>172473</v>
      </c>
      <c r="AQ48" s="39">
        <v>38731000</v>
      </c>
      <c r="AR48" s="44">
        <v>679.72972972972968</v>
      </c>
      <c r="AS48" s="39">
        <v>56980</v>
      </c>
      <c r="AT48" s="46">
        <v>40318000</v>
      </c>
      <c r="AU48" s="50">
        <v>708.11598784621594</v>
      </c>
      <c r="AV48" s="39">
        <v>56937</v>
      </c>
      <c r="AW48" s="46">
        <v>42514000</v>
      </c>
      <c r="AX48" s="47">
        <v>744.47518649528945</v>
      </c>
      <c r="AY48" s="39">
        <v>57106</v>
      </c>
      <c r="AZ48" s="41">
        <v>67.600000000000009</v>
      </c>
      <c r="BA48" s="41">
        <v>22.202570658074457</v>
      </c>
      <c r="BB48" s="46">
        <v>207000</v>
      </c>
      <c r="BC48" s="48">
        <v>1952.8301886792453</v>
      </c>
      <c r="BD48" s="40">
        <v>106</v>
      </c>
      <c r="BE48" s="46">
        <v>30132000</v>
      </c>
      <c r="BF48" s="44">
        <v>7196.5607833771201</v>
      </c>
      <c r="BG48" s="40">
        <v>4187</v>
      </c>
      <c r="BH48" s="49" t="s">
        <v>382</v>
      </c>
      <c r="BI48" s="49" t="s">
        <v>382</v>
      </c>
      <c r="BJ48" s="213">
        <v>0</v>
      </c>
      <c r="BK48" s="47">
        <v>231.60187657337377</v>
      </c>
      <c r="BL48" s="55">
        <v>33440000</v>
      </c>
      <c r="BM48" s="41">
        <v>22.202303887395015</v>
      </c>
      <c r="BN48" s="56">
        <v>7390000</v>
      </c>
      <c r="BO48" s="41">
        <v>4.9065498124356806</v>
      </c>
      <c r="BP48" s="56">
        <v>32102000</v>
      </c>
      <c r="BQ48" s="41">
        <v>21.313946154101519</v>
      </c>
      <c r="BR48" s="39">
        <v>20920000</v>
      </c>
      <c r="BS48" s="41">
        <v>13.889718819506689</v>
      </c>
      <c r="BT48" s="39">
        <v>31782000</v>
      </c>
      <c r="BU48" s="41">
        <v>21.101483915944627</v>
      </c>
      <c r="BV48" s="56">
        <v>14315000</v>
      </c>
      <c r="BW48" s="41">
        <v>9.5043654350496301</v>
      </c>
      <c r="BX48" s="40">
        <v>10666000</v>
      </c>
      <c r="BY48" s="41">
        <v>7.0816319755668422</v>
      </c>
      <c r="BZ48" s="57">
        <v>164.64066092590679</v>
      </c>
      <c r="CA48" s="58">
        <v>158.05306510297427</v>
      </c>
      <c r="CB48" s="43" t="s">
        <v>382</v>
      </c>
      <c r="CC48" s="47">
        <v>102.99888237350389</v>
      </c>
      <c r="CD48" s="58">
        <v>117.84312856643477</v>
      </c>
      <c r="CE48" s="59">
        <v>36.384404433087653</v>
      </c>
      <c r="CF48" s="59">
        <v>52.513674923317033</v>
      </c>
      <c r="CG48" s="59">
        <v>38.634427819545174</v>
      </c>
      <c r="CH48" s="47">
        <v>70.479397761792924</v>
      </c>
      <c r="CI48" s="43" t="s">
        <v>382</v>
      </c>
      <c r="CJ48" s="44">
        <v>441.45974153328899</v>
      </c>
      <c r="CK48" s="60">
        <v>30.286883082823756</v>
      </c>
      <c r="CL48" s="53">
        <v>10439.189999999999</v>
      </c>
      <c r="CM48" s="41">
        <v>12.21665317542357</v>
      </c>
      <c r="CN48" s="53">
        <v>995.1</v>
      </c>
      <c r="CO48" s="41">
        <v>1.1645339892141053</v>
      </c>
      <c r="CP48" s="54">
        <v>59570.2</v>
      </c>
      <c r="CQ48" s="41">
        <v>69.713116917176251</v>
      </c>
      <c r="CR48" s="43">
        <v>34648</v>
      </c>
      <c r="CS48" s="52">
        <v>73.903255599168787</v>
      </c>
      <c r="CT48" s="41">
        <v>681.38999999999987</v>
      </c>
      <c r="CU48" s="41">
        <v>3.3547996396023803</v>
      </c>
      <c r="CV48" s="52">
        <v>952</v>
      </c>
      <c r="CW48" s="38">
        <v>3</v>
      </c>
      <c r="CX48" s="38">
        <v>23</v>
      </c>
      <c r="CY48" s="51">
        <v>5</v>
      </c>
      <c r="CZ48" s="61">
        <v>3.2104485768725168</v>
      </c>
      <c r="DA48" s="39">
        <v>22681000</v>
      </c>
      <c r="DB48" s="39">
        <v>26230000</v>
      </c>
      <c r="DC48" s="39">
        <v>26689000</v>
      </c>
      <c r="DD48" s="39">
        <v>28650000</v>
      </c>
      <c r="DE48" s="39">
        <v>28461000</v>
      </c>
      <c r="DF48" s="62">
        <v>29839000</v>
      </c>
      <c r="DG48" s="41">
        <v>95.38</v>
      </c>
      <c r="DH48" s="41">
        <v>66.89</v>
      </c>
      <c r="DI48" s="41">
        <v>1.87</v>
      </c>
      <c r="DJ48" s="37" t="s">
        <v>390</v>
      </c>
      <c r="DK48" s="40">
        <v>81000</v>
      </c>
      <c r="DL48" s="40">
        <v>357000</v>
      </c>
      <c r="DM48" s="40">
        <v>0</v>
      </c>
      <c r="DN48" s="40">
        <v>14039</v>
      </c>
      <c r="DO48" s="40">
        <v>0</v>
      </c>
      <c r="DP48" s="40">
        <v>342000</v>
      </c>
      <c r="DQ48" s="64">
        <v>1</v>
      </c>
      <c r="DR48" s="40">
        <v>0</v>
      </c>
      <c r="DS48" s="65">
        <v>0</v>
      </c>
      <c r="DT48" s="38">
        <v>13</v>
      </c>
      <c r="DU48" s="66">
        <v>15623.76923076923</v>
      </c>
      <c r="DV48" s="41">
        <v>15.384615384615385</v>
      </c>
      <c r="DW48" s="41">
        <v>84.615384615384613</v>
      </c>
      <c r="DX48" s="41">
        <v>0</v>
      </c>
      <c r="DY48" s="41">
        <v>53.846153846153847</v>
      </c>
      <c r="DZ48" s="41">
        <v>0</v>
      </c>
      <c r="EA48" s="41">
        <v>92.307692307692307</v>
      </c>
      <c r="EB48" s="41">
        <v>7.6923076923076925</v>
      </c>
      <c r="EC48" s="40">
        <v>725</v>
      </c>
      <c r="ED48" s="184">
        <v>280.1503448275862</v>
      </c>
    </row>
    <row r="49" spans="1:134" s="13" customFormat="1">
      <c r="A49" s="156" t="s">
        <v>197</v>
      </c>
      <c r="B49" s="285">
        <v>2014</v>
      </c>
      <c r="C49" s="259">
        <v>10</v>
      </c>
      <c r="D49" s="80" t="s">
        <v>345</v>
      </c>
      <c r="E49" s="56">
        <v>4718.1000000000004</v>
      </c>
      <c r="F49" s="56">
        <v>9759</v>
      </c>
      <c r="G49" s="82">
        <v>2.0602384438402006</v>
      </c>
      <c r="H49" s="179">
        <v>2.1</v>
      </c>
      <c r="I49" s="56">
        <v>4856</v>
      </c>
      <c r="J49" s="56">
        <v>49.759196638999896</v>
      </c>
      <c r="K49" s="56">
        <v>4903</v>
      </c>
      <c r="L49" s="84">
        <v>50.240803361000097</v>
      </c>
      <c r="M49" s="160">
        <v>27.564299620862791</v>
      </c>
      <c r="N49" s="160">
        <v>46.377702633466541</v>
      </c>
      <c r="O49" s="160">
        <v>26.057997745670665</v>
      </c>
      <c r="P49" s="160">
        <v>39.297059124910341</v>
      </c>
      <c r="Q49" s="160">
        <v>34.644943129418998</v>
      </c>
      <c r="R49" s="160">
        <v>26.057997745670665</v>
      </c>
      <c r="S49" s="83">
        <v>9.6183206106870234</v>
      </c>
      <c r="T49" s="83">
        <v>1.5</v>
      </c>
      <c r="U49" s="38">
        <v>44</v>
      </c>
      <c r="V49" s="41">
        <v>7.3</v>
      </c>
      <c r="W49" s="40">
        <v>40917</v>
      </c>
      <c r="X49" s="41">
        <v>2.4</v>
      </c>
      <c r="Y49" s="42" t="s">
        <v>351</v>
      </c>
      <c r="Z49" s="43">
        <v>1146</v>
      </c>
      <c r="AA49" s="45">
        <v>1</v>
      </c>
      <c r="AB49" s="67">
        <v>112</v>
      </c>
      <c r="AC49" s="63">
        <v>11562.32</v>
      </c>
      <c r="AD49" s="43">
        <v>44</v>
      </c>
      <c r="AE49" s="44">
        <v>-3.12</v>
      </c>
      <c r="AF49" s="44">
        <v>6.3260000000000005</v>
      </c>
      <c r="AG49" s="41">
        <v>78.75</v>
      </c>
      <c r="AH49" s="41">
        <v>21.25</v>
      </c>
      <c r="AI49" s="44">
        <v>7.35</v>
      </c>
      <c r="AJ49" s="41">
        <v>2.8338999999999999</v>
      </c>
      <c r="AK49" s="41">
        <v>5.1666813781740073</v>
      </c>
      <c r="AL49" s="41">
        <v>14.353900000000001</v>
      </c>
      <c r="AM49" s="39">
        <v>33287</v>
      </c>
      <c r="AN49" s="39">
        <v>33819</v>
      </c>
      <c r="AO49" s="40">
        <v>35047</v>
      </c>
      <c r="AP49" s="40">
        <v>34536</v>
      </c>
      <c r="AQ49" s="39">
        <v>2036000</v>
      </c>
      <c r="AR49" s="44">
        <v>622.05927283837457</v>
      </c>
      <c r="AS49" s="39">
        <v>3273</v>
      </c>
      <c r="AT49" s="46">
        <v>2342000</v>
      </c>
      <c r="AU49" s="50">
        <v>713.58927483241928</v>
      </c>
      <c r="AV49" s="39">
        <v>3282</v>
      </c>
      <c r="AW49" s="46">
        <v>2361000</v>
      </c>
      <c r="AX49" s="47">
        <v>716.10555050045491</v>
      </c>
      <c r="AY49" s="39">
        <v>3297</v>
      </c>
      <c r="AZ49" s="41">
        <v>60.3</v>
      </c>
      <c r="BA49" s="41">
        <v>25.872004852896573</v>
      </c>
      <c r="BB49" s="46">
        <v>3170000</v>
      </c>
      <c r="BC49" s="48">
        <v>2224.5614035087719</v>
      </c>
      <c r="BD49" s="40">
        <v>1425</v>
      </c>
      <c r="BE49" s="46">
        <v>1111000</v>
      </c>
      <c r="BF49" s="44">
        <v>2595.7943925233644</v>
      </c>
      <c r="BG49" s="40">
        <v>428</v>
      </c>
      <c r="BH49" s="49" t="s">
        <v>382</v>
      </c>
      <c r="BI49" s="49" t="s">
        <v>382</v>
      </c>
      <c r="BJ49" s="213">
        <v>0</v>
      </c>
      <c r="BK49" s="47">
        <v>110.15062195121951</v>
      </c>
      <c r="BL49" s="55">
        <v>4174000</v>
      </c>
      <c r="BM49" s="41">
        <v>11.909721231489142</v>
      </c>
      <c r="BN49" s="56">
        <v>6495000</v>
      </c>
      <c r="BO49" s="41">
        <v>18.532256683881645</v>
      </c>
      <c r="BP49" s="56">
        <v>1724000</v>
      </c>
      <c r="BQ49" s="41">
        <v>4.9191086255599625</v>
      </c>
      <c r="BR49" s="39">
        <v>992000</v>
      </c>
      <c r="BS49" s="41">
        <v>2.8304847775843864</v>
      </c>
      <c r="BT49" s="39">
        <v>2772000</v>
      </c>
      <c r="BU49" s="41">
        <v>7.9093788341370166</v>
      </c>
      <c r="BV49" s="56">
        <v>7745000</v>
      </c>
      <c r="BW49" s="41">
        <v>22.098895768539389</v>
      </c>
      <c r="BX49" s="40">
        <v>11145000</v>
      </c>
      <c r="BY49" s="41">
        <v>31.800154078808458</v>
      </c>
      <c r="BZ49" s="57">
        <v>427.70775694230969</v>
      </c>
      <c r="CA49" s="58">
        <v>176.65744441028795</v>
      </c>
      <c r="CB49" s="59">
        <v>578.23547494620345</v>
      </c>
      <c r="CC49" s="47">
        <v>101.649759196639</v>
      </c>
      <c r="CD49" s="58">
        <v>245.00461112818937</v>
      </c>
      <c r="CE49" s="59">
        <v>87.304027051952048</v>
      </c>
      <c r="CF49" s="59">
        <v>1142.0227482324008</v>
      </c>
      <c r="CG49" s="59">
        <v>39.040885336612355</v>
      </c>
      <c r="CH49" s="47">
        <v>793.62639614714624</v>
      </c>
      <c r="CI49" s="43">
        <v>1167</v>
      </c>
      <c r="CJ49" s="44">
        <v>333.93994540491354</v>
      </c>
      <c r="CK49" s="60">
        <v>35.205252694181588</v>
      </c>
      <c r="CL49" s="53">
        <v>1201.1399999999999</v>
      </c>
      <c r="CM49" s="41">
        <v>8.5407476300587906</v>
      </c>
      <c r="CN49" s="53">
        <v>2500</v>
      </c>
      <c r="CO49" s="41">
        <v>17.776336709415201</v>
      </c>
      <c r="CP49" s="54">
        <v>9112.5</v>
      </c>
      <c r="CQ49" s="41">
        <v>64.794747305818419</v>
      </c>
      <c r="CR49" s="43">
        <v>4029</v>
      </c>
      <c r="CS49" s="52">
        <v>29.759245470340034</v>
      </c>
      <c r="CT49" s="41">
        <v>1869.17</v>
      </c>
      <c r="CU49" s="41">
        <v>191.53294394917512</v>
      </c>
      <c r="CV49" s="52">
        <v>48</v>
      </c>
      <c r="CW49" s="38">
        <v>1</v>
      </c>
      <c r="CX49" s="38">
        <v>1</v>
      </c>
      <c r="CY49" s="51">
        <v>1</v>
      </c>
      <c r="CZ49" s="61">
        <v>3.2434675683984016</v>
      </c>
      <c r="DA49" s="39">
        <v>4979000</v>
      </c>
      <c r="DB49" s="39">
        <v>4345000</v>
      </c>
      <c r="DC49" s="39">
        <v>5178000</v>
      </c>
      <c r="DD49" s="39">
        <v>4479000</v>
      </c>
      <c r="DE49" s="39">
        <v>7159000</v>
      </c>
      <c r="DF49" s="62">
        <v>3465000</v>
      </c>
      <c r="DG49" s="41">
        <v>206.61</v>
      </c>
      <c r="DH49" s="41">
        <v>69.849999999999994</v>
      </c>
      <c r="DI49" s="41">
        <v>3.64</v>
      </c>
      <c r="DJ49" s="37" t="s">
        <v>390</v>
      </c>
      <c r="DK49" s="40">
        <v>45000</v>
      </c>
      <c r="DL49" s="40">
        <v>118000</v>
      </c>
      <c r="DM49" s="40">
        <v>0</v>
      </c>
      <c r="DN49" s="40">
        <v>16567</v>
      </c>
      <c r="DO49" s="40">
        <v>21420</v>
      </c>
      <c r="DP49" s="40">
        <v>227590</v>
      </c>
      <c r="DQ49" s="64">
        <v>0</v>
      </c>
      <c r="DR49" s="40">
        <v>3068</v>
      </c>
      <c r="DS49" s="65">
        <v>1</v>
      </c>
      <c r="DT49" s="38">
        <v>9</v>
      </c>
      <c r="DU49" s="66">
        <v>1084.3333333333333</v>
      </c>
      <c r="DV49" s="41">
        <v>11.111111111111111</v>
      </c>
      <c r="DW49" s="41">
        <v>88.888888888888886</v>
      </c>
      <c r="DX49" s="41">
        <v>0</v>
      </c>
      <c r="DY49" s="41">
        <v>0</v>
      </c>
      <c r="DZ49" s="41">
        <v>0</v>
      </c>
      <c r="EA49" s="41">
        <v>44.444444444444443</v>
      </c>
      <c r="EB49" s="41">
        <v>55.555555555555557</v>
      </c>
      <c r="EC49" s="40">
        <v>115</v>
      </c>
      <c r="ED49" s="184">
        <v>84.860869565217385</v>
      </c>
    </row>
    <row r="50" spans="1:134" s="13" customFormat="1">
      <c r="A50" s="156" t="s">
        <v>198</v>
      </c>
      <c r="B50" s="285">
        <v>2014</v>
      </c>
      <c r="C50" s="259">
        <v>9</v>
      </c>
      <c r="D50" s="80" t="s">
        <v>344</v>
      </c>
      <c r="E50" s="56">
        <v>4832</v>
      </c>
      <c r="F50" s="56">
        <v>4440</v>
      </c>
      <c r="G50" s="82">
        <v>-1.2894619831036016</v>
      </c>
      <c r="H50" s="179">
        <v>0.9</v>
      </c>
      <c r="I50" s="56">
        <v>2141</v>
      </c>
      <c r="J50" s="56">
        <v>48.22072072072072</v>
      </c>
      <c r="K50" s="56">
        <v>2299</v>
      </c>
      <c r="L50" s="84">
        <v>51.77927927927928</v>
      </c>
      <c r="M50" s="160">
        <v>25</v>
      </c>
      <c r="N50" s="160">
        <v>45.202702702702702</v>
      </c>
      <c r="O50" s="160">
        <v>29.797297297297298</v>
      </c>
      <c r="P50" s="160">
        <v>33.806306306306304</v>
      </c>
      <c r="Q50" s="160">
        <v>36.396396396396398</v>
      </c>
      <c r="R50" s="160">
        <v>29.797297297297298</v>
      </c>
      <c r="S50" s="83">
        <v>12.202380952380953</v>
      </c>
      <c r="T50" s="83">
        <v>1.6</v>
      </c>
      <c r="U50" s="38">
        <v>16</v>
      </c>
      <c r="V50" s="41">
        <v>5.3</v>
      </c>
      <c r="W50" s="40">
        <v>41769</v>
      </c>
      <c r="X50" s="41">
        <v>2.4</v>
      </c>
      <c r="Y50" s="42" t="s">
        <v>351</v>
      </c>
      <c r="Z50" s="43">
        <v>615</v>
      </c>
      <c r="AA50" s="45">
        <v>0</v>
      </c>
      <c r="AB50" s="67">
        <v>29</v>
      </c>
      <c r="AC50" s="63">
        <v>2261.5050000000001</v>
      </c>
      <c r="AD50" s="43">
        <v>18</v>
      </c>
      <c r="AE50" s="44">
        <v>-0.97</v>
      </c>
      <c r="AF50" s="44">
        <v>3.1652999999999998</v>
      </c>
      <c r="AG50" s="41">
        <v>70.02</v>
      </c>
      <c r="AH50" s="41">
        <v>29.980000000000004</v>
      </c>
      <c r="AI50" s="44">
        <v>5.96</v>
      </c>
      <c r="AJ50" s="41">
        <v>8.2153999999999989</v>
      </c>
      <c r="AK50" s="41">
        <v>2.0994343080232651</v>
      </c>
      <c r="AL50" s="41">
        <v>7.7970000000000006</v>
      </c>
      <c r="AM50" s="39">
        <v>23973</v>
      </c>
      <c r="AN50" s="39">
        <v>23829</v>
      </c>
      <c r="AO50" s="40">
        <v>25550</v>
      </c>
      <c r="AP50" s="40">
        <v>25655</v>
      </c>
      <c r="AQ50" s="39">
        <v>641000</v>
      </c>
      <c r="AR50" s="44">
        <v>486.34294385432474</v>
      </c>
      <c r="AS50" s="39">
        <v>1318</v>
      </c>
      <c r="AT50" s="46">
        <v>661000</v>
      </c>
      <c r="AU50" s="50">
        <v>500.75757575757575</v>
      </c>
      <c r="AV50" s="39">
        <v>1320</v>
      </c>
      <c r="AW50" s="46">
        <v>722000</v>
      </c>
      <c r="AX50" s="47">
        <v>540.4191616766467</v>
      </c>
      <c r="AY50" s="39">
        <v>1336</v>
      </c>
      <c r="AZ50" s="41">
        <v>56.2</v>
      </c>
      <c r="BA50" s="41">
        <v>30.838323353293411</v>
      </c>
      <c r="BB50" s="46">
        <v>2863000</v>
      </c>
      <c r="BC50" s="48">
        <v>3517.1990171990174</v>
      </c>
      <c r="BD50" s="40">
        <v>814</v>
      </c>
      <c r="BE50" s="46">
        <v>192000</v>
      </c>
      <c r="BF50" s="44">
        <v>868.77828054298641</v>
      </c>
      <c r="BG50" s="40">
        <v>221</v>
      </c>
      <c r="BH50" s="49" t="s">
        <v>382</v>
      </c>
      <c r="BI50" s="49" t="s">
        <v>382</v>
      </c>
      <c r="BJ50" s="213">
        <v>0</v>
      </c>
      <c r="BK50" s="47">
        <v>110.76343976701085</v>
      </c>
      <c r="BL50" s="55">
        <v>7781000</v>
      </c>
      <c r="BM50" s="41">
        <v>30.454011741682972</v>
      </c>
      <c r="BN50" s="56">
        <v>2407000</v>
      </c>
      <c r="BO50" s="41">
        <v>9.4207436399217226</v>
      </c>
      <c r="BP50" s="56">
        <v>627000</v>
      </c>
      <c r="BQ50" s="41">
        <v>2.4540117416829745</v>
      </c>
      <c r="BR50" s="39">
        <v>7164000</v>
      </c>
      <c r="BS50" s="41">
        <v>28.039138943248531</v>
      </c>
      <c r="BT50" s="39">
        <v>807000</v>
      </c>
      <c r="BU50" s="41">
        <v>3.1585127201565562</v>
      </c>
      <c r="BV50" s="56">
        <v>3813000</v>
      </c>
      <c r="BW50" s="41">
        <v>14.923679060665362</v>
      </c>
      <c r="BX50" s="40">
        <v>2951000</v>
      </c>
      <c r="BY50" s="41">
        <v>11.549902152641879</v>
      </c>
      <c r="BZ50" s="57">
        <v>1752.4774774774776</v>
      </c>
      <c r="CA50" s="58">
        <v>141.21621621621622</v>
      </c>
      <c r="CB50" s="59">
        <v>341.66666666666669</v>
      </c>
      <c r="CC50" s="47">
        <v>1613.5135135135135</v>
      </c>
      <c r="CD50" s="58">
        <v>123.1981981981982</v>
      </c>
      <c r="CE50" s="59">
        <v>200.45045045045046</v>
      </c>
      <c r="CF50" s="59">
        <v>664.63963963963965</v>
      </c>
      <c r="CG50" s="59">
        <v>58.558558558558559</v>
      </c>
      <c r="CH50" s="47">
        <v>858.78378378378375</v>
      </c>
      <c r="CI50" s="43">
        <v>1287</v>
      </c>
      <c r="CJ50" s="44">
        <v>266.46706586826349</v>
      </c>
      <c r="CK50" s="60">
        <v>60.730702432989169</v>
      </c>
      <c r="CL50" s="53">
        <v>500.93919999999997</v>
      </c>
      <c r="CM50" s="41">
        <v>19.218924828079086</v>
      </c>
      <c r="CN50" s="53">
        <v>1082</v>
      </c>
      <c r="CO50" s="41">
        <v>41.51177760491008</v>
      </c>
      <c r="CP50" s="54">
        <v>1023.55</v>
      </c>
      <c r="CQ50" s="41">
        <v>39.269297567010824</v>
      </c>
      <c r="CR50" s="43">
        <v>2628</v>
      </c>
      <c r="CS50" s="52">
        <v>46.575342465753423</v>
      </c>
      <c r="CT50" s="41">
        <v>1361.41</v>
      </c>
      <c r="CU50" s="41">
        <v>306.62387387387389</v>
      </c>
      <c r="CV50" s="52">
        <v>5</v>
      </c>
      <c r="CW50" s="38">
        <v>1</v>
      </c>
      <c r="CX50" s="38">
        <v>3</v>
      </c>
      <c r="CY50" s="51">
        <v>1</v>
      </c>
      <c r="CZ50" s="61">
        <v>6.3261261261261259</v>
      </c>
      <c r="DA50" s="39">
        <v>3001000</v>
      </c>
      <c r="DB50" s="39">
        <v>3801000</v>
      </c>
      <c r="DC50" s="39">
        <v>3743000</v>
      </c>
      <c r="DD50" s="39">
        <v>4230000</v>
      </c>
      <c r="DE50" s="39">
        <v>4771000</v>
      </c>
      <c r="DF50" s="62">
        <v>5111000</v>
      </c>
      <c r="DG50" s="41">
        <v>93.35</v>
      </c>
      <c r="DH50" s="41">
        <v>57.699999999999996</v>
      </c>
      <c r="DI50" s="41">
        <v>2.4699999999999998</v>
      </c>
      <c r="DJ50" s="37" t="s">
        <v>390</v>
      </c>
      <c r="DK50" s="40">
        <v>26000</v>
      </c>
      <c r="DL50" s="40">
        <v>118000</v>
      </c>
      <c r="DM50" s="40">
        <v>0</v>
      </c>
      <c r="DN50" s="40">
        <v>7178</v>
      </c>
      <c r="DO50" s="40">
        <v>26343</v>
      </c>
      <c r="DP50" s="40">
        <v>195000</v>
      </c>
      <c r="DQ50" s="64">
        <v>0</v>
      </c>
      <c r="DR50" s="40">
        <v>0</v>
      </c>
      <c r="DS50" s="65">
        <v>0</v>
      </c>
      <c r="DT50" s="38">
        <v>9</v>
      </c>
      <c r="DU50" s="66">
        <v>493.33333333333331</v>
      </c>
      <c r="DV50" s="41">
        <v>22.222222222222221</v>
      </c>
      <c r="DW50" s="41">
        <v>77.777777777777786</v>
      </c>
      <c r="DX50" s="41">
        <v>0</v>
      </c>
      <c r="DY50" s="41">
        <v>0</v>
      </c>
      <c r="DZ50" s="41">
        <v>0</v>
      </c>
      <c r="EA50" s="41">
        <v>66.666666666666657</v>
      </c>
      <c r="EB50" s="41">
        <v>33.333333333333329</v>
      </c>
      <c r="EC50" s="40">
        <v>178</v>
      </c>
      <c r="ED50" s="184">
        <v>24.943820224719101</v>
      </c>
    </row>
    <row r="51" spans="1:134" s="13" customFormat="1">
      <c r="A51" s="156" t="s">
        <v>199</v>
      </c>
      <c r="B51" s="285">
        <v>2014</v>
      </c>
      <c r="C51" s="259">
        <v>10</v>
      </c>
      <c r="D51" s="80" t="s">
        <v>345</v>
      </c>
      <c r="E51" s="56">
        <v>5480.4</v>
      </c>
      <c r="F51" s="56">
        <v>8966</v>
      </c>
      <c r="G51" s="82">
        <v>0.44812906116961682</v>
      </c>
      <c r="H51" s="179">
        <v>1.6</v>
      </c>
      <c r="I51" s="56">
        <v>4451</v>
      </c>
      <c r="J51" s="56">
        <v>49.643096140977022</v>
      </c>
      <c r="K51" s="56">
        <v>4515</v>
      </c>
      <c r="L51" s="84">
        <v>50.356903859022971</v>
      </c>
      <c r="M51" s="160">
        <v>23.656033905866607</v>
      </c>
      <c r="N51" s="160">
        <v>45.873299130046846</v>
      </c>
      <c r="O51" s="160">
        <v>30.470666964086551</v>
      </c>
      <c r="P51" s="160">
        <v>33.136292661164404</v>
      </c>
      <c r="Q51" s="160">
        <v>36.393040374749056</v>
      </c>
      <c r="R51" s="160">
        <v>30.470666964086551</v>
      </c>
      <c r="S51" s="83">
        <v>5.6832621000346544</v>
      </c>
      <c r="T51" s="83">
        <v>1.6</v>
      </c>
      <c r="U51" s="38">
        <v>20</v>
      </c>
      <c r="V51" s="41">
        <v>12.2</v>
      </c>
      <c r="W51" s="40">
        <v>33263</v>
      </c>
      <c r="X51" s="41">
        <v>2.2999999999999998</v>
      </c>
      <c r="Y51" s="42" t="s">
        <v>351</v>
      </c>
      <c r="Z51" s="43">
        <v>1118</v>
      </c>
      <c r="AA51" s="45">
        <v>4</v>
      </c>
      <c r="AB51" s="63">
        <v>94</v>
      </c>
      <c r="AC51" s="63">
        <v>7628.5919999999996</v>
      </c>
      <c r="AD51" s="43">
        <v>20</v>
      </c>
      <c r="AE51" s="44">
        <v>2.74</v>
      </c>
      <c r="AF51" s="44">
        <v>3.2154000000000003</v>
      </c>
      <c r="AG51" s="41">
        <v>56.36</v>
      </c>
      <c r="AH51" s="41">
        <v>43.64</v>
      </c>
      <c r="AI51" s="44">
        <v>3.7</v>
      </c>
      <c r="AJ51" s="41">
        <v>3.8643999999999998</v>
      </c>
      <c r="AK51" s="41">
        <v>6.720108478902449</v>
      </c>
      <c r="AL51" s="41">
        <v>11.3765</v>
      </c>
      <c r="AM51" s="39">
        <v>24728</v>
      </c>
      <c r="AN51" s="39">
        <v>24074</v>
      </c>
      <c r="AO51" s="40">
        <v>24543</v>
      </c>
      <c r="AP51" s="40">
        <v>26133</v>
      </c>
      <c r="AQ51" s="39">
        <v>2096000</v>
      </c>
      <c r="AR51" s="44">
        <v>567.86778650772146</v>
      </c>
      <c r="AS51" s="39">
        <v>3691</v>
      </c>
      <c r="AT51" s="46">
        <v>2157000</v>
      </c>
      <c r="AU51" s="50">
        <v>584.0779853777417</v>
      </c>
      <c r="AV51" s="39">
        <v>3693</v>
      </c>
      <c r="AW51" s="46">
        <v>2451000</v>
      </c>
      <c r="AX51" s="47">
        <v>657.98657718120808</v>
      </c>
      <c r="AY51" s="39">
        <v>3725</v>
      </c>
      <c r="AZ51" s="41">
        <v>59.3</v>
      </c>
      <c r="BA51" s="41">
        <v>32.536912751677853</v>
      </c>
      <c r="BB51" s="46">
        <v>2361000</v>
      </c>
      <c r="BC51" s="48">
        <v>2305.6640625</v>
      </c>
      <c r="BD51" s="40">
        <v>1024</v>
      </c>
      <c r="BE51" s="46">
        <v>546000</v>
      </c>
      <c r="BF51" s="44">
        <v>1407.2164948453608</v>
      </c>
      <c r="BG51" s="40">
        <v>388</v>
      </c>
      <c r="BH51" s="46">
        <v>500</v>
      </c>
      <c r="BI51" s="49">
        <v>500</v>
      </c>
      <c r="BJ51" s="45">
        <v>1</v>
      </c>
      <c r="BK51" s="47">
        <v>142.94006774283849</v>
      </c>
      <c r="BL51" s="55">
        <v>1608000</v>
      </c>
      <c r="BM51" s="41">
        <v>6.5576444680070152</v>
      </c>
      <c r="BN51" s="56">
        <v>4324000</v>
      </c>
      <c r="BO51" s="41">
        <v>17.633864850536273</v>
      </c>
      <c r="BP51" s="56">
        <v>1672000</v>
      </c>
      <c r="BQ51" s="41">
        <v>6.8186452428530648</v>
      </c>
      <c r="BR51" s="39">
        <v>5591000</v>
      </c>
      <c r="BS51" s="41">
        <v>22.800864565066679</v>
      </c>
      <c r="BT51" s="39">
        <v>2359000</v>
      </c>
      <c r="BU51" s="41">
        <v>9.6203254353411349</v>
      </c>
      <c r="BV51" s="56">
        <v>5083000</v>
      </c>
      <c r="BW51" s="41">
        <v>20.729170914726154</v>
      </c>
      <c r="BX51" s="40">
        <v>3884000</v>
      </c>
      <c r="BY51" s="41">
        <v>15.839484523469679</v>
      </c>
      <c r="BZ51" s="57">
        <v>179.34418915904527</v>
      </c>
      <c r="CA51" s="58">
        <v>186.4822663395048</v>
      </c>
      <c r="CB51" s="59">
        <v>356.01159937541826</v>
      </c>
      <c r="CC51" s="47">
        <v>623.57796118670535</v>
      </c>
      <c r="CD51" s="58">
        <v>175.4405532009815</v>
      </c>
      <c r="CE51" s="59">
        <v>126.25474012937765</v>
      </c>
      <c r="CF51" s="59">
        <v>433.19205888913672</v>
      </c>
      <c r="CG51" s="59">
        <v>87.664510372518407</v>
      </c>
      <c r="CH51" s="47">
        <v>566.91947356680794</v>
      </c>
      <c r="CI51" s="43">
        <v>989</v>
      </c>
      <c r="CJ51" s="44">
        <v>284.83221476510067</v>
      </c>
      <c r="CK51" s="60">
        <v>29.216300074758315</v>
      </c>
      <c r="CL51" s="53">
        <v>1367.34</v>
      </c>
      <c r="CM51" s="41">
        <v>13.485493138606655</v>
      </c>
      <c r="CN51" s="53">
        <v>1595</v>
      </c>
      <c r="CO51" s="41">
        <v>15.730806936151662</v>
      </c>
      <c r="CP51" s="54">
        <v>7177</v>
      </c>
      <c r="CQ51" s="41">
        <v>70.783699925241677</v>
      </c>
      <c r="CR51" s="43">
        <v>6122</v>
      </c>
      <c r="CS51" s="52">
        <v>82.930414897092447</v>
      </c>
      <c r="CT51" s="41">
        <v>1165.32</v>
      </c>
      <c r="CU51" s="41">
        <v>129.97100156145439</v>
      </c>
      <c r="CV51" s="52">
        <v>117</v>
      </c>
      <c r="CW51" s="38">
        <v>2</v>
      </c>
      <c r="CX51" s="38">
        <v>5</v>
      </c>
      <c r="CY51" s="51">
        <v>4</v>
      </c>
      <c r="CZ51" s="61">
        <v>8.9964309614097697</v>
      </c>
      <c r="DA51" s="39">
        <v>1558000</v>
      </c>
      <c r="DB51" s="39">
        <v>2097000</v>
      </c>
      <c r="DC51" s="39">
        <v>1924875</v>
      </c>
      <c r="DD51" s="39">
        <v>1982119.6089999999</v>
      </c>
      <c r="DE51" s="39">
        <v>2274000</v>
      </c>
      <c r="DF51" s="62">
        <v>2047000</v>
      </c>
      <c r="DG51" s="41">
        <v>111.09</v>
      </c>
      <c r="DH51" s="41">
        <v>132.58000000000001</v>
      </c>
      <c r="DI51" s="41">
        <v>13.68</v>
      </c>
      <c r="DJ51" s="37" t="s">
        <v>390</v>
      </c>
      <c r="DK51" s="40">
        <v>23000</v>
      </c>
      <c r="DL51" s="40">
        <v>96000</v>
      </c>
      <c r="DM51" s="40">
        <v>0</v>
      </c>
      <c r="DN51" s="40">
        <v>6666.51</v>
      </c>
      <c r="DO51" s="40">
        <v>0</v>
      </c>
      <c r="DP51" s="40">
        <v>205000</v>
      </c>
      <c r="DQ51" s="64">
        <v>0</v>
      </c>
      <c r="DR51" s="40">
        <v>0</v>
      </c>
      <c r="DS51" s="65">
        <v>0</v>
      </c>
      <c r="DT51" s="38">
        <v>7</v>
      </c>
      <c r="DU51" s="66">
        <v>1280.8571428571429</v>
      </c>
      <c r="DV51" s="41">
        <v>14.285714285714285</v>
      </c>
      <c r="DW51" s="41">
        <v>85.714285714285708</v>
      </c>
      <c r="DX51" s="41">
        <v>0</v>
      </c>
      <c r="DY51" s="41">
        <v>0</v>
      </c>
      <c r="DZ51" s="41">
        <v>14.285714285714285</v>
      </c>
      <c r="EA51" s="41">
        <v>57.142857142857139</v>
      </c>
      <c r="EB51" s="41">
        <v>28.571428571428569</v>
      </c>
      <c r="EC51" s="40">
        <v>122</v>
      </c>
      <c r="ED51" s="184">
        <v>73.491803278688522</v>
      </c>
    </row>
    <row r="52" spans="1:134" s="13" customFormat="1">
      <c r="A52" s="156" t="s">
        <v>200</v>
      </c>
      <c r="B52" s="285">
        <v>2014</v>
      </c>
      <c r="C52" s="259">
        <v>10</v>
      </c>
      <c r="D52" s="80" t="s">
        <v>345</v>
      </c>
      <c r="E52" s="56">
        <v>2950.2</v>
      </c>
      <c r="F52" s="56">
        <v>5064</v>
      </c>
      <c r="G52" s="82">
        <v>3.8982355354944604</v>
      </c>
      <c r="H52" s="179">
        <v>1.7</v>
      </c>
      <c r="I52" s="56">
        <v>2512</v>
      </c>
      <c r="J52" s="56">
        <v>49.605055292259081</v>
      </c>
      <c r="K52" s="56">
        <v>2552</v>
      </c>
      <c r="L52" s="84">
        <v>50.394944707740919</v>
      </c>
      <c r="M52" s="160">
        <v>22.037914691943129</v>
      </c>
      <c r="N52" s="160">
        <v>41.587677725118482</v>
      </c>
      <c r="O52" s="160">
        <v>36.374407582938389</v>
      </c>
      <c r="P52" s="160">
        <v>28.633491311216432</v>
      </c>
      <c r="Q52" s="160">
        <v>34.99210110584518</v>
      </c>
      <c r="R52" s="160">
        <v>36.374407582938389</v>
      </c>
      <c r="S52" s="83">
        <v>4.6740467404674044</v>
      </c>
      <c r="T52" s="83">
        <v>1.4</v>
      </c>
      <c r="U52" s="38">
        <v>47</v>
      </c>
      <c r="V52" s="41">
        <v>6.6</v>
      </c>
      <c r="W52" s="40">
        <v>36708</v>
      </c>
      <c r="X52" s="41">
        <v>2.2999999999999998</v>
      </c>
      <c r="Y52" s="42" t="s">
        <v>351</v>
      </c>
      <c r="Z52" s="43">
        <v>706</v>
      </c>
      <c r="AA52" s="45">
        <v>4</v>
      </c>
      <c r="AB52" s="67">
        <v>69</v>
      </c>
      <c r="AC52" s="63">
        <v>4634.62</v>
      </c>
      <c r="AD52" s="43">
        <v>68</v>
      </c>
      <c r="AE52" s="44">
        <v>-12.12</v>
      </c>
      <c r="AF52" s="44">
        <v>1.3003</v>
      </c>
      <c r="AG52" s="41">
        <v>48.3</v>
      </c>
      <c r="AH52" s="41">
        <v>51.7</v>
      </c>
      <c r="AI52" s="44">
        <v>4.76</v>
      </c>
      <c r="AJ52" s="41">
        <v>5.1384000000000007</v>
      </c>
      <c r="AK52" s="41">
        <v>3.9863515312916111</v>
      </c>
      <c r="AL52" s="41">
        <v>3.9018999999999999</v>
      </c>
      <c r="AM52" s="39">
        <v>16691</v>
      </c>
      <c r="AN52" s="39">
        <v>18616</v>
      </c>
      <c r="AO52" s="40">
        <v>13472</v>
      </c>
      <c r="AP52" s="40">
        <v>14899</v>
      </c>
      <c r="AQ52" s="39">
        <v>1359000</v>
      </c>
      <c r="AR52" s="44">
        <v>615.7680108744903</v>
      </c>
      <c r="AS52" s="39">
        <v>2207</v>
      </c>
      <c r="AT52" s="46">
        <v>1438000</v>
      </c>
      <c r="AU52" s="50">
        <v>646.87359424201532</v>
      </c>
      <c r="AV52" s="39">
        <v>2223</v>
      </c>
      <c r="AW52" s="46">
        <v>1829000</v>
      </c>
      <c r="AX52" s="47">
        <v>822.76203328834913</v>
      </c>
      <c r="AY52" s="39">
        <v>2223</v>
      </c>
      <c r="AZ52" s="41">
        <v>63.7</v>
      </c>
      <c r="BA52" s="41">
        <v>28.07017543859649</v>
      </c>
      <c r="BB52" s="46">
        <v>1518000</v>
      </c>
      <c r="BC52" s="48">
        <v>2317.5572519083971</v>
      </c>
      <c r="BD52" s="40">
        <v>655</v>
      </c>
      <c r="BE52" s="46">
        <v>240000</v>
      </c>
      <c r="BF52" s="44">
        <v>916.03053435114509</v>
      </c>
      <c r="BG52" s="40">
        <v>262</v>
      </c>
      <c r="BH52" s="46">
        <v>153000</v>
      </c>
      <c r="BI52" s="49">
        <v>38250</v>
      </c>
      <c r="BJ52" s="45">
        <v>4</v>
      </c>
      <c r="BK52" s="47">
        <v>194.19545989304814</v>
      </c>
      <c r="BL52" s="55">
        <v>2634000</v>
      </c>
      <c r="BM52" s="41">
        <v>19.551662707838481</v>
      </c>
      <c r="BN52" s="56">
        <v>1348000</v>
      </c>
      <c r="BO52" s="41">
        <v>10.005938242280285</v>
      </c>
      <c r="BP52" s="56">
        <v>1911000</v>
      </c>
      <c r="BQ52" s="41">
        <v>14.184976247030878</v>
      </c>
      <c r="BR52" s="39">
        <v>728000</v>
      </c>
      <c r="BS52" s="41">
        <v>5.4038004750593824</v>
      </c>
      <c r="BT52" s="39">
        <v>1400000</v>
      </c>
      <c r="BU52" s="41">
        <v>10.391923990498812</v>
      </c>
      <c r="BV52" s="56">
        <v>3922000</v>
      </c>
      <c r="BW52" s="41">
        <v>29.112232779097386</v>
      </c>
      <c r="BX52" s="40">
        <v>1529000</v>
      </c>
      <c r="BY52" s="41">
        <v>11.349465558194774</v>
      </c>
      <c r="BZ52" s="57">
        <v>520.14218009478668</v>
      </c>
      <c r="CA52" s="58">
        <v>377.36966824644549</v>
      </c>
      <c r="CB52" s="43" t="s">
        <v>382</v>
      </c>
      <c r="CC52" s="47">
        <v>143.75987361769353</v>
      </c>
      <c r="CD52" s="58">
        <v>237.16429699842021</v>
      </c>
      <c r="CE52" s="59">
        <v>266.19273301737758</v>
      </c>
      <c r="CF52" s="59">
        <v>301.93522906793049</v>
      </c>
      <c r="CG52" s="59">
        <v>39.296998420221172</v>
      </c>
      <c r="CH52" s="47">
        <v>774.48657187993683</v>
      </c>
      <c r="CI52" s="43" t="s">
        <v>382</v>
      </c>
      <c r="CJ52" s="44">
        <v>562.75303643724692</v>
      </c>
      <c r="CK52" s="60">
        <v>24.363329102795237</v>
      </c>
      <c r="CL52" s="53">
        <v>934.2</v>
      </c>
      <c r="CM52" s="41">
        <v>15.97911870251335</v>
      </c>
      <c r="CN52" s="53">
        <v>490.1728</v>
      </c>
      <c r="CO52" s="41">
        <v>8.3842104002818836</v>
      </c>
      <c r="CP52" s="54">
        <v>4422.0072</v>
      </c>
      <c r="CQ52" s="41">
        <v>75.636670897204766</v>
      </c>
      <c r="CR52" s="43">
        <v>2597</v>
      </c>
      <c r="CS52" s="52">
        <v>46.207162110127072</v>
      </c>
      <c r="CT52" s="41">
        <v>757.26</v>
      </c>
      <c r="CU52" s="41">
        <v>149.53791469194312</v>
      </c>
      <c r="CV52" s="52">
        <v>70</v>
      </c>
      <c r="CW52" s="38">
        <v>1</v>
      </c>
      <c r="CX52" s="38">
        <v>2</v>
      </c>
      <c r="CY52" s="51">
        <v>1</v>
      </c>
      <c r="CZ52" s="61">
        <v>9.1127567140600316</v>
      </c>
      <c r="DA52" s="39">
        <v>2404000</v>
      </c>
      <c r="DB52" s="39">
        <v>8192000</v>
      </c>
      <c r="DC52" s="39">
        <v>2921500</v>
      </c>
      <c r="DD52" s="39">
        <v>9459000</v>
      </c>
      <c r="DE52" s="39">
        <v>2385000</v>
      </c>
      <c r="DF52" s="62">
        <v>2605000</v>
      </c>
      <c r="DG52" s="41">
        <v>91.55</v>
      </c>
      <c r="DH52" s="41">
        <v>97.21</v>
      </c>
      <c r="DI52" s="41">
        <v>14.62</v>
      </c>
      <c r="DJ52" s="37" t="s">
        <v>390</v>
      </c>
      <c r="DK52" s="40">
        <v>19000</v>
      </c>
      <c r="DL52" s="40">
        <v>98000</v>
      </c>
      <c r="DM52" s="40">
        <v>0</v>
      </c>
      <c r="DN52" s="40">
        <v>5862</v>
      </c>
      <c r="DO52" s="40">
        <v>5260</v>
      </c>
      <c r="DP52" s="40">
        <v>203906</v>
      </c>
      <c r="DQ52" s="64">
        <v>0</v>
      </c>
      <c r="DR52" s="40">
        <v>0</v>
      </c>
      <c r="DS52" s="65">
        <v>0</v>
      </c>
      <c r="DT52" s="38">
        <v>7</v>
      </c>
      <c r="DU52" s="66">
        <v>723.42857142857144</v>
      </c>
      <c r="DV52" s="41">
        <v>14.285714285714285</v>
      </c>
      <c r="DW52" s="41">
        <v>85.714285714285708</v>
      </c>
      <c r="DX52" s="41">
        <v>0</v>
      </c>
      <c r="DY52" s="41">
        <v>0</v>
      </c>
      <c r="DZ52" s="41">
        <v>0</v>
      </c>
      <c r="EA52" s="41">
        <v>42.857142857142854</v>
      </c>
      <c r="EB52" s="41">
        <v>57.142857142857139</v>
      </c>
      <c r="EC52" s="40">
        <v>84</v>
      </c>
      <c r="ED52" s="184">
        <v>60.285714285714285</v>
      </c>
    </row>
    <row r="53" spans="1:134" s="13" customFormat="1">
      <c r="A53" s="156" t="s">
        <v>201</v>
      </c>
      <c r="B53" s="285">
        <v>2014</v>
      </c>
      <c r="C53" s="259">
        <v>7</v>
      </c>
      <c r="D53" s="80" t="s">
        <v>346</v>
      </c>
      <c r="E53" s="56">
        <v>941.1</v>
      </c>
      <c r="F53" s="56">
        <v>171992</v>
      </c>
      <c r="G53" s="82">
        <v>3.3630616120579817</v>
      </c>
      <c r="H53" s="179">
        <v>182.8</v>
      </c>
      <c r="I53" s="56">
        <v>83711</v>
      </c>
      <c r="J53" s="56">
        <v>48.671449834876043</v>
      </c>
      <c r="K53" s="56">
        <v>88281</v>
      </c>
      <c r="L53" s="84">
        <v>51.328550165123957</v>
      </c>
      <c r="M53" s="160">
        <v>24.496488208753895</v>
      </c>
      <c r="N53" s="160">
        <v>49.349388343643888</v>
      </c>
      <c r="O53" s="160">
        <v>26.154123447602213</v>
      </c>
      <c r="P53" s="160">
        <v>35.670263733196897</v>
      </c>
      <c r="Q53" s="160">
        <v>38.175612819200893</v>
      </c>
      <c r="R53" s="160">
        <v>26.154123447602213</v>
      </c>
      <c r="S53" s="83">
        <v>2.1891429345350226</v>
      </c>
      <c r="T53" s="83">
        <v>5.3</v>
      </c>
      <c r="U53" s="38">
        <v>115</v>
      </c>
      <c r="V53" s="41">
        <v>4.8</v>
      </c>
      <c r="W53" s="40">
        <v>47580</v>
      </c>
      <c r="X53" s="41">
        <v>2.5</v>
      </c>
      <c r="Y53" s="42" t="s">
        <v>350</v>
      </c>
      <c r="Z53" s="43">
        <v>12790</v>
      </c>
      <c r="AA53" s="45">
        <v>39</v>
      </c>
      <c r="AB53" s="63">
        <v>1234</v>
      </c>
      <c r="AC53" s="63">
        <v>649462.978</v>
      </c>
      <c r="AD53" s="43">
        <v>76</v>
      </c>
      <c r="AE53" s="44">
        <v>3.6</v>
      </c>
      <c r="AF53" s="44">
        <v>2.2191999999999998</v>
      </c>
      <c r="AG53" s="41">
        <v>79.89</v>
      </c>
      <c r="AH53" s="41">
        <v>20.11</v>
      </c>
      <c r="AI53" s="44">
        <v>6.08</v>
      </c>
      <c r="AJ53" s="41">
        <v>1.7516999999999998</v>
      </c>
      <c r="AK53" s="41">
        <v>18.038626164487034</v>
      </c>
      <c r="AL53" s="41">
        <v>4.82</v>
      </c>
      <c r="AM53" s="39">
        <v>254478</v>
      </c>
      <c r="AN53" s="39">
        <v>266403</v>
      </c>
      <c r="AO53" s="40">
        <v>260365</v>
      </c>
      <c r="AP53" s="40">
        <v>296417</v>
      </c>
      <c r="AQ53" s="39">
        <v>60337000</v>
      </c>
      <c r="AR53" s="44">
        <v>896.2182876834413</v>
      </c>
      <c r="AS53" s="39">
        <v>67324</v>
      </c>
      <c r="AT53" s="46">
        <v>61992000</v>
      </c>
      <c r="AU53" s="50">
        <v>919.2</v>
      </c>
      <c r="AV53" s="39">
        <v>67441</v>
      </c>
      <c r="AW53" s="46">
        <v>64372000</v>
      </c>
      <c r="AX53" s="47">
        <v>951.75574776373185</v>
      </c>
      <c r="AY53" s="39">
        <v>67635</v>
      </c>
      <c r="AZ53" s="41">
        <v>72.7</v>
      </c>
      <c r="BA53" s="41">
        <v>20.861979744215272</v>
      </c>
      <c r="BB53" s="46">
        <v>341000</v>
      </c>
      <c r="BC53" s="48">
        <v>1030.2114803625377</v>
      </c>
      <c r="BD53" s="40">
        <v>331</v>
      </c>
      <c r="BE53" s="46">
        <v>8054000</v>
      </c>
      <c r="BF53" s="44">
        <v>2442.8268122535637</v>
      </c>
      <c r="BG53" s="40">
        <v>3297</v>
      </c>
      <c r="BH53" s="49" t="s">
        <v>382</v>
      </c>
      <c r="BI53" s="49" t="s">
        <v>382</v>
      </c>
      <c r="BJ53" s="213">
        <v>0</v>
      </c>
      <c r="BK53" s="47">
        <v>258.86533043824812</v>
      </c>
      <c r="BL53" s="55">
        <v>12820000</v>
      </c>
      <c r="BM53" s="41">
        <v>4.9238568932076117</v>
      </c>
      <c r="BN53" s="56">
        <v>93588000</v>
      </c>
      <c r="BO53" s="41">
        <v>35.94492347281701</v>
      </c>
      <c r="BP53" s="56">
        <v>50719000</v>
      </c>
      <c r="BQ53" s="41">
        <v>19.479960824227526</v>
      </c>
      <c r="BR53" s="39">
        <v>17890000</v>
      </c>
      <c r="BS53" s="41">
        <v>6.8711232308490011</v>
      </c>
      <c r="BT53" s="39">
        <v>32872000</v>
      </c>
      <c r="BU53" s="41">
        <v>12.62535287000941</v>
      </c>
      <c r="BV53" s="56">
        <v>28614000</v>
      </c>
      <c r="BW53" s="41">
        <v>10.989956407351219</v>
      </c>
      <c r="BX53" s="40">
        <v>23862000</v>
      </c>
      <c r="BY53" s="41">
        <v>9.1648263015382252</v>
      </c>
      <c r="BZ53" s="57">
        <v>74.538350620959108</v>
      </c>
      <c r="CA53" s="58">
        <v>294.89162286617983</v>
      </c>
      <c r="CB53" s="59">
        <v>498.84296944043911</v>
      </c>
      <c r="CC53" s="47">
        <v>104.01646588213406</v>
      </c>
      <c r="CD53" s="58">
        <v>161.24005767710125</v>
      </c>
      <c r="CE53" s="59">
        <v>45.298618540397229</v>
      </c>
      <c r="CF53" s="59">
        <v>138.73901111679612</v>
      </c>
      <c r="CG53" s="59">
        <v>29.885110935392344</v>
      </c>
      <c r="CH53" s="47">
        <v>166.36820317224056</v>
      </c>
      <c r="CI53" s="43">
        <v>1119</v>
      </c>
      <c r="CJ53" s="44">
        <v>416.41162120204035</v>
      </c>
      <c r="CK53" s="60">
        <v>45.124373282153087</v>
      </c>
      <c r="CL53" s="53">
        <v>20293.2</v>
      </c>
      <c r="CM53" s="41">
        <v>22.528870485749771</v>
      </c>
      <c r="CN53" s="53">
        <v>20005.22</v>
      </c>
      <c r="CO53" s="41">
        <v>22.209164174153457</v>
      </c>
      <c r="CP53" s="54">
        <v>49430</v>
      </c>
      <c r="CQ53" s="41">
        <v>54.875626717846913</v>
      </c>
      <c r="CR53" s="43">
        <v>69059</v>
      </c>
      <c r="CS53" s="52">
        <v>65.907412502353054</v>
      </c>
      <c r="CT53" s="41">
        <v>1142.4499999999998</v>
      </c>
      <c r="CU53" s="41">
        <v>6.6424601144239261</v>
      </c>
      <c r="CV53" s="52">
        <v>30768</v>
      </c>
      <c r="CW53" s="38">
        <v>10</v>
      </c>
      <c r="CX53" s="38">
        <v>36</v>
      </c>
      <c r="CY53" s="51">
        <v>8</v>
      </c>
      <c r="CZ53" s="61">
        <v>4.816904274617424</v>
      </c>
      <c r="DA53" s="39">
        <v>26445000</v>
      </c>
      <c r="DB53" s="39">
        <v>39877000</v>
      </c>
      <c r="DC53" s="39">
        <v>28564000</v>
      </c>
      <c r="DD53" s="39">
        <v>39991000</v>
      </c>
      <c r="DE53" s="39">
        <v>27761000</v>
      </c>
      <c r="DF53" s="62">
        <v>47037000</v>
      </c>
      <c r="DG53" s="41">
        <v>59.019999999999996</v>
      </c>
      <c r="DH53" s="41">
        <v>69.69</v>
      </c>
      <c r="DI53" s="41">
        <v>3.4799999999999995</v>
      </c>
      <c r="DJ53" s="37" t="s">
        <v>390</v>
      </c>
      <c r="DK53" s="40">
        <v>162000</v>
      </c>
      <c r="DL53" s="40">
        <v>288000</v>
      </c>
      <c r="DM53" s="40">
        <v>21990.2</v>
      </c>
      <c r="DN53" s="40">
        <v>30058</v>
      </c>
      <c r="DO53" s="40">
        <v>32610</v>
      </c>
      <c r="DP53" s="40">
        <v>387523</v>
      </c>
      <c r="DQ53" s="64">
        <v>2</v>
      </c>
      <c r="DR53" s="40">
        <v>6302</v>
      </c>
      <c r="DS53" s="65">
        <v>1</v>
      </c>
      <c r="DT53" s="38">
        <v>10</v>
      </c>
      <c r="DU53" s="66">
        <v>17199.2</v>
      </c>
      <c r="DV53" s="41">
        <v>40</v>
      </c>
      <c r="DW53" s="41">
        <v>60</v>
      </c>
      <c r="DX53" s="41">
        <v>0</v>
      </c>
      <c r="DY53" s="41">
        <v>0</v>
      </c>
      <c r="DZ53" s="41">
        <v>0</v>
      </c>
      <c r="EA53" s="41">
        <v>60</v>
      </c>
      <c r="EB53" s="41">
        <v>40</v>
      </c>
      <c r="EC53" s="40">
        <v>1075</v>
      </c>
      <c r="ED53" s="184">
        <v>159.99255813953488</v>
      </c>
    </row>
    <row r="54" spans="1:134" s="13" customFormat="1">
      <c r="A54" s="156" t="s">
        <v>202</v>
      </c>
      <c r="B54" s="285">
        <v>2014</v>
      </c>
      <c r="C54" s="259">
        <v>4</v>
      </c>
      <c r="D54" s="80" t="s">
        <v>342</v>
      </c>
      <c r="E54" s="56">
        <v>3220</v>
      </c>
      <c r="F54" s="56">
        <v>29376</v>
      </c>
      <c r="G54" s="82">
        <v>6.2269472770666088</v>
      </c>
      <c r="H54" s="179">
        <v>9.1</v>
      </c>
      <c r="I54" s="56">
        <v>14876</v>
      </c>
      <c r="J54" s="56">
        <v>50.639978213507632</v>
      </c>
      <c r="K54" s="56">
        <v>14500</v>
      </c>
      <c r="L54" s="279">
        <v>49.360021786492375</v>
      </c>
      <c r="M54" s="160">
        <v>24.863834422657952</v>
      </c>
      <c r="N54" s="160">
        <v>50.180419389978212</v>
      </c>
      <c r="O54" s="160">
        <v>24.955746187363832</v>
      </c>
      <c r="P54" s="160">
        <v>36.288126361655777</v>
      </c>
      <c r="Q54" s="160">
        <v>38.756127450980394</v>
      </c>
      <c r="R54" s="160">
        <v>24.955746187363832</v>
      </c>
      <c r="S54" s="83">
        <v>2.8348920994213764</v>
      </c>
      <c r="T54" s="83">
        <v>3.3</v>
      </c>
      <c r="U54" s="38">
        <v>61</v>
      </c>
      <c r="V54" s="41">
        <v>4.5</v>
      </c>
      <c r="W54" s="40">
        <v>44817</v>
      </c>
      <c r="X54" s="41">
        <v>2.4</v>
      </c>
      <c r="Y54" s="42" t="s">
        <v>350</v>
      </c>
      <c r="Z54" s="43">
        <v>2356</v>
      </c>
      <c r="AA54" s="45">
        <v>19</v>
      </c>
      <c r="AB54" s="63">
        <v>401</v>
      </c>
      <c r="AC54" s="63">
        <v>80276.682000000001</v>
      </c>
      <c r="AD54" s="43">
        <v>78</v>
      </c>
      <c r="AE54" s="44">
        <v>0.25</v>
      </c>
      <c r="AF54" s="44">
        <v>5.5028999999999995</v>
      </c>
      <c r="AG54" s="41">
        <v>74.11</v>
      </c>
      <c r="AH54" s="41">
        <v>25.89</v>
      </c>
      <c r="AI54" s="44">
        <v>3.24</v>
      </c>
      <c r="AJ54" s="41">
        <v>5.0834999999999999</v>
      </c>
      <c r="AK54" s="41">
        <v>7.7392864536608927</v>
      </c>
      <c r="AL54" s="41">
        <v>24.675599999999999</v>
      </c>
      <c r="AM54" s="39">
        <v>57032</v>
      </c>
      <c r="AN54" s="39">
        <v>56627</v>
      </c>
      <c r="AO54" s="40">
        <v>57923</v>
      </c>
      <c r="AP54" s="40">
        <v>64676</v>
      </c>
      <c r="AQ54" s="39">
        <v>10067000</v>
      </c>
      <c r="AR54" s="44">
        <v>830.67909893555577</v>
      </c>
      <c r="AS54" s="39">
        <v>12119</v>
      </c>
      <c r="AT54" s="46">
        <v>10596000</v>
      </c>
      <c r="AU54" s="50">
        <v>880.79800498753116</v>
      </c>
      <c r="AV54" s="39">
        <v>12030</v>
      </c>
      <c r="AW54" s="46">
        <v>11023000</v>
      </c>
      <c r="AX54" s="47">
        <v>886.80611423974256</v>
      </c>
      <c r="AY54" s="39">
        <v>12430</v>
      </c>
      <c r="AZ54" s="41">
        <v>66.5</v>
      </c>
      <c r="BA54" s="41">
        <v>19.19549477071601</v>
      </c>
      <c r="BB54" s="46">
        <v>2247000</v>
      </c>
      <c r="BC54" s="48">
        <v>1572.4282715185445</v>
      </c>
      <c r="BD54" s="40">
        <v>1429</v>
      </c>
      <c r="BE54" s="46">
        <v>4136000</v>
      </c>
      <c r="BF54" s="44">
        <v>4550.0550055005497</v>
      </c>
      <c r="BG54" s="40">
        <v>909</v>
      </c>
      <c r="BH54" s="49" t="s">
        <v>382</v>
      </c>
      <c r="BI54" s="49" t="s">
        <v>382</v>
      </c>
      <c r="BJ54" s="213">
        <v>0</v>
      </c>
      <c r="BK54" s="47">
        <v>138.33287372170517</v>
      </c>
      <c r="BL54" s="55">
        <v>11019000</v>
      </c>
      <c r="BM54" s="41">
        <v>19.023531239749321</v>
      </c>
      <c r="BN54" s="56">
        <v>16827000</v>
      </c>
      <c r="BO54" s="41">
        <v>29.050636189423891</v>
      </c>
      <c r="BP54" s="56">
        <v>6536000</v>
      </c>
      <c r="BQ54" s="41">
        <v>11.283945928215044</v>
      </c>
      <c r="BR54" s="39">
        <v>1891000</v>
      </c>
      <c r="BS54" s="41">
        <v>3.2646789703571981</v>
      </c>
      <c r="BT54" s="39">
        <v>5610000</v>
      </c>
      <c r="BU54" s="41">
        <v>9.6852718263902062</v>
      </c>
      <c r="BV54" s="56">
        <v>11730000</v>
      </c>
      <c r="BW54" s="41">
        <v>20.251022909724981</v>
      </c>
      <c r="BX54" s="40">
        <v>4310000</v>
      </c>
      <c r="BY54" s="41">
        <v>7.4409129361393571</v>
      </c>
      <c r="BZ54" s="57">
        <v>375.10212418300654</v>
      </c>
      <c r="CA54" s="58">
        <v>222.49455337690631</v>
      </c>
      <c r="CB54" s="59">
        <v>510.38262527233115</v>
      </c>
      <c r="CC54" s="47">
        <v>64.372276688453155</v>
      </c>
      <c r="CD54" s="58">
        <v>156.93082788671023</v>
      </c>
      <c r="CE54" s="59">
        <v>62.43191721132898</v>
      </c>
      <c r="CF54" s="59">
        <v>146.71840958605665</v>
      </c>
      <c r="CG54" s="59">
        <v>34.041394335511981</v>
      </c>
      <c r="CH54" s="47">
        <v>399.30555555555554</v>
      </c>
      <c r="CI54" s="43">
        <v>1348</v>
      </c>
      <c r="CJ54" s="44">
        <v>237.08769106999196</v>
      </c>
      <c r="CK54" s="60">
        <v>42.688453913658527</v>
      </c>
      <c r="CL54" s="53">
        <v>4928.6819999999998</v>
      </c>
      <c r="CM54" s="41">
        <v>30.971407443118647</v>
      </c>
      <c r="CN54" s="53">
        <v>1864.6100000000001</v>
      </c>
      <c r="CO54" s="41">
        <v>11.717046470539886</v>
      </c>
      <c r="CP54" s="54">
        <v>9120.3700000000008</v>
      </c>
      <c r="CQ54" s="41">
        <v>57.311608925468526</v>
      </c>
      <c r="CR54" s="43">
        <v>16144</v>
      </c>
      <c r="CS54" s="52">
        <v>45.664023785926659</v>
      </c>
      <c r="CT54" s="41">
        <v>1189.83</v>
      </c>
      <c r="CU54" s="41">
        <v>40.503472222222221</v>
      </c>
      <c r="CV54" s="52">
        <v>1232</v>
      </c>
      <c r="CW54" s="38">
        <v>1</v>
      </c>
      <c r="CX54" s="38">
        <v>5</v>
      </c>
      <c r="CY54" s="51">
        <v>1</v>
      </c>
      <c r="CZ54" s="61">
        <v>6.3021854575163401</v>
      </c>
      <c r="DA54" s="39">
        <v>5720000</v>
      </c>
      <c r="DB54" s="39">
        <v>7370000</v>
      </c>
      <c r="DC54" s="39">
        <v>4279000</v>
      </c>
      <c r="DD54" s="39">
        <v>5102000</v>
      </c>
      <c r="DE54" s="39">
        <v>5106000</v>
      </c>
      <c r="DF54" s="62">
        <v>5725000</v>
      </c>
      <c r="DG54" s="41">
        <v>89.19</v>
      </c>
      <c r="DH54" s="41">
        <v>59.709999999999994</v>
      </c>
      <c r="DI54" s="41">
        <v>3.29</v>
      </c>
      <c r="DJ54" s="37" t="s">
        <v>390</v>
      </c>
      <c r="DK54" s="40">
        <v>46000</v>
      </c>
      <c r="DL54" s="40">
        <v>205000</v>
      </c>
      <c r="DM54" s="40">
        <v>0</v>
      </c>
      <c r="DN54" s="40">
        <v>15913</v>
      </c>
      <c r="DO54" s="40">
        <v>0</v>
      </c>
      <c r="DP54" s="40">
        <v>297000</v>
      </c>
      <c r="DQ54" s="64">
        <v>3</v>
      </c>
      <c r="DR54" s="40">
        <v>450</v>
      </c>
      <c r="DS54" s="65">
        <v>0</v>
      </c>
      <c r="DT54" s="38">
        <v>9</v>
      </c>
      <c r="DU54" s="66">
        <v>3264</v>
      </c>
      <c r="DV54" s="41">
        <v>22.222222222222221</v>
      </c>
      <c r="DW54" s="41">
        <v>77.777777777777786</v>
      </c>
      <c r="DX54" s="41">
        <v>11.111111111111111</v>
      </c>
      <c r="DY54" s="41">
        <v>0</v>
      </c>
      <c r="DZ54" s="41">
        <v>22.222222222222221</v>
      </c>
      <c r="EA54" s="41">
        <v>33.333333333333329</v>
      </c>
      <c r="EB54" s="41">
        <v>44.444444444444443</v>
      </c>
      <c r="EC54" s="40">
        <v>259</v>
      </c>
      <c r="ED54" s="184">
        <v>113.42084942084942</v>
      </c>
    </row>
    <row r="55" spans="1:134" s="13" customFormat="1">
      <c r="A55" s="156" t="s">
        <v>205</v>
      </c>
      <c r="B55" s="285">
        <v>2014</v>
      </c>
      <c r="C55" s="259">
        <v>4</v>
      </c>
      <c r="D55" s="80" t="s">
        <v>342</v>
      </c>
      <c r="E55" s="56">
        <v>3373.3</v>
      </c>
      <c r="F55" s="56">
        <v>36499</v>
      </c>
      <c r="G55" s="82">
        <v>4.7136791370208861</v>
      </c>
      <c r="H55" s="179">
        <v>10.8</v>
      </c>
      <c r="I55" s="56">
        <v>18104</v>
      </c>
      <c r="J55" s="56">
        <v>49.601358941340855</v>
      </c>
      <c r="K55" s="56">
        <v>18395</v>
      </c>
      <c r="L55" s="84">
        <v>50.398641058659145</v>
      </c>
      <c r="M55" s="160">
        <v>19.666292227184307</v>
      </c>
      <c r="N55" s="160">
        <v>39.006548124606155</v>
      </c>
      <c r="O55" s="160">
        <v>41.327159648209538</v>
      </c>
      <c r="P55" s="160">
        <v>26.225376037699661</v>
      </c>
      <c r="Q55" s="160">
        <v>32.447464314090794</v>
      </c>
      <c r="R55" s="160">
        <v>41.327159648209538</v>
      </c>
      <c r="S55" s="83">
        <v>3.8423559479553906</v>
      </c>
      <c r="T55" s="83">
        <v>2.4</v>
      </c>
      <c r="U55" s="38">
        <v>26</v>
      </c>
      <c r="V55" s="41">
        <v>8.6</v>
      </c>
      <c r="W55" s="40">
        <v>37398</v>
      </c>
      <c r="X55" s="41">
        <v>2.2000000000000002</v>
      </c>
      <c r="Y55" s="42" t="s">
        <v>139</v>
      </c>
      <c r="Z55" s="43">
        <v>2540</v>
      </c>
      <c r="AA55" s="45">
        <v>11</v>
      </c>
      <c r="AB55" s="63">
        <v>448</v>
      </c>
      <c r="AC55" s="63">
        <v>57790.891000000003</v>
      </c>
      <c r="AD55" s="43">
        <v>88</v>
      </c>
      <c r="AE55" s="44">
        <v>2.4</v>
      </c>
      <c r="AF55" s="44">
        <v>3.7214</v>
      </c>
      <c r="AG55" s="41">
        <v>58.88</v>
      </c>
      <c r="AH55" s="41">
        <v>41.12</v>
      </c>
      <c r="AI55" s="44">
        <v>5.63</v>
      </c>
      <c r="AJ55" s="41">
        <v>2.5333000000000001</v>
      </c>
      <c r="AK55" s="41">
        <v>11.938148697309892</v>
      </c>
      <c r="AL55" s="41">
        <v>8.1135999999999999</v>
      </c>
      <c r="AM55" s="39">
        <v>67181</v>
      </c>
      <c r="AN55" s="39">
        <v>65725</v>
      </c>
      <c r="AO55" s="40">
        <v>69171</v>
      </c>
      <c r="AP55" s="40">
        <v>90116</v>
      </c>
      <c r="AQ55" s="39">
        <v>21409000</v>
      </c>
      <c r="AR55" s="44">
        <v>1015.6553916219934</v>
      </c>
      <c r="AS55" s="39">
        <v>21079</v>
      </c>
      <c r="AT55" s="46">
        <v>23228000</v>
      </c>
      <c r="AU55" s="50">
        <v>1100.0710395453468</v>
      </c>
      <c r="AV55" s="39">
        <v>21115</v>
      </c>
      <c r="AW55" s="46">
        <v>23787000</v>
      </c>
      <c r="AX55" s="47">
        <v>1122.7167602775287</v>
      </c>
      <c r="AY55" s="39">
        <v>21187</v>
      </c>
      <c r="AZ55" s="41">
        <v>62.5</v>
      </c>
      <c r="BA55" s="41">
        <v>26.195308443857083</v>
      </c>
      <c r="BB55" s="46">
        <v>2955000</v>
      </c>
      <c r="BC55" s="48">
        <v>713.59574981888431</v>
      </c>
      <c r="BD55" s="40">
        <v>4141</v>
      </c>
      <c r="BE55" s="46">
        <v>3211000</v>
      </c>
      <c r="BF55" s="44">
        <v>3069.7896749521988</v>
      </c>
      <c r="BG55" s="40">
        <v>1046</v>
      </c>
      <c r="BH55" s="46">
        <v>44000</v>
      </c>
      <c r="BI55" s="49">
        <v>11000</v>
      </c>
      <c r="BJ55" s="45">
        <v>4</v>
      </c>
      <c r="BK55" s="47">
        <v>167.6491130446378</v>
      </c>
      <c r="BL55" s="55">
        <v>15529000</v>
      </c>
      <c r="BM55" s="41">
        <v>22.450159749027769</v>
      </c>
      <c r="BN55" s="56">
        <v>1821000</v>
      </c>
      <c r="BO55" s="41">
        <v>2.6326061499761457</v>
      </c>
      <c r="BP55" s="56">
        <v>14292000</v>
      </c>
      <c r="BQ55" s="41">
        <v>20.661838053519539</v>
      </c>
      <c r="BR55" s="39">
        <v>6884000</v>
      </c>
      <c r="BS55" s="41">
        <v>9.952147576296424</v>
      </c>
      <c r="BT55" s="39">
        <v>8636000</v>
      </c>
      <c r="BU55" s="41">
        <v>12.485000939700164</v>
      </c>
      <c r="BV55" s="56">
        <v>16491000</v>
      </c>
      <c r="BW55" s="41">
        <v>23.840915990805396</v>
      </c>
      <c r="BX55" s="40">
        <v>5518000</v>
      </c>
      <c r="BY55" s="41">
        <v>7.9773315406745606</v>
      </c>
      <c r="BZ55" s="57">
        <v>425.4637113345571</v>
      </c>
      <c r="CA55" s="58">
        <v>391.57237184580401</v>
      </c>
      <c r="CB55" s="43" t="s">
        <v>382</v>
      </c>
      <c r="CC55" s="47">
        <v>188.60790706594702</v>
      </c>
      <c r="CD55" s="58">
        <v>195.21082769390941</v>
      </c>
      <c r="CE55" s="59">
        <v>49.89177785692759</v>
      </c>
      <c r="CF55" s="59">
        <v>151.18222417052522</v>
      </c>
      <c r="CG55" s="59">
        <v>41.398394476561002</v>
      </c>
      <c r="CH55" s="47">
        <v>451.82059782459794</v>
      </c>
      <c r="CI55" s="43" t="s">
        <v>382</v>
      </c>
      <c r="CJ55" s="44">
        <v>368.90546089583233</v>
      </c>
      <c r="CK55" s="60">
        <v>54.827607944704617</v>
      </c>
      <c r="CL55" s="53">
        <v>7592.73</v>
      </c>
      <c r="CM55" s="41">
        <v>27.041976923216644</v>
      </c>
      <c r="CN55" s="53">
        <v>7800.43</v>
      </c>
      <c r="CO55" s="41">
        <v>27.781713303537309</v>
      </c>
      <c r="CP55" s="54">
        <v>12683.32</v>
      </c>
      <c r="CQ55" s="41">
        <v>45.172427670913116</v>
      </c>
      <c r="CR55" s="43">
        <v>15712</v>
      </c>
      <c r="CS55" s="52">
        <v>66.859725050916495</v>
      </c>
      <c r="CT55" s="41">
        <v>1120.9000000000001</v>
      </c>
      <c r="CU55" s="41">
        <v>30.710430422751308</v>
      </c>
      <c r="CV55" s="52">
        <v>901.3</v>
      </c>
      <c r="CW55" s="38">
        <v>11</v>
      </c>
      <c r="CX55" s="38">
        <v>18</v>
      </c>
      <c r="CY55" s="51">
        <v>5</v>
      </c>
      <c r="CZ55" s="61">
        <v>8.1300035617414181</v>
      </c>
      <c r="DA55" s="39">
        <v>6037000</v>
      </c>
      <c r="DB55" s="39">
        <v>12179000</v>
      </c>
      <c r="DC55" s="39">
        <v>8648000</v>
      </c>
      <c r="DD55" s="39">
        <v>8660000</v>
      </c>
      <c r="DE55" s="39">
        <v>9783000</v>
      </c>
      <c r="DF55" s="62">
        <v>9314000</v>
      </c>
      <c r="DG55" s="41">
        <v>105.04</v>
      </c>
      <c r="DH55" s="41">
        <v>110.57</v>
      </c>
      <c r="DI55" s="41">
        <v>3.52</v>
      </c>
      <c r="DJ55" s="37" t="s">
        <v>390</v>
      </c>
      <c r="DK55" s="40">
        <v>47000</v>
      </c>
      <c r="DL55" s="40">
        <v>200000</v>
      </c>
      <c r="DM55" s="40">
        <v>0</v>
      </c>
      <c r="DN55" s="40">
        <v>12961</v>
      </c>
      <c r="DO55" s="40">
        <v>15127</v>
      </c>
      <c r="DP55" s="40">
        <v>278926</v>
      </c>
      <c r="DQ55" s="64">
        <v>0</v>
      </c>
      <c r="DR55" s="40">
        <v>0</v>
      </c>
      <c r="DS55" s="65">
        <v>0</v>
      </c>
      <c r="DT55" s="38">
        <v>9</v>
      </c>
      <c r="DU55" s="66">
        <v>4055.4444444444443</v>
      </c>
      <c r="DV55" s="41">
        <v>55.555555555555557</v>
      </c>
      <c r="DW55" s="41">
        <v>44.444444444444443</v>
      </c>
      <c r="DX55" s="41">
        <v>11.111111111111111</v>
      </c>
      <c r="DY55" s="41">
        <v>0</v>
      </c>
      <c r="DZ55" s="41">
        <v>0</v>
      </c>
      <c r="EA55" s="41">
        <v>33.333333333333329</v>
      </c>
      <c r="EB55" s="41">
        <v>66.666666666666657</v>
      </c>
      <c r="EC55" s="40">
        <v>292</v>
      </c>
      <c r="ED55" s="184">
        <v>124.99657534246575</v>
      </c>
    </row>
    <row r="56" spans="1:134" s="13" customFormat="1">
      <c r="A56" s="156" t="s">
        <v>204</v>
      </c>
      <c r="B56" s="285">
        <v>2014</v>
      </c>
      <c r="C56" s="259">
        <v>11</v>
      </c>
      <c r="D56" s="80" t="s">
        <v>345</v>
      </c>
      <c r="E56" s="56">
        <v>5749.3</v>
      </c>
      <c r="F56" s="56">
        <v>10258</v>
      </c>
      <c r="G56" s="82">
        <v>2.4877610150864222</v>
      </c>
      <c r="H56" s="179">
        <v>1.8</v>
      </c>
      <c r="I56" s="56">
        <v>5151</v>
      </c>
      <c r="J56" s="56">
        <v>50.214466757652566</v>
      </c>
      <c r="K56" s="56">
        <v>5107</v>
      </c>
      <c r="L56" s="84">
        <v>49.785533242347434</v>
      </c>
      <c r="M56" s="160">
        <v>28.046402807564832</v>
      </c>
      <c r="N56" s="160">
        <v>45.525443556248781</v>
      </c>
      <c r="O56" s="160">
        <v>26.428153636186391</v>
      </c>
      <c r="P56" s="160">
        <v>36.654318580620007</v>
      </c>
      <c r="Q56" s="160">
        <v>36.917527783193606</v>
      </c>
      <c r="R56" s="160">
        <v>26.428153636186391</v>
      </c>
      <c r="S56" s="83">
        <v>2.0171149144254277</v>
      </c>
      <c r="T56" s="83">
        <v>1.7</v>
      </c>
      <c r="U56" s="38">
        <v>96</v>
      </c>
      <c r="V56" s="41">
        <v>6.6</v>
      </c>
      <c r="W56" s="40">
        <v>43097</v>
      </c>
      <c r="X56" s="41">
        <v>2.5</v>
      </c>
      <c r="Y56" s="42" t="s">
        <v>351</v>
      </c>
      <c r="Z56" s="43">
        <v>1412</v>
      </c>
      <c r="AA56" s="45">
        <v>2</v>
      </c>
      <c r="AB56" s="63">
        <v>127</v>
      </c>
      <c r="AC56" s="63">
        <v>13664.38</v>
      </c>
      <c r="AD56" s="43">
        <v>42</v>
      </c>
      <c r="AE56" s="44">
        <v>-4.18</v>
      </c>
      <c r="AF56" s="44">
        <v>4.8016000000000005</v>
      </c>
      <c r="AG56" s="41">
        <v>57.97</v>
      </c>
      <c r="AH56" s="41">
        <v>42.03</v>
      </c>
      <c r="AI56" s="44">
        <v>8.7100000000000009</v>
      </c>
      <c r="AJ56" s="41">
        <v>7.6947000000000001</v>
      </c>
      <c r="AK56" s="41">
        <v>3.1335877862595418</v>
      </c>
      <c r="AL56" s="41">
        <v>12.437999999999999</v>
      </c>
      <c r="AM56" s="39">
        <v>32836</v>
      </c>
      <c r="AN56" s="39">
        <v>31584</v>
      </c>
      <c r="AO56" s="40">
        <v>27398</v>
      </c>
      <c r="AP56" s="40">
        <v>28718</v>
      </c>
      <c r="AQ56" s="39">
        <v>1765000</v>
      </c>
      <c r="AR56" s="44">
        <v>499.57543164449476</v>
      </c>
      <c r="AS56" s="39">
        <v>3533</v>
      </c>
      <c r="AT56" s="46">
        <v>1813000</v>
      </c>
      <c r="AU56" s="50">
        <v>509.2696629213483</v>
      </c>
      <c r="AV56" s="39">
        <v>3560</v>
      </c>
      <c r="AW56" s="46">
        <v>1887000</v>
      </c>
      <c r="AX56" s="47">
        <v>525.48036758563069</v>
      </c>
      <c r="AY56" s="39">
        <v>3591</v>
      </c>
      <c r="AZ56" s="41">
        <v>67.5</v>
      </c>
      <c r="BA56" s="41">
        <v>23.781676413255358</v>
      </c>
      <c r="BB56" s="46">
        <v>4251000</v>
      </c>
      <c r="BC56" s="48">
        <v>1827.6010318142735</v>
      </c>
      <c r="BD56" s="40">
        <v>2326</v>
      </c>
      <c r="BE56" s="46">
        <v>224000</v>
      </c>
      <c r="BF56" s="44">
        <v>449.79919678714862</v>
      </c>
      <c r="BG56" s="40">
        <v>498</v>
      </c>
      <c r="BH56" s="49" t="s">
        <v>382</v>
      </c>
      <c r="BI56" s="49" t="s">
        <v>382</v>
      </c>
      <c r="BJ56" s="213">
        <v>0</v>
      </c>
      <c r="BK56" s="47">
        <v>241.16541889342975</v>
      </c>
      <c r="BL56" s="55">
        <v>4840000</v>
      </c>
      <c r="BM56" s="41">
        <v>17.665523030878166</v>
      </c>
      <c r="BN56" s="56">
        <v>4781000</v>
      </c>
      <c r="BO56" s="41">
        <v>17.45017884517118</v>
      </c>
      <c r="BP56" s="56">
        <v>1845000</v>
      </c>
      <c r="BQ56" s="41">
        <v>6.7340681801591362</v>
      </c>
      <c r="BR56" s="39">
        <v>2237000</v>
      </c>
      <c r="BS56" s="41">
        <v>8.1648295496021603</v>
      </c>
      <c r="BT56" s="39">
        <v>2816000</v>
      </c>
      <c r="BU56" s="41">
        <v>10.27812249069275</v>
      </c>
      <c r="BV56" s="56">
        <v>7209000</v>
      </c>
      <c r="BW56" s="41">
        <v>26.312139572231551</v>
      </c>
      <c r="BX56" s="40">
        <v>3670000</v>
      </c>
      <c r="BY56" s="41">
        <v>13.395138331265056</v>
      </c>
      <c r="BZ56" s="57">
        <v>471.82686683564049</v>
      </c>
      <c r="CA56" s="58">
        <v>179.85962175862741</v>
      </c>
      <c r="CB56" s="59">
        <v>309.41704035874437</v>
      </c>
      <c r="CC56" s="47">
        <v>218.0736985767206</v>
      </c>
      <c r="CD56" s="58">
        <v>219.53597192435171</v>
      </c>
      <c r="CE56" s="59">
        <v>156.65821797621368</v>
      </c>
      <c r="CF56" s="59">
        <v>357.76954572041336</v>
      </c>
      <c r="CG56" s="59">
        <v>54.981477870930007</v>
      </c>
      <c r="CH56" s="47">
        <v>702.76857087151495</v>
      </c>
      <c r="CI56" s="43">
        <v>1174</v>
      </c>
      <c r="CJ56" s="44">
        <v>157.61626287942079</v>
      </c>
      <c r="CK56" s="60">
        <v>17.191364699203913</v>
      </c>
      <c r="CL56" s="53">
        <v>1017.55</v>
      </c>
      <c r="CM56" s="41">
        <v>17.191364699203913</v>
      </c>
      <c r="CN56" s="53" t="s">
        <v>382</v>
      </c>
      <c r="CO56" s="41">
        <v>0</v>
      </c>
      <c r="CP56" s="54">
        <v>4901.41</v>
      </c>
      <c r="CQ56" s="41">
        <v>82.808635300796084</v>
      </c>
      <c r="CR56" s="43">
        <v>6611</v>
      </c>
      <c r="CS56" s="52">
        <v>59.960671607926187</v>
      </c>
      <c r="CT56" s="41">
        <v>2071.71</v>
      </c>
      <c r="CU56" s="41">
        <v>201.96042113472413</v>
      </c>
      <c r="CV56" s="52">
        <v>117.5</v>
      </c>
      <c r="CW56" s="38">
        <v>5</v>
      </c>
      <c r="CX56" s="38">
        <v>15</v>
      </c>
      <c r="CY56" s="51">
        <v>3</v>
      </c>
      <c r="CZ56" s="61">
        <v>3.302203158510431</v>
      </c>
      <c r="DA56" s="39">
        <v>4794000</v>
      </c>
      <c r="DB56" s="39">
        <v>8003000</v>
      </c>
      <c r="DC56" s="39">
        <v>5003000</v>
      </c>
      <c r="DD56" s="39">
        <v>5217000</v>
      </c>
      <c r="DE56" s="39">
        <v>4123000</v>
      </c>
      <c r="DF56" s="62">
        <v>4181000</v>
      </c>
      <c r="DG56" s="41">
        <v>98.61</v>
      </c>
      <c r="DH56" s="41">
        <v>102.45</v>
      </c>
      <c r="DI56" s="41">
        <v>0.08</v>
      </c>
      <c r="DJ56" s="37" t="s">
        <v>390</v>
      </c>
      <c r="DK56" s="40">
        <v>32000</v>
      </c>
      <c r="DL56" s="40">
        <v>98000</v>
      </c>
      <c r="DM56" s="40">
        <v>0</v>
      </c>
      <c r="DN56" s="40">
        <v>7489</v>
      </c>
      <c r="DO56" s="40">
        <v>0</v>
      </c>
      <c r="DP56" s="40">
        <v>193000</v>
      </c>
      <c r="DQ56" s="64">
        <v>0</v>
      </c>
      <c r="DR56" s="40">
        <v>0</v>
      </c>
      <c r="DS56" s="65">
        <v>0</v>
      </c>
      <c r="DT56" s="38">
        <v>9</v>
      </c>
      <c r="DU56" s="66">
        <v>1139.7777777777778</v>
      </c>
      <c r="DV56" s="41">
        <v>55.555555555555557</v>
      </c>
      <c r="DW56" s="41">
        <v>44.444444444444443</v>
      </c>
      <c r="DX56" s="41">
        <v>0</v>
      </c>
      <c r="DY56" s="41">
        <v>0</v>
      </c>
      <c r="DZ56" s="41">
        <v>0</v>
      </c>
      <c r="EA56" s="41">
        <v>33.333333333333329</v>
      </c>
      <c r="EB56" s="41">
        <v>66.666666666666657</v>
      </c>
      <c r="EC56" s="40">
        <v>114</v>
      </c>
      <c r="ED56" s="184">
        <v>89.982456140350877</v>
      </c>
    </row>
    <row r="57" spans="1:134" s="13" customFormat="1">
      <c r="A57" s="156" t="s">
        <v>203</v>
      </c>
      <c r="B57" s="285">
        <v>2014</v>
      </c>
      <c r="C57" s="259">
        <v>4</v>
      </c>
      <c r="D57" s="80" t="s">
        <v>342</v>
      </c>
      <c r="E57" s="56">
        <v>3729.1</v>
      </c>
      <c r="F57" s="56">
        <v>48941</v>
      </c>
      <c r="G57" s="82">
        <v>3.66220452427349</v>
      </c>
      <c r="H57" s="179">
        <v>13.1</v>
      </c>
      <c r="I57" s="56">
        <v>24057</v>
      </c>
      <c r="J57" s="56">
        <v>49.155105126580985</v>
      </c>
      <c r="K57" s="56">
        <v>24884</v>
      </c>
      <c r="L57" s="84">
        <v>50.844894873419008</v>
      </c>
      <c r="M57" s="160">
        <v>24.390592754541181</v>
      </c>
      <c r="N57" s="160">
        <v>43.519748268323085</v>
      </c>
      <c r="O57" s="160">
        <v>32.089658977135734</v>
      </c>
      <c r="P57" s="160">
        <v>32.41045340307717</v>
      </c>
      <c r="Q57" s="160">
        <v>35.499887619787089</v>
      </c>
      <c r="R57" s="160">
        <v>32.089658977135734</v>
      </c>
      <c r="S57" s="83">
        <v>5.3759051159192968</v>
      </c>
      <c r="T57" s="83">
        <v>2.2000000000000002</v>
      </c>
      <c r="U57" s="38">
        <v>12</v>
      </c>
      <c r="V57" s="41">
        <v>9.1</v>
      </c>
      <c r="W57" s="40">
        <v>37105</v>
      </c>
      <c r="X57" s="41">
        <v>2.4</v>
      </c>
      <c r="Y57" s="42" t="s">
        <v>350</v>
      </c>
      <c r="Z57" s="43">
        <v>3304</v>
      </c>
      <c r="AA57" s="45">
        <v>7</v>
      </c>
      <c r="AB57" s="63">
        <v>446</v>
      </c>
      <c r="AC57" s="63">
        <v>84296.846999999994</v>
      </c>
      <c r="AD57" s="43">
        <v>102</v>
      </c>
      <c r="AE57" s="44">
        <v>-12.63</v>
      </c>
      <c r="AF57" s="44">
        <v>1.3333000000000002</v>
      </c>
      <c r="AG57" s="41">
        <v>61.11</v>
      </c>
      <c r="AH57" s="41">
        <v>38.89</v>
      </c>
      <c r="AI57" s="44">
        <v>5.53</v>
      </c>
      <c r="AJ57" s="41">
        <v>2.9327999999999999</v>
      </c>
      <c r="AK57" s="41">
        <v>9.7275989464566663</v>
      </c>
      <c r="AL57" s="41">
        <v>8.3674999999999997</v>
      </c>
      <c r="AM57" s="39">
        <v>69473</v>
      </c>
      <c r="AN57" s="39">
        <v>65437</v>
      </c>
      <c r="AO57" s="40">
        <v>63773</v>
      </c>
      <c r="AP57" s="40">
        <v>73405</v>
      </c>
      <c r="AQ57" s="39">
        <v>18261000</v>
      </c>
      <c r="AR57" s="44">
        <v>833.49308503354791</v>
      </c>
      <c r="AS57" s="39">
        <v>21909</v>
      </c>
      <c r="AT57" s="46">
        <v>18874000</v>
      </c>
      <c r="AU57" s="50">
        <v>896.58448529761051</v>
      </c>
      <c r="AV57" s="39">
        <v>21051</v>
      </c>
      <c r="AW57" s="46">
        <v>20581000</v>
      </c>
      <c r="AX57" s="47">
        <v>971.9480519480519</v>
      </c>
      <c r="AY57" s="39">
        <v>21175</v>
      </c>
      <c r="AZ57" s="41">
        <v>64.8</v>
      </c>
      <c r="BA57" s="41">
        <v>28.122786304604485</v>
      </c>
      <c r="BB57" s="46">
        <v>2516000</v>
      </c>
      <c r="BC57" s="48">
        <v>1633.7662337662337</v>
      </c>
      <c r="BD57" s="40">
        <v>1540</v>
      </c>
      <c r="BE57" s="46">
        <v>4636000</v>
      </c>
      <c r="BF57" s="44">
        <v>3996.5517241379312</v>
      </c>
      <c r="BG57" s="40">
        <v>1160</v>
      </c>
      <c r="BH57" s="49" t="s">
        <v>382</v>
      </c>
      <c r="BI57" s="49" t="s">
        <v>382</v>
      </c>
      <c r="BJ57" s="213">
        <v>0</v>
      </c>
      <c r="BK57" s="47">
        <v>138.32117012223705</v>
      </c>
      <c r="BL57" s="55">
        <v>10111000</v>
      </c>
      <c r="BM57" s="41">
        <v>15.85467203989149</v>
      </c>
      <c r="BN57" s="56">
        <v>1483000</v>
      </c>
      <c r="BO57" s="41">
        <v>2.3254355291424269</v>
      </c>
      <c r="BP57" s="56">
        <v>11935000</v>
      </c>
      <c r="BQ57" s="41">
        <v>18.714816615181974</v>
      </c>
      <c r="BR57" s="39">
        <v>2594000</v>
      </c>
      <c r="BS57" s="41">
        <v>4.0675520988506113</v>
      </c>
      <c r="BT57" s="39">
        <v>8874000</v>
      </c>
      <c r="BU57" s="41">
        <v>13.91497969360074</v>
      </c>
      <c r="BV57" s="56">
        <v>26761000</v>
      </c>
      <c r="BW57" s="41">
        <v>41.96289965973061</v>
      </c>
      <c r="BX57" s="40">
        <v>2015000</v>
      </c>
      <c r="BY57" s="41">
        <v>3.1596443636021516</v>
      </c>
      <c r="BZ57" s="57">
        <v>206.59569685948387</v>
      </c>
      <c r="CA57" s="58">
        <v>243.86506201344477</v>
      </c>
      <c r="CB57" s="43" t="s">
        <v>382</v>
      </c>
      <c r="CC57" s="47">
        <v>53.002594961279911</v>
      </c>
      <c r="CD57" s="58">
        <v>133.20120144663983</v>
      </c>
      <c r="CE57" s="59">
        <v>30.301791953576757</v>
      </c>
      <c r="CF57" s="59">
        <v>41.172023456815346</v>
      </c>
      <c r="CG57" s="59">
        <v>48.119163891215955</v>
      </c>
      <c r="CH57" s="47">
        <v>546.80125048527816</v>
      </c>
      <c r="CI57" s="43" t="s">
        <v>382</v>
      </c>
      <c r="CJ57" s="44">
        <v>383.32939787485242</v>
      </c>
      <c r="CK57" s="60">
        <v>45.5588734017267</v>
      </c>
      <c r="CL57" s="53">
        <v>8419.0380000000005</v>
      </c>
      <c r="CM57" s="41">
        <v>24.915032104112463</v>
      </c>
      <c r="CN57" s="53">
        <v>6975.76</v>
      </c>
      <c r="CO57" s="41">
        <v>20.643841297614234</v>
      </c>
      <c r="CP57" s="54">
        <v>18396.21</v>
      </c>
      <c r="CQ57" s="41">
        <v>54.441156191953844</v>
      </c>
      <c r="CR57" s="43">
        <v>28406</v>
      </c>
      <c r="CS57" s="52">
        <v>65.024994719425479</v>
      </c>
      <c r="CT57" s="41">
        <v>1724.18</v>
      </c>
      <c r="CU57" s="41">
        <v>35.229766453484807</v>
      </c>
      <c r="CV57" s="52">
        <v>1050</v>
      </c>
      <c r="CW57" s="38">
        <v>6</v>
      </c>
      <c r="CX57" s="38">
        <v>11</v>
      </c>
      <c r="CY57" s="51">
        <v>5</v>
      </c>
      <c r="CZ57" s="61">
        <v>7.9773196297582807</v>
      </c>
      <c r="DA57" s="39">
        <v>8580000</v>
      </c>
      <c r="DB57" s="39">
        <v>20060000</v>
      </c>
      <c r="DC57" s="39">
        <v>6728000</v>
      </c>
      <c r="DD57" s="39">
        <v>16061000</v>
      </c>
      <c r="DE57" s="39">
        <v>7749000</v>
      </c>
      <c r="DF57" s="62">
        <v>11149000</v>
      </c>
      <c r="DG57" s="41">
        <v>69.5</v>
      </c>
      <c r="DH57" s="41">
        <v>67.67</v>
      </c>
      <c r="DI57" s="41">
        <v>11.85</v>
      </c>
      <c r="DJ57" s="37" t="s">
        <v>390</v>
      </c>
      <c r="DK57" s="40">
        <v>45000</v>
      </c>
      <c r="DL57" s="40">
        <v>200000</v>
      </c>
      <c r="DM57" s="40">
        <v>0</v>
      </c>
      <c r="DN57" s="40">
        <v>6968</v>
      </c>
      <c r="DO57" s="40">
        <v>0</v>
      </c>
      <c r="DP57" s="40">
        <v>255186</v>
      </c>
      <c r="DQ57" s="64">
        <v>0</v>
      </c>
      <c r="DR57" s="40">
        <v>0</v>
      </c>
      <c r="DS57" s="65">
        <v>0</v>
      </c>
      <c r="DT57" s="38">
        <v>9</v>
      </c>
      <c r="DU57" s="66">
        <v>5437.8888888888887</v>
      </c>
      <c r="DV57" s="41">
        <v>22.222222222222221</v>
      </c>
      <c r="DW57" s="41">
        <v>77.777777777777786</v>
      </c>
      <c r="DX57" s="41">
        <v>0</v>
      </c>
      <c r="DY57" s="41">
        <v>0</v>
      </c>
      <c r="DZ57" s="41">
        <v>0</v>
      </c>
      <c r="EA57" s="41">
        <v>77.777777777777786</v>
      </c>
      <c r="EB57" s="41">
        <v>22.222222222222221</v>
      </c>
      <c r="EC57" s="40">
        <v>248</v>
      </c>
      <c r="ED57" s="184">
        <v>197.34274193548387</v>
      </c>
    </row>
    <row r="58" spans="1:134" s="13" customFormat="1">
      <c r="A58" s="156" t="s">
        <v>206</v>
      </c>
      <c r="B58" s="285">
        <v>2014</v>
      </c>
      <c r="C58" s="259">
        <v>4</v>
      </c>
      <c r="D58" s="80" t="s">
        <v>342</v>
      </c>
      <c r="E58" s="56">
        <v>1639.9</v>
      </c>
      <c r="F58" s="56">
        <v>25811</v>
      </c>
      <c r="G58" s="82">
        <v>2.8326693227091635</v>
      </c>
      <c r="H58" s="179">
        <v>15.7</v>
      </c>
      <c r="I58" s="56">
        <v>13211</v>
      </c>
      <c r="J58" s="56">
        <v>51.183603889814421</v>
      </c>
      <c r="K58" s="56">
        <v>12600</v>
      </c>
      <c r="L58" s="84">
        <v>48.816396110185579</v>
      </c>
      <c r="M58" s="160">
        <v>28.728061679129052</v>
      </c>
      <c r="N58" s="160">
        <v>51.617527410793848</v>
      </c>
      <c r="O58" s="160">
        <v>19.6544109100771</v>
      </c>
      <c r="P58" s="160">
        <v>42.551625276045094</v>
      </c>
      <c r="Q58" s="160">
        <v>37.793963813877809</v>
      </c>
      <c r="R58" s="160">
        <v>19.6544109100771</v>
      </c>
      <c r="S58" s="83">
        <v>4.1126251846987358</v>
      </c>
      <c r="T58" s="83">
        <v>20.6</v>
      </c>
      <c r="U58" s="38">
        <v>73</v>
      </c>
      <c r="V58" s="41">
        <v>4.5999999999999996</v>
      </c>
      <c r="W58" s="40">
        <v>42375</v>
      </c>
      <c r="X58" s="41">
        <v>2.7</v>
      </c>
      <c r="Y58" s="42" t="s">
        <v>95</v>
      </c>
      <c r="Z58" s="43">
        <v>3063</v>
      </c>
      <c r="AA58" s="45">
        <v>8</v>
      </c>
      <c r="AB58" s="63">
        <v>217</v>
      </c>
      <c r="AC58" s="63">
        <v>39727.980000000003</v>
      </c>
      <c r="AD58" s="43">
        <v>35</v>
      </c>
      <c r="AE58" s="44">
        <v>6.5</v>
      </c>
      <c r="AF58" s="44">
        <v>3.0447000000000002</v>
      </c>
      <c r="AG58" s="41">
        <v>76.42</v>
      </c>
      <c r="AH58" s="41">
        <v>23.58</v>
      </c>
      <c r="AI58" s="44">
        <v>8.77</v>
      </c>
      <c r="AJ58" s="41">
        <v>4.9443999999999999</v>
      </c>
      <c r="AK58" s="41">
        <v>5.9908012213504422</v>
      </c>
      <c r="AL58" s="41">
        <v>7.0104999999999995</v>
      </c>
      <c r="AM58" s="39">
        <v>45600</v>
      </c>
      <c r="AN58" s="39">
        <v>45946</v>
      </c>
      <c r="AO58" s="40">
        <v>48384</v>
      </c>
      <c r="AP58" s="40">
        <v>57493</v>
      </c>
      <c r="AQ58" s="39">
        <v>6982000</v>
      </c>
      <c r="AR58" s="44">
        <v>837.57197696737046</v>
      </c>
      <c r="AS58" s="39">
        <v>8336</v>
      </c>
      <c r="AT58" s="46">
        <v>7287000</v>
      </c>
      <c r="AU58" s="50">
        <v>871.75499461658092</v>
      </c>
      <c r="AV58" s="39">
        <v>8359</v>
      </c>
      <c r="AW58" s="46">
        <v>7485000</v>
      </c>
      <c r="AX58" s="47">
        <v>890.01189060642093</v>
      </c>
      <c r="AY58" s="39">
        <v>8410</v>
      </c>
      <c r="AZ58" s="41">
        <v>63.1</v>
      </c>
      <c r="BA58" s="41">
        <v>17.265160523186683</v>
      </c>
      <c r="BB58" s="46">
        <v>4786000</v>
      </c>
      <c r="BC58" s="48">
        <v>3344.5143256464012</v>
      </c>
      <c r="BD58" s="40">
        <v>1431</v>
      </c>
      <c r="BE58" s="46">
        <v>2438000</v>
      </c>
      <c r="BF58" s="44">
        <v>2315.289648622982</v>
      </c>
      <c r="BG58" s="40">
        <v>1053</v>
      </c>
      <c r="BH58" s="49" t="s">
        <v>382</v>
      </c>
      <c r="BI58" s="49" t="s">
        <v>382</v>
      </c>
      <c r="BJ58" s="213">
        <v>0</v>
      </c>
      <c r="BK58" s="47">
        <v>91.269993201441295</v>
      </c>
      <c r="BL58" s="55">
        <v>8041000</v>
      </c>
      <c r="BM58" s="41">
        <v>16.620504340636629</v>
      </c>
      <c r="BN58" s="56">
        <v>13460000</v>
      </c>
      <c r="BO58" s="41">
        <v>27.821413807358415</v>
      </c>
      <c r="BP58" s="56">
        <v>4508000</v>
      </c>
      <c r="BQ58" s="41">
        <v>9.3178999586606039</v>
      </c>
      <c r="BR58" s="39">
        <v>4314000</v>
      </c>
      <c r="BS58" s="41">
        <v>8.9169078131459294</v>
      </c>
      <c r="BT58" s="39">
        <v>7819000</v>
      </c>
      <c r="BU58" s="41">
        <v>16.161637040099215</v>
      </c>
      <c r="BV58" s="56">
        <v>7384000</v>
      </c>
      <c r="BW58" s="41">
        <v>15.262505167424557</v>
      </c>
      <c r="BX58" s="40">
        <v>2854000</v>
      </c>
      <c r="BY58" s="41">
        <v>5.8991318726746584</v>
      </c>
      <c r="BZ58" s="57">
        <v>311.53384216031924</v>
      </c>
      <c r="CA58" s="58">
        <v>174.65421719421951</v>
      </c>
      <c r="CB58" s="59">
        <v>472.82166518151178</v>
      </c>
      <c r="CC58" s="47">
        <v>167.13804192011159</v>
      </c>
      <c r="CD58" s="58">
        <v>268.18023323389252</v>
      </c>
      <c r="CE58" s="59">
        <v>48.661423424121502</v>
      </c>
      <c r="CF58" s="59">
        <v>110.57301150672194</v>
      </c>
      <c r="CG58" s="59">
        <v>34.752624849870209</v>
      </c>
      <c r="CH58" s="47">
        <v>286.0795784742939</v>
      </c>
      <c r="CI58" s="43">
        <v>1440</v>
      </c>
      <c r="CJ58" s="44">
        <v>268.72770511296073</v>
      </c>
      <c r="CK58" s="60">
        <v>26.601717305151919</v>
      </c>
      <c r="CL58" s="53">
        <v>1467</v>
      </c>
      <c r="CM58" s="41">
        <v>12.111955085865258</v>
      </c>
      <c r="CN58" s="53">
        <v>1755</v>
      </c>
      <c r="CO58" s="41">
        <v>14.489762219286659</v>
      </c>
      <c r="CP58" s="54">
        <v>8890</v>
      </c>
      <c r="CQ58" s="41">
        <v>73.398282694848078</v>
      </c>
      <c r="CR58" s="43">
        <v>8528</v>
      </c>
      <c r="CS58" s="52">
        <v>62.757973733583498</v>
      </c>
      <c r="CT58" s="41">
        <v>1287.4199999999998</v>
      </c>
      <c r="CU58" s="41">
        <v>49.87873387315485</v>
      </c>
      <c r="CV58" s="52">
        <v>435.87</v>
      </c>
      <c r="CW58" s="38">
        <v>1</v>
      </c>
      <c r="CX58" s="38">
        <v>6</v>
      </c>
      <c r="CY58" s="51">
        <v>1</v>
      </c>
      <c r="CZ58" s="41">
        <v>5.6130332028979888</v>
      </c>
      <c r="DA58" s="39">
        <v>5975000</v>
      </c>
      <c r="DB58" s="39">
        <v>5758000</v>
      </c>
      <c r="DC58" s="39">
        <v>7716000</v>
      </c>
      <c r="DD58" s="39">
        <v>6711000</v>
      </c>
      <c r="DE58" s="39">
        <v>7149000</v>
      </c>
      <c r="DF58" s="62">
        <v>7107000</v>
      </c>
      <c r="DG58" s="41">
        <v>100.59</v>
      </c>
      <c r="DH58" s="41">
        <v>82.25</v>
      </c>
      <c r="DI58" s="41">
        <v>1.63</v>
      </c>
      <c r="DJ58" s="37" t="s">
        <v>390</v>
      </c>
      <c r="DK58" s="40">
        <v>102000</v>
      </c>
      <c r="DL58" s="40">
        <v>254000</v>
      </c>
      <c r="DM58" s="40">
        <v>0</v>
      </c>
      <c r="DN58" s="40">
        <v>14300</v>
      </c>
      <c r="DO58" s="40">
        <v>6938</v>
      </c>
      <c r="DP58" s="40">
        <v>262506</v>
      </c>
      <c r="DQ58" s="64">
        <v>5</v>
      </c>
      <c r="DR58" s="40">
        <v>2090</v>
      </c>
      <c r="DS58" s="65">
        <v>0</v>
      </c>
      <c r="DT58" s="38">
        <v>12</v>
      </c>
      <c r="DU58" s="66">
        <v>2150.9166666666665</v>
      </c>
      <c r="DV58" s="41">
        <v>33.333333333333329</v>
      </c>
      <c r="DW58" s="41">
        <v>66.666666666666657</v>
      </c>
      <c r="DX58" s="41">
        <v>0</v>
      </c>
      <c r="DY58" s="41">
        <v>25</v>
      </c>
      <c r="DZ58" s="41">
        <v>0</v>
      </c>
      <c r="EA58" s="41">
        <v>58.333333333333336</v>
      </c>
      <c r="EB58" s="41">
        <v>41.666666666666671</v>
      </c>
      <c r="EC58" s="40">
        <v>280</v>
      </c>
      <c r="ED58" s="184">
        <v>92.182142857142864</v>
      </c>
    </row>
    <row r="59" spans="1:134" s="13" customFormat="1">
      <c r="A59" s="156" t="s">
        <v>207</v>
      </c>
      <c r="B59" s="285">
        <v>2014</v>
      </c>
      <c r="C59" s="259">
        <v>9</v>
      </c>
      <c r="D59" s="80" t="s">
        <v>344</v>
      </c>
      <c r="E59" s="56">
        <v>2457.1</v>
      </c>
      <c r="F59" s="56">
        <v>3755</v>
      </c>
      <c r="G59" s="82">
        <v>-0.10641127959563715</v>
      </c>
      <c r="H59" s="179">
        <v>1.5</v>
      </c>
      <c r="I59" s="56">
        <v>1884</v>
      </c>
      <c r="J59" s="56">
        <v>50.173102529960055</v>
      </c>
      <c r="K59" s="56">
        <v>1871</v>
      </c>
      <c r="L59" s="84">
        <v>49.826897470039953</v>
      </c>
      <c r="M59" s="160">
        <v>26.870838881491345</v>
      </c>
      <c r="N59" s="160">
        <v>45.299600532623167</v>
      </c>
      <c r="O59" s="160">
        <v>27.829560585885488</v>
      </c>
      <c r="P59" s="160">
        <v>35.792276964047936</v>
      </c>
      <c r="Q59" s="160">
        <v>36.378162450066576</v>
      </c>
      <c r="R59" s="160">
        <v>27.829560585885488</v>
      </c>
      <c r="S59" s="83">
        <v>2.5116025116025118</v>
      </c>
      <c r="T59" s="83">
        <v>1.5</v>
      </c>
      <c r="U59" s="38">
        <v>64</v>
      </c>
      <c r="V59" s="41">
        <v>3.7</v>
      </c>
      <c r="W59" s="40">
        <v>43135</v>
      </c>
      <c r="X59" s="41">
        <v>2.5</v>
      </c>
      <c r="Y59" s="42" t="s">
        <v>351</v>
      </c>
      <c r="Z59" s="43">
        <v>464</v>
      </c>
      <c r="AA59" s="45">
        <v>0</v>
      </c>
      <c r="AB59" s="67">
        <v>39</v>
      </c>
      <c r="AC59" s="63">
        <v>1804.299</v>
      </c>
      <c r="AD59" s="43">
        <v>41</v>
      </c>
      <c r="AE59" s="44">
        <v>-3.65</v>
      </c>
      <c r="AF59" s="44">
        <v>3.3377999999999997</v>
      </c>
      <c r="AG59" s="41">
        <v>60.98</v>
      </c>
      <c r="AH59" s="41">
        <v>39.020000000000003</v>
      </c>
      <c r="AI59" s="44">
        <v>11.93</v>
      </c>
      <c r="AJ59" s="41">
        <v>55.233999999999995</v>
      </c>
      <c r="AK59" s="41">
        <v>0.20620794443238552</v>
      </c>
      <c r="AL59" s="41">
        <v>15.263299999999999</v>
      </c>
      <c r="AM59" s="39">
        <v>10974</v>
      </c>
      <c r="AN59" s="39">
        <v>10115</v>
      </c>
      <c r="AO59" s="40">
        <v>9550</v>
      </c>
      <c r="AP59" s="40">
        <v>9996</v>
      </c>
      <c r="AQ59" s="39">
        <v>598000</v>
      </c>
      <c r="AR59" s="44">
        <v>416.14474599860819</v>
      </c>
      <c r="AS59" s="39">
        <v>1437</v>
      </c>
      <c r="AT59" s="46">
        <v>625000</v>
      </c>
      <c r="AU59" s="50">
        <v>434.93</v>
      </c>
      <c r="AV59" s="39">
        <v>1437</v>
      </c>
      <c r="AW59" s="46">
        <v>816000</v>
      </c>
      <c r="AX59" s="47">
        <v>576.27118644067798</v>
      </c>
      <c r="AY59" s="39">
        <v>1416</v>
      </c>
      <c r="AZ59" s="41">
        <v>60.699999999999996</v>
      </c>
      <c r="BA59" s="41">
        <v>25.211864406779661</v>
      </c>
      <c r="BB59" s="46">
        <v>2024000</v>
      </c>
      <c r="BC59" s="48">
        <v>2219.2982456140353</v>
      </c>
      <c r="BD59" s="40">
        <v>912</v>
      </c>
      <c r="BE59" s="46">
        <v>99000</v>
      </c>
      <c r="BF59" s="44">
        <v>589.28571428571433</v>
      </c>
      <c r="BG59" s="40">
        <v>168</v>
      </c>
      <c r="BH59" s="49" t="s">
        <v>382</v>
      </c>
      <c r="BI59" s="49" t="s">
        <v>382</v>
      </c>
      <c r="BJ59" s="213">
        <v>0</v>
      </c>
      <c r="BK59" s="47">
        <v>168.17238142225247</v>
      </c>
      <c r="BL59" s="55">
        <v>2529000</v>
      </c>
      <c r="BM59" s="41">
        <v>26.481675392670155</v>
      </c>
      <c r="BN59" s="56">
        <v>2012000</v>
      </c>
      <c r="BO59" s="41">
        <v>21.06806282722513</v>
      </c>
      <c r="BP59" s="56">
        <v>666000</v>
      </c>
      <c r="BQ59" s="41">
        <v>6.9738219895287958</v>
      </c>
      <c r="BR59" s="39">
        <v>361000</v>
      </c>
      <c r="BS59" s="41">
        <v>3.7801047120418847</v>
      </c>
      <c r="BT59" s="39">
        <v>710000</v>
      </c>
      <c r="BU59" s="41">
        <v>7.4345549738219896</v>
      </c>
      <c r="BV59" s="56">
        <v>2613000</v>
      </c>
      <c r="BW59" s="41">
        <v>27.361256544502616</v>
      </c>
      <c r="BX59" s="40">
        <v>659000</v>
      </c>
      <c r="BY59" s="41">
        <v>6.9005235602094244</v>
      </c>
      <c r="BZ59" s="57">
        <v>673.50199733688419</v>
      </c>
      <c r="CA59" s="58">
        <v>177.36351531291612</v>
      </c>
      <c r="CB59" s="59">
        <v>386.15179760319575</v>
      </c>
      <c r="CC59" s="47">
        <v>96.138482023968038</v>
      </c>
      <c r="CD59" s="58">
        <v>140.07989347536619</v>
      </c>
      <c r="CE59" s="59">
        <v>149.66711051930758</v>
      </c>
      <c r="CF59" s="59">
        <v>175.49933422103862</v>
      </c>
      <c r="CG59" s="59">
        <v>49.001331557922768</v>
      </c>
      <c r="CH59" s="47">
        <v>695.87217043941416</v>
      </c>
      <c r="CI59" s="43">
        <v>1315</v>
      </c>
      <c r="CJ59" s="44">
        <v>329.09604519774012</v>
      </c>
      <c r="CK59" s="60">
        <v>35.610562761614389</v>
      </c>
      <c r="CL59" s="53">
        <v>246.46</v>
      </c>
      <c r="CM59" s="41">
        <v>21.22715449675297</v>
      </c>
      <c r="CN59" s="53">
        <v>167</v>
      </c>
      <c r="CO59" s="41">
        <v>14.383408264861419</v>
      </c>
      <c r="CP59" s="54">
        <v>747.6</v>
      </c>
      <c r="CQ59" s="41">
        <v>64.389437238385611</v>
      </c>
      <c r="CR59" s="43">
        <v>1524</v>
      </c>
      <c r="CS59" s="52">
        <v>32.939632545931758</v>
      </c>
      <c r="CT59" s="41">
        <v>779.41999999999985</v>
      </c>
      <c r="CU59" s="41">
        <v>207.56857523302261</v>
      </c>
      <c r="CV59" s="52">
        <v>7</v>
      </c>
      <c r="CW59" s="38">
        <v>1</v>
      </c>
      <c r="CX59" s="38">
        <v>2</v>
      </c>
      <c r="CY59" s="51">
        <v>1</v>
      </c>
      <c r="CZ59" s="41">
        <v>3.2242343541944076</v>
      </c>
      <c r="DA59" s="39">
        <v>1154000</v>
      </c>
      <c r="DB59" s="39">
        <v>1290000</v>
      </c>
      <c r="DC59" s="39">
        <v>1433000</v>
      </c>
      <c r="DD59" s="39">
        <v>1815000</v>
      </c>
      <c r="DE59" s="39">
        <v>1407000</v>
      </c>
      <c r="DF59" s="62">
        <v>1026000</v>
      </c>
      <c r="DG59" s="41">
        <v>137.13</v>
      </c>
      <c r="DH59" s="41">
        <v>91.86999999999999</v>
      </c>
      <c r="DI59" s="41">
        <v>0.04</v>
      </c>
      <c r="DJ59" s="37" t="s">
        <v>390</v>
      </c>
      <c r="DK59" s="40">
        <v>6000</v>
      </c>
      <c r="DL59" s="40">
        <v>74000</v>
      </c>
      <c r="DM59" s="40">
        <v>0</v>
      </c>
      <c r="DN59" s="40">
        <v>0</v>
      </c>
      <c r="DO59" s="40">
        <v>0</v>
      </c>
      <c r="DP59" s="40">
        <v>177092</v>
      </c>
      <c r="DQ59" s="64">
        <v>0</v>
      </c>
      <c r="DR59" s="40">
        <v>0</v>
      </c>
      <c r="DS59" s="65">
        <v>0</v>
      </c>
      <c r="DT59" s="38">
        <v>8</v>
      </c>
      <c r="DU59" s="66">
        <v>469.375</v>
      </c>
      <c r="DV59" s="41">
        <v>0</v>
      </c>
      <c r="DW59" s="41">
        <v>100</v>
      </c>
      <c r="DX59" s="41">
        <v>0</v>
      </c>
      <c r="DY59" s="41">
        <v>12.5</v>
      </c>
      <c r="DZ59" s="41">
        <v>0</v>
      </c>
      <c r="EA59" s="41">
        <v>62.5</v>
      </c>
      <c r="EB59" s="41">
        <v>37.5</v>
      </c>
      <c r="EC59" s="40">
        <v>54</v>
      </c>
      <c r="ED59" s="184">
        <v>69.537037037037038</v>
      </c>
    </row>
    <row r="60" spans="1:134" s="13" customFormat="1">
      <c r="A60" s="156" t="s">
        <v>208</v>
      </c>
      <c r="B60" s="285">
        <v>2014</v>
      </c>
      <c r="C60" s="259">
        <v>11</v>
      </c>
      <c r="D60" s="80" t="s">
        <v>345</v>
      </c>
      <c r="E60" s="56">
        <v>4987.3999999999996</v>
      </c>
      <c r="F60" s="56">
        <v>12826</v>
      </c>
      <c r="G60" s="82">
        <v>5.5550983458151588</v>
      </c>
      <c r="H60" s="179">
        <v>2.6</v>
      </c>
      <c r="I60" s="56">
        <v>6421</v>
      </c>
      <c r="J60" s="56">
        <v>50.062373304225794</v>
      </c>
      <c r="K60" s="56">
        <v>6405</v>
      </c>
      <c r="L60" s="84">
        <v>49.937626695774206</v>
      </c>
      <c r="M60" s="160">
        <v>27.72493372836426</v>
      </c>
      <c r="N60" s="160">
        <v>49.02541712147201</v>
      </c>
      <c r="O60" s="160">
        <v>23.24964915016373</v>
      </c>
      <c r="P60" s="160">
        <v>40.792140963667549</v>
      </c>
      <c r="Q60" s="160">
        <v>35.958209886168717</v>
      </c>
      <c r="R60" s="160">
        <v>23.24964915016373</v>
      </c>
      <c r="S60" s="83">
        <v>11.256631299734748</v>
      </c>
      <c r="T60" s="83">
        <v>1.4</v>
      </c>
      <c r="U60" s="38">
        <v>43</v>
      </c>
      <c r="V60" s="41">
        <v>8.8000000000000007</v>
      </c>
      <c r="W60" s="40">
        <v>44502</v>
      </c>
      <c r="X60" s="41">
        <v>2.5</v>
      </c>
      <c r="Y60" s="42" t="s">
        <v>351</v>
      </c>
      <c r="Z60" s="43">
        <v>1306</v>
      </c>
      <c r="AA60" s="45">
        <v>17</v>
      </c>
      <c r="AB60" s="63">
        <v>141</v>
      </c>
      <c r="AC60" s="63">
        <v>32275.093000000001</v>
      </c>
      <c r="AD60" s="43">
        <v>42</v>
      </c>
      <c r="AE60" s="44">
        <v>11.74</v>
      </c>
      <c r="AF60" s="44">
        <v>5.4329000000000001</v>
      </c>
      <c r="AG60" s="41">
        <v>69.03</v>
      </c>
      <c r="AH60" s="41">
        <v>30.97</v>
      </c>
      <c r="AI60" s="44">
        <v>5.46</v>
      </c>
      <c r="AJ60" s="41">
        <v>13.3605</v>
      </c>
      <c r="AK60" s="41">
        <v>2.2851093495829997</v>
      </c>
      <c r="AL60" s="41">
        <v>21.993200000000002</v>
      </c>
      <c r="AM60" s="39">
        <v>30927</v>
      </c>
      <c r="AN60" s="39">
        <v>30825</v>
      </c>
      <c r="AO60" s="40">
        <v>34413</v>
      </c>
      <c r="AP60" s="40">
        <v>40935</v>
      </c>
      <c r="AQ60" s="39">
        <v>2669000</v>
      </c>
      <c r="AR60" s="44">
        <v>613.56321839080465</v>
      </c>
      <c r="AS60" s="39">
        <v>4350</v>
      </c>
      <c r="AT60" s="46">
        <v>2947000</v>
      </c>
      <c r="AU60" s="50">
        <v>653.72670807453414</v>
      </c>
      <c r="AV60" s="39">
        <v>4508</v>
      </c>
      <c r="AW60" s="46">
        <v>3223000</v>
      </c>
      <c r="AX60" s="47">
        <v>705.09735287683225</v>
      </c>
      <c r="AY60" s="39">
        <v>4571</v>
      </c>
      <c r="AZ60" s="41">
        <v>60.699999999999996</v>
      </c>
      <c r="BA60" s="41">
        <v>20.980091883614087</v>
      </c>
      <c r="BB60" s="46">
        <v>4109000</v>
      </c>
      <c r="BC60" s="48">
        <v>3681.8996415770607</v>
      </c>
      <c r="BD60" s="40">
        <v>1116</v>
      </c>
      <c r="BE60" s="46">
        <v>1789000</v>
      </c>
      <c r="BF60" s="44">
        <v>3628.8032454361055</v>
      </c>
      <c r="BG60" s="40">
        <v>493</v>
      </c>
      <c r="BH60" s="46">
        <v>1229000</v>
      </c>
      <c r="BI60" s="49">
        <v>245800</v>
      </c>
      <c r="BJ60" s="45">
        <v>5</v>
      </c>
      <c r="BK60" s="47">
        <v>153.90841062801931</v>
      </c>
      <c r="BL60" s="55">
        <v>6481000</v>
      </c>
      <c r="BM60" s="41">
        <v>18.832999157295209</v>
      </c>
      <c r="BN60" s="56">
        <v>4518000</v>
      </c>
      <c r="BO60" s="41">
        <v>13.128759480428908</v>
      </c>
      <c r="BP60" s="56">
        <v>2945000</v>
      </c>
      <c r="BQ60" s="41">
        <v>8.5578124545956467</v>
      </c>
      <c r="BR60" s="39">
        <v>4625000</v>
      </c>
      <c r="BS60" s="41">
        <v>13.439688489814896</v>
      </c>
      <c r="BT60" s="39">
        <v>3120000</v>
      </c>
      <c r="BU60" s="41">
        <v>9.0663412082643191</v>
      </c>
      <c r="BV60" s="56">
        <v>5979000</v>
      </c>
      <c r="BW60" s="41">
        <v>17.374248103914219</v>
      </c>
      <c r="BX60" s="40">
        <v>6745000</v>
      </c>
      <c r="BY60" s="41">
        <v>19.600151105686805</v>
      </c>
      <c r="BZ60" s="57">
        <v>505.30173085919228</v>
      </c>
      <c r="CA60" s="58">
        <v>229.61172618119446</v>
      </c>
      <c r="CB60" s="59">
        <v>306.64275690004678</v>
      </c>
      <c r="CC60" s="47">
        <v>360.59566505535633</v>
      </c>
      <c r="CD60" s="58">
        <v>218.30656479026976</v>
      </c>
      <c r="CE60" s="59">
        <v>45.610478715109934</v>
      </c>
      <c r="CF60" s="59">
        <v>525.8849212537034</v>
      </c>
      <c r="CG60" s="59">
        <v>24.949321690316545</v>
      </c>
      <c r="CH60" s="47">
        <v>466.16248245750819</v>
      </c>
      <c r="CI60" s="43">
        <v>1120</v>
      </c>
      <c r="CJ60" s="44">
        <v>413.91380441916431</v>
      </c>
      <c r="CK60" s="60">
        <v>35.072956963666329</v>
      </c>
      <c r="CL60" s="53">
        <v>1500.47</v>
      </c>
      <c r="CM60" s="41">
        <v>25.86713971465414</v>
      </c>
      <c r="CN60" s="53">
        <v>534</v>
      </c>
      <c r="CO60" s="41">
        <v>9.2058172490121848</v>
      </c>
      <c r="CP60" s="54">
        <v>3766.21</v>
      </c>
      <c r="CQ60" s="41">
        <v>64.927043036333671</v>
      </c>
      <c r="CR60" s="43">
        <v>8281</v>
      </c>
      <c r="CS60" s="52">
        <v>46.177997826349475</v>
      </c>
      <c r="CT60" s="41">
        <v>1469.9599999999998</v>
      </c>
      <c r="CU60" s="41">
        <v>114.60782784968032</v>
      </c>
      <c r="CV60" s="52">
        <v>518</v>
      </c>
      <c r="CW60" s="38">
        <v>1</v>
      </c>
      <c r="CX60" s="38">
        <v>15</v>
      </c>
      <c r="CY60" s="51">
        <v>3</v>
      </c>
      <c r="CZ60" s="41">
        <v>2.8286293466396382</v>
      </c>
      <c r="DA60" s="39">
        <v>5969000</v>
      </c>
      <c r="DB60" s="39">
        <v>5773000</v>
      </c>
      <c r="DC60" s="39">
        <v>5058600</v>
      </c>
      <c r="DD60" s="39">
        <v>5310000</v>
      </c>
      <c r="DE60" s="39">
        <v>4565000</v>
      </c>
      <c r="DF60" s="62">
        <v>4616000</v>
      </c>
      <c r="DG60" s="41">
        <v>98.9</v>
      </c>
      <c r="DH60" s="41">
        <v>103.86999999999999</v>
      </c>
      <c r="DI60" s="41">
        <v>2.91</v>
      </c>
      <c r="DJ60" s="37" t="s">
        <v>390</v>
      </c>
      <c r="DK60" s="40">
        <v>40000</v>
      </c>
      <c r="DL60" s="40">
        <v>119000</v>
      </c>
      <c r="DM60" s="40">
        <v>0</v>
      </c>
      <c r="DN60" s="40">
        <v>9339.9699999999993</v>
      </c>
      <c r="DO60" s="40">
        <v>18218.82</v>
      </c>
      <c r="DP60" s="40">
        <v>211821</v>
      </c>
      <c r="DQ60" s="64">
        <v>0</v>
      </c>
      <c r="DR60" s="40">
        <v>0</v>
      </c>
      <c r="DS60" s="65">
        <v>0</v>
      </c>
      <c r="DT60" s="38">
        <v>9</v>
      </c>
      <c r="DU60" s="66">
        <v>1425.1111111111111</v>
      </c>
      <c r="DV60" s="41">
        <v>44.444444444444443</v>
      </c>
      <c r="DW60" s="41">
        <v>55.555555555555557</v>
      </c>
      <c r="DX60" s="41">
        <v>11.111111111111111</v>
      </c>
      <c r="DY60" s="41">
        <v>11.111111111111111</v>
      </c>
      <c r="DZ60" s="41">
        <v>0</v>
      </c>
      <c r="EA60" s="41">
        <v>44.444444444444443</v>
      </c>
      <c r="EB60" s="41">
        <v>55.555555555555557</v>
      </c>
      <c r="EC60" s="40">
        <v>174.9</v>
      </c>
      <c r="ED60" s="184">
        <v>73.333333333333329</v>
      </c>
    </row>
    <row r="61" spans="1:134" s="13" customFormat="1">
      <c r="A61" s="156" t="s">
        <v>209</v>
      </c>
      <c r="B61" s="285">
        <v>2014</v>
      </c>
      <c r="C61" s="259">
        <v>9</v>
      </c>
      <c r="D61" s="80" t="s">
        <v>344</v>
      </c>
      <c r="E61" s="56">
        <v>4389.6000000000004</v>
      </c>
      <c r="F61" s="56">
        <v>4619</v>
      </c>
      <c r="G61" s="82">
        <v>4.5259108395564605</v>
      </c>
      <c r="H61" s="179">
        <v>1.1000000000000001</v>
      </c>
      <c r="I61" s="56">
        <v>2325</v>
      </c>
      <c r="J61" s="56">
        <v>50.335570469798661</v>
      </c>
      <c r="K61" s="56">
        <v>2294</v>
      </c>
      <c r="L61" s="84">
        <v>49.664429530201346</v>
      </c>
      <c r="M61" s="160">
        <v>27.040484953453131</v>
      </c>
      <c r="N61" s="160">
        <v>46.308724832214764</v>
      </c>
      <c r="O61" s="160">
        <v>26.650790214332105</v>
      </c>
      <c r="P61" s="160">
        <v>36.674604892833948</v>
      </c>
      <c r="Q61" s="160">
        <v>36.674604892833948</v>
      </c>
      <c r="R61" s="160">
        <v>26.650790214332105</v>
      </c>
      <c r="S61" s="83">
        <v>10.011376564277588</v>
      </c>
      <c r="T61" s="83">
        <v>1.1000000000000001</v>
      </c>
      <c r="U61" s="38">
        <v>27</v>
      </c>
      <c r="V61" s="41">
        <v>7.2</v>
      </c>
      <c r="W61" s="40">
        <v>34225</v>
      </c>
      <c r="X61" s="41">
        <v>2.6</v>
      </c>
      <c r="Y61" s="42" t="s">
        <v>351</v>
      </c>
      <c r="Z61" s="43">
        <v>651</v>
      </c>
      <c r="AA61" s="45">
        <v>3</v>
      </c>
      <c r="AB61" s="67">
        <v>53</v>
      </c>
      <c r="AC61" s="63">
        <v>62493.45</v>
      </c>
      <c r="AD61" s="43">
        <v>32</v>
      </c>
      <c r="AE61" s="44">
        <v>-8.2100000000000009</v>
      </c>
      <c r="AF61" s="44">
        <v>4.9362000000000004</v>
      </c>
      <c r="AG61" s="41">
        <v>55.29</v>
      </c>
      <c r="AH61" s="41">
        <v>44.71</v>
      </c>
      <c r="AI61" s="44">
        <v>10.82</v>
      </c>
      <c r="AJ61" s="41">
        <v>4.8157999999999994</v>
      </c>
      <c r="AK61" s="41">
        <v>4.6355362762609511</v>
      </c>
      <c r="AL61" s="41">
        <v>24.7178</v>
      </c>
      <c r="AM61" s="39">
        <v>12233</v>
      </c>
      <c r="AN61" s="39">
        <v>12853</v>
      </c>
      <c r="AO61" s="40">
        <v>12722</v>
      </c>
      <c r="AP61" s="40">
        <v>12793</v>
      </c>
      <c r="AQ61" s="39">
        <v>602000</v>
      </c>
      <c r="AR61" s="44">
        <v>410.36128152692572</v>
      </c>
      <c r="AS61" s="39">
        <v>1467</v>
      </c>
      <c r="AT61" s="46">
        <v>623000</v>
      </c>
      <c r="AU61" s="50">
        <v>423.8095238095238</v>
      </c>
      <c r="AV61" s="39">
        <v>1470</v>
      </c>
      <c r="AW61" s="46">
        <v>641000</v>
      </c>
      <c r="AX61" s="47">
        <v>431.94070080862531</v>
      </c>
      <c r="AY61" s="39">
        <v>1484</v>
      </c>
      <c r="AZ61" s="41">
        <v>58.8</v>
      </c>
      <c r="BA61" s="41">
        <v>30.458221024258759</v>
      </c>
      <c r="BB61" s="46">
        <v>1866000</v>
      </c>
      <c r="BC61" s="48">
        <v>2278.3882783882782</v>
      </c>
      <c r="BD61" s="40">
        <v>819</v>
      </c>
      <c r="BE61" s="46">
        <v>99000</v>
      </c>
      <c r="BF61" s="44">
        <v>697.18309859154931</v>
      </c>
      <c r="BG61" s="40">
        <v>142</v>
      </c>
      <c r="BH61" s="46">
        <v>3000</v>
      </c>
      <c r="BI61" s="49">
        <v>600</v>
      </c>
      <c r="BJ61" s="45">
        <v>5</v>
      </c>
      <c r="BK61" s="47">
        <v>264.24208317362974</v>
      </c>
      <c r="BL61" s="55">
        <v>1195000</v>
      </c>
      <c r="BM61" s="41">
        <v>9.3931771734004084</v>
      </c>
      <c r="BN61" s="56">
        <v>2269000</v>
      </c>
      <c r="BO61" s="41">
        <v>17.83524603049835</v>
      </c>
      <c r="BP61" s="56">
        <v>587000</v>
      </c>
      <c r="BQ61" s="41">
        <v>4.6140543939632135</v>
      </c>
      <c r="BR61" s="39">
        <v>3373000</v>
      </c>
      <c r="BS61" s="41">
        <v>26.513126866844839</v>
      </c>
      <c r="BT61" s="39">
        <v>941000</v>
      </c>
      <c r="BU61" s="41">
        <v>7.3966357490960544</v>
      </c>
      <c r="BV61" s="56">
        <v>1866000</v>
      </c>
      <c r="BW61" s="41">
        <v>14.667505109259551</v>
      </c>
      <c r="BX61" s="40">
        <v>2491000</v>
      </c>
      <c r="BY61" s="41">
        <v>19.580254676937589</v>
      </c>
      <c r="BZ61" s="57">
        <v>258.71400736090061</v>
      </c>
      <c r="CA61" s="58">
        <v>127.08378436891103</v>
      </c>
      <c r="CB61" s="59">
        <v>429.53020134228188</v>
      </c>
      <c r="CC61" s="47">
        <v>730.2446416973371</v>
      </c>
      <c r="CD61" s="58">
        <v>163.88828750811865</v>
      </c>
      <c r="CE61" s="59">
        <v>61.701667027495127</v>
      </c>
      <c r="CF61" s="59">
        <v>539.29421952803636</v>
      </c>
      <c r="CG61" s="59">
        <v>39.835462221260016</v>
      </c>
      <c r="CH61" s="47">
        <v>403.98354622212599</v>
      </c>
      <c r="CI61" s="43">
        <v>1146</v>
      </c>
      <c r="CJ61" s="44">
        <v>229.11051212938006</v>
      </c>
      <c r="CK61" s="60">
        <v>60.315350501436271</v>
      </c>
      <c r="CL61" s="53">
        <v>624.87</v>
      </c>
      <c r="CM61" s="41">
        <v>39.363377513480827</v>
      </c>
      <c r="CN61" s="53">
        <v>332.6</v>
      </c>
      <c r="CO61" s="41">
        <v>20.95197298795545</v>
      </c>
      <c r="CP61" s="54">
        <v>629.97</v>
      </c>
      <c r="CQ61" s="41">
        <v>39.684649498563722</v>
      </c>
      <c r="CR61" s="43">
        <v>2791</v>
      </c>
      <c r="CS61" s="52">
        <v>47.259046936581875</v>
      </c>
      <c r="CT61" s="41">
        <v>971.66000000000008</v>
      </c>
      <c r="CU61" s="41">
        <v>210.36155011907343</v>
      </c>
      <c r="CV61" s="52">
        <v>625</v>
      </c>
      <c r="CW61" s="38">
        <v>1</v>
      </c>
      <c r="CX61" s="38">
        <v>2</v>
      </c>
      <c r="CY61" s="51">
        <v>1</v>
      </c>
      <c r="CZ61" s="41">
        <v>4.2894565923360037</v>
      </c>
      <c r="DA61" s="39">
        <v>2301000</v>
      </c>
      <c r="DB61" s="39">
        <v>3984000</v>
      </c>
      <c r="DC61" s="39">
        <v>999000</v>
      </c>
      <c r="DD61" s="39">
        <v>2782000</v>
      </c>
      <c r="DE61" s="39">
        <v>2075600</v>
      </c>
      <c r="DF61" s="62">
        <v>2141500</v>
      </c>
      <c r="DG61" s="41">
        <v>96.92</v>
      </c>
      <c r="DH61" s="41">
        <v>72.64</v>
      </c>
      <c r="DI61" s="41">
        <v>6.87</v>
      </c>
      <c r="DJ61" s="37" t="s">
        <v>390</v>
      </c>
      <c r="DK61" s="40">
        <v>21000</v>
      </c>
      <c r="DL61" s="40">
        <v>93000</v>
      </c>
      <c r="DM61" s="40">
        <v>0</v>
      </c>
      <c r="DN61" s="40">
        <v>4840.4399999999996</v>
      </c>
      <c r="DO61" s="40">
        <v>8201.16</v>
      </c>
      <c r="DP61" s="40">
        <v>178000</v>
      </c>
      <c r="DQ61" s="64">
        <v>0</v>
      </c>
      <c r="DR61" s="40">
        <v>0</v>
      </c>
      <c r="DS61" s="65">
        <v>0</v>
      </c>
      <c r="DT61" s="38">
        <v>6</v>
      </c>
      <c r="DU61" s="66">
        <v>769.83333333333337</v>
      </c>
      <c r="DV61" s="41">
        <v>33.333333333333329</v>
      </c>
      <c r="DW61" s="41">
        <v>66.666666666666657</v>
      </c>
      <c r="DX61" s="41">
        <v>0</v>
      </c>
      <c r="DY61" s="41">
        <v>16.666666666666664</v>
      </c>
      <c r="DZ61" s="41">
        <v>0</v>
      </c>
      <c r="EA61" s="41">
        <v>33.333333333333329</v>
      </c>
      <c r="EB61" s="41">
        <v>66.666666666666657</v>
      </c>
      <c r="EC61" s="40">
        <v>65</v>
      </c>
      <c r="ED61" s="184">
        <v>71.061538461538461</v>
      </c>
    </row>
    <row r="62" spans="1:134" s="13" customFormat="1">
      <c r="A62" s="156" t="s">
        <v>210</v>
      </c>
      <c r="B62" s="285">
        <v>2014</v>
      </c>
      <c r="C62" s="259">
        <v>10</v>
      </c>
      <c r="D62" s="80" t="s">
        <v>345</v>
      </c>
      <c r="E62" s="56">
        <v>9262.4</v>
      </c>
      <c r="F62" s="56">
        <v>5080</v>
      </c>
      <c r="G62" s="82">
        <v>-1.683762337913683</v>
      </c>
      <c r="H62" s="179">
        <v>0.5</v>
      </c>
      <c r="I62" s="56">
        <v>2606</v>
      </c>
      <c r="J62" s="56">
        <v>51.299212598425193</v>
      </c>
      <c r="K62" s="56">
        <v>2474</v>
      </c>
      <c r="L62" s="84">
        <v>48.7007874015748</v>
      </c>
      <c r="M62" s="160">
        <v>22.913385826771655</v>
      </c>
      <c r="N62" s="160">
        <v>44.881889763779526</v>
      </c>
      <c r="O62" s="160">
        <v>32.204724409448822</v>
      </c>
      <c r="P62" s="160">
        <v>30.688976377952752</v>
      </c>
      <c r="Q62" s="160">
        <v>37.106299212598429</v>
      </c>
      <c r="R62" s="160">
        <v>32.204724409448822</v>
      </c>
      <c r="S62" s="83">
        <v>3.7857430527587597</v>
      </c>
      <c r="T62" s="83">
        <v>1</v>
      </c>
      <c r="U62" s="38">
        <v>38</v>
      </c>
      <c r="V62" s="41">
        <v>6.9</v>
      </c>
      <c r="W62" s="40">
        <v>33581</v>
      </c>
      <c r="X62" s="41">
        <v>2.2999999999999998</v>
      </c>
      <c r="Y62" s="42" t="s">
        <v>351</v>
      </c>
      <c r="Z62" s="38">
        <v>706</v>
      </c>
      <c r="AA62" s="45">
        <v>0</v>
      </c>
      <c r="AB62" s="67">
        <v>42</v>
      </c>
      <c r="AC62" s="63">
        <v>9693.4560000000001</v>
      </c>
      <c r="AD62" s="43">
        <v>66</v>
      </c>
      <c r="AE62" s="210" t="s">
        <v>460</v>
      </c>
      <c r="AF62" s="181" t="s">
        <v>460</v>
      </c>
      <c r="AG62" s="211" t="s">
        <v>460</v>
      </c>
      <c r="AH62" s="211" t="s">
        <v>460</v>
      </c>
      <c r="AI62" s="181" t="s">
        <v>460</v>
      </c>
      <c r="AJ62" s="181" t="s">
        <v>460</v>
      </c>
      <c r="AK62" s="181" t="s">
        <v>460</v>
      </c>
      <c r="AL62" s="181" t="s">
        <v>460</v>
      </c>
      <c r="AM62" s="39">
        <v>32213</v>
      </c>
      <c r="AN62" s="39">
        <v>30867</v>
      </c>
      <c r="AO62" s="37" t="s">
        <v>460</v>
      </c>
      <c r="AP62" s="37" t="s">
        <v>460</v>
      </c>
      <c r="AQ62" s="39">
        <v>693000</v>
      </c>
      <c r="AR62" s="44">
        <v>414.4736842105263</v>
      </c>
      <c r="AS62" s="39">
        <v>1672</v>
      </c>
      <c r="AT62" s="46">
        <v>723000</v>
      </c>
      <c r="AU62" s="50">
        <v>428.57142857142856</v>
      </c>
      <c r="AV62" s="39">
        <v>1687</v>
      </c>
      <c r="AW62" s="181" t="s">
        <v>460</v>
      </c>
      <c r="AX62" s="181" t="s">
        <v>460</v>
      </c>
      <c r="AY62" s="181" t="s">
        <v>460</v>
      </c>
      <c r="AZ62" s="41">
        <v>57.4</v>
      </c>
      <c r="BA62" s="211" t="s">
        <v>460</v>
      </c>
      <c r="BB62" s="181" t="s">
        <v>460</v>
      </c>
      <c r="BC62" s="181" t="s">
        <v>460</v>
      </c>
      <c r="BD62" s="181" t="s">
        <v>460</v>
      </c>
      <c r="BE62" s="181" t="s">
        <v>460</v>
      </c>
      <c r="BF62" s="181" t="s">
        <v>460</v>
      </c>
      <c r="BG62" s="181" t="s">
        <v>460</v>
      </c>
      <c r="BH62" s="181" t="s">
        <v>460</v>
      </c>
      <c r="BI62" s="181" t="s">
        <v>460</v>
      </c>
      <c r="BJ62" s="181" t="s">
        <v>460</v>
      </c>
      <c r="BK62" s="181" t="s">
        <v>460</v>
      </c>
      <c r="BL62" s="181" t="s">
        <v>460</v>
      </c>
      <c r="BM62" s="211" t="s">
        <v>460</v>
      </c>
      <c r="BN62" s="181" t="s">
        <v>460</v>
      </c>
      <c r="BO62" s="41" t="s">
        <v>460</v>
      </c>
      <c r="BP62" s="181" t="s">
        <v>460</v>
      </c>
      <c r="BQ62" s="41" t="s">
        <v>460</v>
      </c>
      <c r="BR62" s="181" t="s">
        <v>460</v>
      </c>
      <c r="BS62" s="41" t="s">
        <v>460</v>
      </c>
      <c r="BT62" s="181" t="s">
        <v>460</v>
      </c>
      <c r="BU62" s="41" t="s">
        <v>460</v>
      </c>
      <c r="BV62" s="181" t="s">
        <v>460</v>
      </c>
      <c r="BW62" s="215" t="s">
        <v>460</v>
      </c>
      <c r="BX62" s="181" t="s">
        <v>460</v>
      </c>
      <c r="BY62" s="215" t="s">
        <v>460</v>
      </c>
      <c r="BZ62" s="181" t="s">
        <v>460</v>
      </c>
      <c r="CA62" s="181" t="s">
        <v>460</v>
      </c>
      <c r="CB62" s="210" t="s">
        <v>460</v>
      </c>
      <c r="CC62" s="181" t="s">
        <v>460</v>
      </c>
      <c r="CD62" s="181" t="s">
        <v>460</v>
      </c>
      <c r="CE62" s="181" t="s">
        <v>460</v>
      </c>
      <c r="CF62" s="181" t="s">
        <v>460</v>
      </c>
      <c r="CG62" s="181" t="s">
        <v>460</v>
      </c>
      <c r="CH62" s="181" t="s">
        <v>460</v>
      </c>
      <c r="CI62" s="43">
        <v>1290</v>
      </c>
      <c r="CJ62" s="181" t="s">
        <v>460</v>
      </c>
      <c r="CK62" s="60">
        <v>34.08019251204172</v>
      </c>
      <c r="CL62" s="53">
        <v>949.32079999999996</v>
      </c>
      <c r="CM62" s="41">
        <v>18.453907103982349</v>
      </c>
      <c r="CN62" s="53">
        <v>175</v>
      </c>
      <c r="CO62" s="41">
        <v>3.4018360739561491</v>
      </c>
      <c r="CP62" s="54">
        <v>3391.1</v>
      </c>
      <c r="CQ62" s="41">
        <v>65.919807487958266</v>
      </c>
      <c r="CR62" s="43">
        <v>3192</v>
      </c>
      <c r="CS62" s="52">
        <v>35.087719298245609</v>
      </c>
      <c r="CT62" s="41">
        <v>2071.462</v>
      </c>
      <c r="CU62" s="41">
        <v>407.76811023622048</v>
      </c>
      <c r="CV62" s="183" t="s">
        <v>461</v>
      </c>
      <c r="CW62" s="187" t="s">
        <v>460</v>
      </c>
      <c r="CX62" s="187" t="s">
        <v>460</v>
      </c>
      <c r="CY62" s="51">
        <v>2</v>
      </c>
      <c r="CZ62" s="41">
        <v>3.9779527559055117</v>
      </c>
      <c r="DA62" s="39">
        <v>9252000</v>
      </c>
      <c r="DB62" s="39">
        <v>9765000</v>
      </c>
      <c r="DC62" s="39">
        <v>9252000</v>
      </c>
      <c r="DD62" s="39">
        <v>8880000</v>
      </c>
      <c r="DE62" s="187" t="s">
        <v>460</v>
      </c>
      <c r="DF62" s="187" t="s">
        <v>460</v>
      </c>
      <c r="DG62" s="215" t="s">
        <v>460</v>
      </c>
      <c r="DH62" s="215" t="s">
        <v>460</v>
      </c>
      <c r="DI62" s="215" t="s">
        <v>460</v>
      </c>
      <c r="DJ62" s="37" t="s">
        <v>389</v>
      </c>
      <c r="DK62" s="187" t="s">
        <v>460</v>
      </c>
      <c r="DL62" s="187" t="s">
        <v>460</v>
      </c>
      <c r="DM62" s="40">
        <v>0</v>
      </c>
      <c r="DN62" s="40">
        <v>168762</v>
      </c>
      <c r="DO62" s="40">
        <v>37028</v>
      </c>
      <c r="DP62" s="187" t="s">
        <v>460</v>
      </c>
      <c r="DQ62" s="64">
        <v>0</v>
      </c>
      <c r="DR62" s="40">
        <v>0</v>
      </c>
      <c r="DS62" s="65">
        <v>0</v>
      </c>
      <c r="DT62" s="38">
        <v>9</v>
      </c>
      <c r="DU62" s="66">
        <v>564.44444444444446</v>
      </c>
      <c r="DV62" s="41">
        <v>44.444444444444443</v>
      </c>
      <c r="DW62" s="41">
        <v>55.555555555555557</v>
      </c>
      <c r="DX62" s="41">
        <v>0</v>
      </c>
      <c r="DY62" s="41">
        <v>0</v>
      </c>
      <c r="DZ62" s="41">
        <v>0</v>
      </c>
      <c r="EA62" s="41">
        <v>22.222222222222221</v>
      </c>
      <c r="EB62" s="41">
        <v>77.777777777777786</v>
      </c>
      <c r="EC62" s="187" t="s">
        <v>460</v>
      </c>
      <c r="ED62" s="188" t="s">
        <v>460</v>
      </c>
    </row>
    <row r="63" spans="1:134" s="13" customFormat="1">
      <c r="A63" s="156" t="s">
        <v>211</v>
      </c>
      <c r="B63" s="285">
        <v>2014</v>
      </c>
      <c r="C63" s="259">
        <v>9</v>
      </c>
      <c r="D63" s="80" t="s">
        <v>344</v>
      </c>
      <c r="E63" s="56">
        <v>1868.3</v>
      </c>
      <c r="F63" s="56">
        <v>3751</v>
      </c>
      <c r="G63" s="82">
        <v>2.7108433734939759</v>
      </c>
      <c r="H63" s="179">
        <v>2</v>
      </c>
      <c r="I63" s="56">
        <v>1912</v>
      </c>
      <c r="J63" s="56">
        <v>50.973073846974138</v>
      </c>
      <c r="K63" s="56">
        <v>1839</v>
      </c>
      <c r="L63" s="84">
        <v>49.026926153025855</v>
      </c>
      <c r="M63" s="160">
        <v>25.086643561716876</v>
      </c>
      <c r="N63" s="160">
        <v>42.788589709410822</v>
      </c>
      <c r="O63" s="160">
        <v>32.124766728872302</v>
      </c>
      <c r="P63" s="160">
        <v>33.217808584377501</v>
      </c>
      <c r="Q63" s="160">
        <v>34.657424686750197</v>
      </c>
      <c r="R63" s="160">
        <v>32.124766728872302</v>
      </c>
      <c r="S63" s="83">
        <v>4.4642857142857144</v>
      </c>
      <c r="T63" s="83">
        <v>2.2999999999999998</v>
      </c>
      <c r="U63" s="38">
        <v>35</v>
      </c>
      <c r="V63" s="41">
        <v>3</v>
      </c>
      <c r="W63" s="40">
        <v>41100</v>
      </c>
      <c r="X63" s="41">
        <v>2.4</v>
      </c>
      <c r="Y63" s="42" t="s">
        <v>351</v>
      </c>
      <c r="Z63" s="43">
        <v>491</v>
      </c>
      <c r="AA63" s="45">
        <v>6</v>
      </c>
      <c r="AB63" s="67">
        <v>45</v>
      </c>
      <c r="AC63" s="63">
        <v>4808.973</v>
      </c>
      <c r="AD63" s="43">
        <v>37</v>
      </c>
      <c r="AE63" s="210" t="s">
        <v>460</v>
      </c>
      <c r="AF63" s="181" t="s">
        <v>460</v>
      </c>
      <c r="AG63" s="211" t="s">
        <v>460</v>
      </c>
      <c r="AH63" s="211" t="s">
        <v>460</v>
      </c>
      <c r="AI63" s="181" t="s">
        <v>460</v>
      </c>
      <c r="AJ63" s="181" t="s">
        <v>460</v>
      </c>
      <c r="AK63" s="181" t="s">
        <v>460</v>
      </c>
      <c r="AL63" s="181" t="s">
        <v>460</v>
      </c>
      <c r="AM63" s="39">
        <v>14458</v>
      </c>
      <c r="AN63" s="39">
        <v>15954</v>
      </c>
      <c r="AO63" s="37" t="s">
        <v>460</v>
      </c>
      <c r="AP63" s="37" t="s">
        <v>460</v>
      </c>
      <c r="AQ63" s="39">
        <v>541000</v>
      </c>
      <c r="AR63" s="44">
        <v>396.33699633699632</v>
      </c>
      <c r="AS63" s="39">
        <v>1365</v>
      </c>
      <c r="AT63" s="46">
        <v>567000</v>
      </c>
      <c r="AU63" s="50">
        <v>410.87</v>
      </c>
      <c r="AV63" s="39">
        <v>1380</v>
      </c>
      <c r="AW63" s="181" t="s">
        <v>460</v>
      </c>
      <c r="AX63" s="181" t="s">
        <v>460</v>
      </c>
      <c r="AY63" s="181" t="s">
        <v>460</v>
      </c>
      <c r="AZ63" s="41">
        <v>59.099999999999994</v>
      </c>
      <c r="BA63" s="211" t="s">
        <v>460</v>
      </c>
      <c r="BB63" s="181" t="s">
        <v>460</v>
      </c>
      <c r="BC63" s="181" t="s">
        <v>460</v>
      </c>
      <c r="BD63" s="181" t="s">
        <v>460</v>
      </c>
      <c r="BE63" s="181" t="s">
        <v>460</v>
      </c>
      <c r="BF63" s="181" t="s">
        <v>460</v>
      </c>
      <c r="BG63" s="181" t="s">
        <v>460</v>
      </c>
      <c r="BH63" s="181" t="s">
        <v>460</v>
      </c>
      <c r="BI63" s="181" t="s">
        <v>460</v>
      </c>
      <c r="BJ63" s="181" t="s">
        <v>460</v>
      </c>
      <c r="BK63" s="181" t="s">
        <v>460</v>
      </c>
      <c r="BL63" s="181" t="s">
        <v>460</v>
      </c>
      <c r="BM63" s="211" t="s">
        <v>460</v>
      </c>
      <c r="BN63" s="181" t="s">
        <v>460</v>
      </c>
      <c r="BO63" s="41" t="s">
        <v>460</v>
      </c>
      <c r="BP63" s="181" t="s">
        <v>460</v>
      </c>
      <c r="BQ63" s="41" t="s">
        <v>460</v>
      </c>
      <c r="BR63" s="181" t="s">
        <v>460</v>
      </c>
      <c r="BS63" s="41" t="s">
        <v>460</v>
      </c>
      <c r="BT63" s="181" t="s">
        <v>460</v>
      </c>
      <c r="BU63" s="41" t="s">
        <v>460</v>
      </c>
      <c r="BV63" s="181" t="s">
        <v>460</v>
      </c>
      <c r="BW63" s="215" t="s">
        <v>460</v>
      </c>
      <c r="BX63" s="181" t="s">
        <v>460</v>
      </c>
      <c r="BY63" s="215" t="s">
        <v>460</v>
      </c>
      <c r="BZ63" s="181" t="s">
        <v>460</v>
      </c>
      <c r="CA63" s="181" t="s">
        <v>460</v>
      </c>
      <c r="CB63" s="210" t="s">
        <v>460</v>
      </c>
      <c r="CC63" s="181" t="s">
        <v>460</v>
      </c>
      <c r="CD63" s="181" t="s">
        <v>460</v>
      </c>
      <c r="CE63" s="181" t="s">
        <v>460</v>
      </c>
      <c r="CF63" s="181" t="s">
        <v>460</v>
      </c>
      <c r="CG63" s="181" t="s">
        <v>460</v>
      </c>
      <c r="CH63" s="181" t="s">
        <v>460</v>
      </c>
      <c r="CI63" s="43">
        <v>1361</v>
      </c>
      <c r="CJ63" s="181" t="s">
        <v>460</v>
      </c>
      <c r="CK63" s="60">
        <v>51.475545108135968</v>
      </c>
      <c r="CL63" s="53">
        <v>466.13720000000001</v>
      </c>
      <c r="CM63" s="41">
        <v>31.756737055035806</v>
      </c>
      <c r="CN63" s="53">
        <v>289.44</v>
      </c>
      <c r="CO63" s="41">
        <v>19.718808053100169</v>
      </c>
      <c r="CP63" s="54">
        <v>712.27</v>
      </c>
      <c r="CQ63" s="41">
        <v>48.525136166326895</v>
      </c>
      <c r="CR63" s="43">
        <v>1964</v>
      </c>
      <c r="CS63" s="52">
        <v>37.525458248472503</v>
      </c>
      <c r="CT63" s="41">
        <v>844.24</v>
      </c>
      <c r="CU63" s="41">
        <v>225.07064782724606</v>
      </c>
      <c r="CV63" s="52">
        <v>25</v>
      </c>
      <c r="CW63" s="38">
        <v>2</v>
      </c>
      <c r="CX63" s="38">
        <v>6</v>
      </c>
      <c r="CY63" s="51">
        <v>1</v>
      </c>
      <c r="CZ63" s="41">
        <v>2.6355638496400959</v>
      </c>
      <c r="DA63" s="39">
        <v>1826000</v>
      </c>
      <c r="DB63" s="39">
        <v>1826000</v>
      </c>
      <c r="DC63" s="39">
        <v>2079429.915</v>
      </c>
      <c r="DD63" s="39">
        <v>2083000</v>
      </c>
      <c r="DE63" s="187" t="s">
        <v>460</v>
      </c>
      <c r="DF63" s="187" t="s">
        <v>460</v>
      </c>
      <c r="DG63" s="215" t="s">
        <v>460</v>
      </c>
      <c r="DH63" s="215" t="s">
        <v>460</v>
      </c>
      <c r="DI63" s="215" t="s">
        <v>460</v>
      </c>
      <c r="DJ63" s="37" t="s">
        <v>389</v>
      </c>
      <c r="DK63" s="187" t="s">
        <v>460</v>
      </c>
      <c r="DL63" s="187" t="s">
        <v>460</v>
      </c>
      <c r="DM63" s="187" t="s">
        <v>460</v>
      </c>
      <c r="DN63" s="187" t="s">
        <v>460</v>
      </c>
      <c r="DO63" s="187" t="s">
        <v>460</v>
      </c>
      <c r="DP63" s="187" t="s">
        <v>460</v>
      </c>
      <c r="DQ63" s="64">
        <v>0</v>
      </c>
      <c r="DR63" s="40">
        <v>0</v>
      </c>
      <c r="DS63" s="65">
        <v>0</v>
      </c>
      <c r="DT63" s="38">
        <v>7</v>
      </c>
      <c r="DU63" s="66">
        <v>535.85714285714289</v>
      </c>
      <c r="DV63" s="41">
        <v>14.285714285714285</v>
      </c>
      <c r="DW63" s="41">
        <v>85.714285714285708</v>
      </c>
      <c r="DX63" s="41">
        <v>0</v>
      </c>
      <c r="DY63" s="41">
        <v>0</v>
      </c>
      <c r="DZ63" s="41">
        <v>0</v>
      </c>
      <c r="EA63" s="41">
        <v>57.142857142857139</v>
      </c>
      <c r="EB63" s="41">
        <v>42.857142857142854</v>
      </c>
      <c r="EC63" s="187" t="s">
        <v>460</v>
      </c>
      <c r="ED63" s="188" t="s">
        <v>460</v>
      </c>
    </row>
    <row r="64" spans="1:134" s="13" customFormat="1">
      <c r="A64" s="156" t="s">
        <v>213</v>
      </c>
      <c r="B64" s="285">
        <v>2014</v>
      </c>
      <c r="C64" s="259">
        <v>6</v>
      </c>
      <c r="D64" s="80" t="s">
        <v>346</v>
      </c>
      <c r="E64" s="56">
        <v>2774.6</v>
      </c>
      <c r="F64" s="56">
        <v>65527</v>
      </c>
      <c r="G64" s="82">
        <v>3.0007230657989878</v>
      </c>
      <c r="H64" s="179">
        <v>23.6</v>
      </c>
      <c r="I64" s="56">
        <v>32815</v>
      </c>
      <c r="J64" s="56">
        <v>50.078593556854422</v>
      </c>
      <c r="K64" s="56">
        <v>32712</v>
      </c>
      <c r="L64" s="84">
        <v>49.921406443145571</v>
      </c>
      <c r="M64" s="160">
        <v>27.860271338532204</v>
      </c>
      <c r="N64" s="160">
        <v>53.965540922062658</v>
      </c>
      <c r="O64" s="160">
        <v>18.174187739405131</v>
      </c>
      <c r="P64" s="160">
        <v>41.881972316754926</v>
      </c>
      <c r="Q64" s="160">
        <v>39.94383994383994</v>
      </c>
      <c r="R64" s="160">
        <v>18.174187739405131</v>
      </c>
      <c r="S64" s="83">
        <v>2.58038649667228</v>
      </c>
      <c r="T64" s="83">
        <v>5.3</v>
      </c>
      <c r="U64" s="38">
        <v>118</v>
      </c>
      <c r="V64" s="41">
        <v>6.8</v>
      </c>
      <c r="W64" s="40">
        <v>48482</v>
      </c>
      <c r="X64" s="41">
        <v>2.8</v>
      </c>
      <c r="Y64" s="42" t="s">
        <v>354</v>
      </c>
      <c r="Z64" s="43">
        <v>6417</v>
      </c>
      <c r="AA64" s="45">
        <v>0</v>
      </c>
      <c r="AB64" s="63">
        <v>773</v>
      </c>
      <c r="AC64" s="63">
        <v>206645.508</v>
      </c>
      <c r="AD64" s="43">
        <v>89</v>
      </c>
      <c r="AE64" s="44">
        <v>-6.88</v>
      </c>
      <c r="AF64" s="44">
        <v>3.5564</v>
      </c>
      <c r="AG64" s="41">
        <v>60.4</v>
      </c>
      <c r="AH64" s="41">
        <v>39.6</v>
      </c>
      <c r="AI64" s="44">
        <v>5.55</v>
      </c>
      <c r="AJ64" s="41">
        <v>8.4351000000000003</v>
      </c>
      <c r="AK64" s="41">
        <v>1.2812548532380805</v>
      </c>
      <c r="AL64" s="41">
        <v>9.5204000000000004</v>
      </c>
      <c r="AM64" s="39">
        <v>64731</v>
      </c>
      <c r="AN64" s="39">
        <v>68352</v>
      </c>
      <c r="AO64" s="40">
        <v>68827</v>
      </c>
      <c r="AP64" s="40">
        <v>106983</v>
      </c>
      <c r="AQ64" s="39">
        <v>22379000</v>
      </c>
      <c r="AR64" s="44">
        <v>984.86115389693259</v>
      </c>
      <c r="AS64" s="39">
        <v>22723</v>
      </c>
      <c r="AT64" s="46">
        <v>23299000</v>
      </c>
      <c r="AU64" s="50">
        <v>1018.4464746251693</v>
      </c>
      <c r="AV64" s="39">
        <v>22877</v>
      </c>
      <c r="AW64" s="46">
        <v>23968000</v>
      </c>
      <c r="AX64" s="47">
        <v>1034.7983766514119</v>
      </c>
      <c r="AY64" s="39">
        <v>23162</v>
      </c>
      <c r="AZ64" s="41">
        <v>75.400000000000006</v>
      </c>
      <c r="BA64" s="41">
        <v>14.014333822640532</v>
      </c>
      <c r="BB64" s="46">
        <v>1304000</v>
      </c>
      <c r="BC64" s="48">
        <v>2127.2430668841762</v>
      </c>
      <c r="BD64" s="40">
        <v>613</v>
      </c>
      <c r="BE64" s="46">
        <v>2822000</v>
      </c>
      <c r="BF64" s="44">
        <v>1865.1685393258426</v>
      </c>
      <c r="BG64" s="40">
        <v>1513</v>
      </c>
      <c r="BH64" s="49" t="s">
        <v>382</v>
      </c>
      <c r="BI64" s="49" t="s">
        <v>382</v>
      </c>
      <c r="BJ64" s="213">
        <v>0</v>
      </c>
      <c r="BK64" s="47">
        <v>68.21746372891009</v>
      </c>
      <c r="BL64" s="55">
        <v>8552000</v>
      </c>
      <c r="BM64" s="41">
        <v>12.42535632818516</v>
      </c>
      <c r="BN64" s="56">
        <v>12630000</v>
      </c>
      <c r="BO64" s="41">
        <v>18.350356691414706</v>
      </c>
      <c r="BP64" s="55">
        <v>0</v>
      </c>
      <c r="BQ64" s="41">
        <v>0</v>
      </c>
      <c r="BR64" s="39">
        <v>17085000</v>
      </c>
      <c r="BS64" s="41">
        <v>24.823107210832958</v>
      </c>
      <c r="BT64" s="39">
        <v>13370000</v>
      </c>
      <c r="BU64" s="41">
        <v>19.42551614918564</v>
      </c>
      <c r="BV64" s="56">
        <v>10331000</v>
      </c>
      <c r="BW64" s="41">
        <v>15.010097781393931</v>
      </c>
      <c r="BX64" s="40">
        <v>6859000</v>
      </c>
      <c r="BY64" s="41">
        <v>9.9655658389876063</v>
      </c>
      <c r="BZ64" s="57">
        <v>130.51108703282617</v>
      </c>
      <c r="CA64" s="58">
        <v>0</v>
      </c>
      <c r="CB64" s="59">
        <v>114.57872327437545</v>
      </c>
      <c r="CC64" s="47">
        <v>260.73221725395638</v>
      </c>
      <c r="CD64" s="58">
        <v>162.4826407435103</v>
      </c>
      <c r="CE64" s="59">
        <v>78.16625207929556</v>
      </c>
      <c r="CF64" s="59">
        <v>104.67440902223511</v>
      </c>
      <c r="CG64" s="59">
        <v>41.555389381476338</v>
      </c>
      <c r="CH64" s="47">
        <v>157.66020113846201</v>
      </c>
      <c r="CI64" s="43" t="s">
        <v>382</v>
      </c>
      <c r="CJ64" s="44">
        <v>418.65987393143945</v>
      </c>
      <c r="CK64" s="60">
        <v>32.412706985029601</v>
      </c>
      <c r="CL64" s="53">
        <v>6738.55</v>
      </c>
      <c r="CM64" s="41">
        <v>19.821351777628351</v>
      </c>
      <c r="CN64" s="53">
        <v>4280.6100000000006</v>
      </c>
      <c r="CO64" s="41">
        <v>12.591355207401254</v>
      </c>
      <c r="CP64" s="54">
        <v>22977.27</v>
      </c>
      <c r="CQ64" s="41">
        <v>67.587322429832312</v>
      </c>
      <c r="CR64" s="43">
        <v>43864</v>
      </c>
      <c r="CS64" s="52">
        <v>63.505380266277591</v>
      </c>
      <c r="CT64" s="41">
        <v>1038.75</v>
      </c>
      <c r="CU64" s="41">
        <v>15.852244113113677</v>
      </c>
      <c r="CV64" s="52">
        <v>289</v>
      </c>
      <c r="CW64" s="38">
        <v>2</v>
      </c>
      <c r="CX64" s="38">
        <v>25</v>
      </c>
      <c r="CY64" s="51">
        <v>2</v>
      </c>
      <c r="CZ64" s="41">
        <v>3.9028492071970331</v>
      </c>
      <c r="DA64" s="39">
        <v>9957000</v>
      </c>
      <c r="DB64" s="39">
        <v>14489000</v>
      </c>
      <c r="DC64" s="39">
        <v>13708000</v>
      </c>
      <c r="DD64" s="39">
        <v>25082000</v>
      </c>
      <c r="DE64" s="39">
        <v>11042000</v>
      </c>
      <c r="DF64" s="62">
        <v>12801000</v>
      </c>
      <c r="DG64" s="41">
        <v>86.26</v>
      </c>
      <c r="DH64" s="41">
        <v>50.970000000000006</v>
      </c>
      <c r="DI64" s="41">
        <v>2.6</v>
      </c>
      <c r="DJ64" s="37" t="s">
        <v>390</v>
      </c>
      <c r="DK64" s="40">
        <v>62000</v>
      </c>
      <c r="DL64" s="40">
        <v>254000</v>
      </c>
      <c r="DM64" s="40">
        <v>0</v>
      </c>
      <c r="DN64" s="40">
        <v>19490</v>
      </c>
      <c r="DO64" s="40">
        <v>35911</v>
      </c>
      <c r="DP64" s="40">
        <v>281541</v>
      </c>
      <c r="DQ64" s="64">
        <v>5</v>
      </c>
      <c r="DR64" s="40">
        <v>11090</v>
      </c>
      <c r="DS64" s="65">
        <v>1</v>
      </c>
      <c r="DT64" s="38">
        <v>12</v>
      </c>
      <c r="DU64" s="66">
        <v>5460.583333333333</v>
      </c>
      <c r="DV64" s="41">
        <v>33.333333333333329</v>
      </c>
      <c r="DW64" s="41">
        <v>66.666666666666657</v>
      </c>
      <c r="DX64" s="41">
        <v>0</v>
      </c>
      <c r="DY64" s="41">
        <v>0</v>
      </c>
      <c r="DZ64" s="41">
        <v>16.666666666666664</v>
      </c>
      <c r="EA64" s="41">
        <v>41.666666666666671</v>
      </c>
      <c r="EB64" s="41">
        <v>41.666666666666671</v>
      </c>
      <c r="EC64" s="40">
        <v>288</v>
      </c>
      <c r="ED64" s="184">
        <v>227.52430555555554</v>
      </c>
    </row>
    <row r="65" spans="1:134" s="13" customFormat="1">
      <c r="A65" s="156" t="s">
        <v>214</v>
      </c>
      <c r="B65" s="285">
        <v>2014</v>
      </c>
      <c r="C65" s="259">
        <v>9</v>
      </c>
      <c r="D65" s="80" t="s">
        <v>344</v>
      </c>
      <c r="E65" s="56">
        <v>11326</v>
      </c>
      <c r="F65" s="56">
        <v>2989</v>
      </c>
      <c r="G65" s="82">
        <v>-6.8557182923028979</v>
      </c>
      <c r="H65" s="179">
        <v>0.3</v>
      </c>
      <c r="I65" s="56">
        <v>1541</v>
      </c>
      <c r="J65" s="56">
        <v>51.555704248912683</v>
      </c>
      <c r="K65" s="56">
        <v>1448</v>
      </c>
      <c r="L65" s="84">
        <v>48.444295751087317</v>
      </c>
      <c r="M65" s="160">
        <v>25.627300100368018</v>
      </c>
      <c r="N65" s="160">
        <v>47.574439611910336</v>
      </c>
      <c r="O65" s="160">
        <v>26.798260287721646</v>
      </c>
      <c r="P65" s="160">
        <v>35.597189695550355</v>
      </c>
      <c r="Q65" s="160">
        <v>37.604550016727998</v>
      </c>
      <c r="R65" s="160">
        <v>26.798260287721646</v>
      </c>
      <c r="S65" s="83">
        <v>5.514208389715832</v>
      </c>
      <c r="T65" s="83">
        <v>2.9</v>
      </c>
      <c r="U65" s="38">
        <v>21</v>
      </c>
      <c r="V65" s="41">
        <v>8.6</v>
      </c>
      <c r="W65" s="40">
        <v>37549</v>
      </c>
      <c r="X65" s="41">
        <v>2.4</v>
      </c>
      <c r="Y65" s="42" t="s">
        <v>351</v>
      </c>
      <c r="Z65" s="43">
        <v>374</v>
      </c>
      <c r="AA65" s="45">
        <v>0</v>
      </c>
      <c r="AB65" s="67">
        <v>42</v>
      </c>
      <c r="AC65" s="63">
        <v>2284.3000000000002</v>
      </c>
      <c r="AD65" s="43">
        <v>11</v>
      </c>
      <c r="AE65" s="44">
        <v>-7.47</v>
      </c>
      <c r="AF65" s="44">
        <v>3.2741000000000002</v>
      </c>
      <c r="AG65" s="41">
        <v>51.85</v>
      </c>
      <c r="AH65" s="41">
        <v>48.15</v>
      </c>
      <c r="AI65" s="44">
        <v>17.190000000000001</v>
      </c>
      <c r="AJ65" s="41">
        <v>7.6800999999999995</v>
      </c>
      <c r="AK65" s="41">
        <v>2.7133346782328021</v>
      </c>
      <c r="AL65" s="41">
        <v>10.426600000000001</v>
      </c>
      <c r="AM65" s="39">
        <v>10381</v>
      </c>
      <c r="AN65" s="39">
        <v>10592</v>
      </c>
      <c r="AO65" s="40">
        <v>10655</v>
      </c>
      <c r="AP65" s="40">
        <v>10715</v>
      </c>
      <c r="AQ65" s="39">
        <v>679000</v>
      </c>
      <c r="AR65" s="44">
        <v>517.53048780487802</v>
      </c>
      <c r="AS65" s="39">
        <v>1312</v>
      </c>
      <c r="AT65" s="46">
        <v>704000</v>
      </c>
      <c r="AU65" s="50">
        <v>534.1426403641882</v>
      </c>
      <c r="AV65" s="39">
        <v>1318</v>
      </c>
      <c r="AW65" s="46">
        <v>744000</v>
      </c>
      <c r="AX65" s="47">
        <v>563.63636363636363</v>
      </c>
      <c r="AY65" s="39">
        <v>1320</v>
      </c>
      <c r="AZ65" s="41">
        <v>58.5</v>
      </c>
      <c r="BA65" s="41">
        <v>20.227272727272727</v>
      </c>
      <c r="BB65" s="46">
        <v>1109000</v>
      </c>
      <c r="BC65" s="48">
        <v>2941.6445623342174</v>
      </c>
      <c r="BD65" s="40">
        <v>377</v>
      </c>
      <c r="BE65" s="46">
        <v>308000</v>
      </c>
      <c r="BF65" s="44">
        <v>1466.6666666666667</v>
      </c>
      <c r="BG65" s="40">
        <v>210</v>
      </c>
      <c r="BH65" s="49" t="s">
        <v>382</v>
      </c>
      <c r="BI65" s="49" t="s">
        <v>382</v>
      </c>
      <c r="BJ65" s="213">
        <v>0</v>
      </c>
      <c r="BK65" s="47">
        <v>65.164909301249423</v>
      </c>
      <c r="BL65" s="55">
        <v>1427000</v>
      </c>
      <c r="BM65" s="41">
        <v>13.39277334584702</v>
      </c>
      <c r="BN65" s="56">
        <v>2512000</v>
      </c>
      <c r="BO65" s="41">
        <v>23.57578601595495</v>
      </c>
      <c r="BP65" s="56">
        <v>743000</v>
      </c>
      <c r="BQ65" s="41">
        <v>6.9732519943688409</v>
      </c>
      <c r="BR65" s="39">
        <v>1537000</v>
      </c>
      <c r="BS65" s="41">
        <v>14.425152510558423</v>
      </c>
      <c r="BT65" s="39">
        <v>1387000</v>
      </c>
      <c r="BU65" s="41">
        <v>13.017362740497418</v>
      </c>
      <c r="BV65" s="56">
        <v>2247000</v>
      </c>
      <c r="BW65" s="41">
        <v>21.088690755513841</v>
      </c>
      <c r="BX65" s="40">
        <v>802000</v>
      </c>
      <c r="BY65" s="41">
        <v>7.5269826372595023</v>
      </c>
      <c r="BZ65" s="57">
        <v>477.41719638675141</v>
      </c>
      <c r="CA65" s="58">
        <v>248.57811977249915</v>
      </c>
      <c r="CB65" s="59">
        <v>631.64938106390093</v>
      </c>
      <c r="CC65" s="47">
        <v>514.21880227500833</v>
      </c>
      <c r="CD65" s="58">
        <v>369.01973904315827</v>
      </c>
      <c r="CE65" s="59">
        <v>208.76547340247575</v>
      </c>
      <c r="CF65" s="59">
        <v>268.31716293074606</v>
      </c>
      <c r="CG65" s="59">
        <v>95.015055202408831</v>
      </c>
      <c r="CH65" s="47">
        <v>751.75644028103045</v>
      </c>
      <c r="CI65" s="43">
        <v>1570</v>
      </c>
      <c r="CJ65" s="44">
        <v>198.4848484848485</v>
      </c>
      <c r="CK65" s="60">
        <v>13.286852589641434</v>
      </c>
      <c r="CL65" s="53">
        <v>333</v>
      </c>
      <c r="CM65" s="41">
        <v>6.6334661354581677</v>
      </c>
      <c r="CN65" s="53" t="s">
        <v>382</v>
      </c>
      <c r="CO65" s="41">
        <v>0</v>
      </c>
      <c r="CP65" s="95">
        <v>4353</v>
      </c>
      <c r="CQ65" s="41">
        <v>86.713147410358573</v>
      </c>
      <c r="CR65" s="43">
        <v>1862</v>
      </c>
      <c r="CS65" s="52">
        <v>39.258861439312568</v>
      </c>
      <c r="CT65" s="41">
        <v>941.05</v>
      </c>
      <c r="CU65" s="41">
        <v>314.83773837403811</v>
      </c>
      <c r="CV65" s="52">
        <v>128.78</v>
      </c>
      <c r="CW65" s="38">
        <v>1</v>
      </c>
      <c r="CX65" s="38">
        <v>4</v>
      </c>
      <c r="CY65" s="51">
        <v>1</v>
      </c>
      <c r="CZ65" s="41">
        <v>8.3445968551354976</v>
      </c>
      <c r="DA65" s="39">
        <v>1620000</v>
      </c>
      <c r="DB65" s="39">
        <v>2365000</v>
      </c>
      <c r="DC65" s="39">
        <v>1722000</v>
      </c>
      <c r="DD65" s="39">
        <v>2405000</v>
      </c>
      <c r="DE65" s="39">
        <v>2130000</v>
      </c>
      <c r="DF65" s="62">
        <v>2275000</v>
      </c>
      <c r="DG65" s="41">
        <v>93.63</v>
      </c>
      <c r="DH65" s="41">
        <v>52.949999999999996</v>
      </c>
      <c r="DI65" s="41">
        <v>0</v>
      </c>
      <c r="DJ65" s="37" t="s">
        <v>390</v>
      </c>
      <c r="DK65" s="40">
        <v>68000</v>
      </c>
      <c r="DL65" s="40">
        <v>88000</v>
      </c>
      <c r="DM65" s="40">
        <v>0</v>
      </c>
      <c r="DN65" s="40">
        <v>63116</v>
      </c>
      <c r="DO65" s="40">
        <v>0</v>
      </c>
      <c r="DP65" s="40">
        <v>180695</v>
      </c>
      <c r="DQ65" s="64">
        <v>0</v>
      </c>
      <c r="DR65" s="40">
        <v>0</v>
      </c>
      <c r="DS65" s="65">
        <v>0</v>
      </c>
      <c r="DT65" s="38">
        <v>8</v>
      </c>
      <c r="DU65" s="66">
        <v>373.625</v>
      </c>
      <c r="DV65" s="41">
        <v>12.5</v>
      </c>
      <c r="DW65" s="41">
        <v>87.5</v>
      </c>
      <c r="DX65" s="41">
        <v>0</v>
      </c>
      <c r="DY65" s="41">
        <v>0</v>
      </c>
      <c r="DZ65" s="41">
        <v>0</v>
      </c>
      <c r="EA65" s="41">
        <v>50</v>
      </c>
      <c r="EB65" s="41">
        <v>50</v>
      </c>
      <c r="EC65" s="40">
        <v>54</v>
      </c>
      <c r="ED65" s="184">
        <v>55.351851851851855</v>
      </c>
    </row>
    <row r="66" spans="1:134" s="13" customFormat="1">
      <c r="A66" s="156" t="s">
        <v>157</v>
      </c>
      <c r="B66" s="285">
        <v>2014</v>
      </c>
      <c r="C66" s="259">
        <v>7</v>
      </c>
      <c r="D66" s="80" t="s">
        <v>346</v>
      </c>
      <c r="E66" s="56">
        <v>400.5</v>
      </c>
      <c r="F66" s="56">
        <v>187703</v>
      </c>
      <c r="G66" s="82">
        <v>8.4524538636652533</v>
      </c>
      <c r="H66" s="179">
        <v>468.7</v>
      </c>
      <c r="I66" s="56">
        <v>93090</v>
      </c>
      <c r="J66" s="56">
        <v>49.594305898147603</v>
      </c>
      <c r="K66" s="56">
        <v>94613</v>
      </c>
      <c r="L66" s="84">
        <v>50.405694101852397</v>
      </c>
      <c r="M66" s="160">
        <v>27.797105000985599</v>
      </c>
      <c r="N66" s="160">
        <v>53.141931668646748</v>
      </c>
      <c r="O66" s="160">
        <v>19.060963330367656</v>
      </c>
      <c r="P66" s="160">
        <v>39.72445831979244</v>
      </c>
      <c r="Q66" s="160">
        <v>41.214578349839911</v>
      </c>
      <c r="R66" s="160">
        <v>19.060963330367656</v>
      </c>
      <c r="S66" s="83">
        <v>0.37086311030528507</v>
      </c>
      <c r="T66" s="83">
        <v>28.5</v>
      </c>
      <c r="U66" s="38">
        <v>149</v>
      </c>
      <c r="V66" s="41">
        <v>3.7</v>
      </c>
      <c r="W66" s="40">
        <v>60635</v>
      </c>
      <c r="X66" s="41">
        <v>3.1</v>
      </c>
      <c r="Y66" s="42" t="s">
        <v>139</v>
      </c>
      <c r="Z66" s="43">
        <v>19521</v>
      </c>
      <c r="AA66" s="45">
        <v>19</v>
      </c>
      <c r="AB66" s="63">
        <v>1538</v>
      </c>
      <c r="AC66" s="63">
        <v>1737918.7849999999</v>
      </c>
      <c r="AD66" s="43">
        <v>93</v>
      </c>
      <c r="AE66" s="44">
        <v>10.62</v>
      </c>
      <c r="AF66" s="44">
        <v>20.006500000000003</v>
      </c>
      <c r="AG66" s="41">
        <v>50.6</v>
      </c>
      <c r="AH66" s="41">
        <v>49.4</v>
      </c>
      <c r="AI66" s="44">
        <v>2.8</v>
      </c>
      <c r="AJ66" s="41">
        <v>0</v>
      </c>
      <c r="AK66" s="41">
        <v>0</v>
      </c>
      <c r="AL66" s="41">
        <v>30.1877</v>
      </c>
      <c r="AM66" s="39">
        <v>152414</v>
      </c>
      <c r="AN66" s="39">
        <v>130106</v>
      </c>
      <c r="AO66" s="40">
        <v>130606</v>
      </c>
      <c r="AP66" s="40">
        <v>379274.78200000001</v>
      </c>
      <c r="AQ66" s="39">
        <v>56041000</v>
      </c>
      <c r="AR66" s="44">
        <v>964.97632371932843</v>
      </c>
      <c r="AS66" s="39">
        <v>58075</v>
      </c>
      <c r="AT66" s="46">
        <v>58601000</v>
      </c>
      <c r="AU66" s="50">
        <v>1081.438694914003</v>
      </c>
      <c r="AV66" s="39">
        <v>54188</v>
      </c>
      <c r="AW66" s="46">
        <v>60858000</v>
      </c>
      <c r="AX66" s="47">
        <v>1006.5495683239059</v>
      </c>
      <c r="AY66" s="39">
        <v>60462</v>
      </c>
      <c r="AZ66" s="41">
        <v>87.4</v>
      </c>
      <c r="BA66" s="41">
        <v>13.297608415202939</v>
      </c>
      <c r="BB66" s="46">
        <v>629000</v>
      </c>
      <c r="BC66" s="48">
        <v>1572.5</v>
      </c>
      <c r="BD66" s="40">
        <v>400</v>
      </c>
      <c r="BE66" s="46">
        <v>7252000</v>
      </c>
      <c r="BF66" s="44">
        <v>1923.0973216653408</v>
      </c>
      <c r="BG66" s="40">
        <v>3771</v>
      </c>
      <c r="BH66" s="49" t="s">
        <v>382</v>
      </c>
      <c r="BI66" s="49" t="s">
        <v>382</v>
      </c>
      <c r="BJ66" s="213">
        <v>0</v>
      </c>
      <c r="BK66" s="47">
        <v>376.07784007623036</v>
      </c>
      <c r="BL66" s="55">
        <v>6791000</v>
      </c>
      <c r="BM66" s="41">
        <v>5.1996079812566034</v>
      </c>
      <c r="BN66" s="56">
        <v>4776000</v>
      </c>
      <c r="BO66" s="41">
        <v>3.6567998407423854</v>
      </c>
      <c r="BP66" s="56">
        <v>31687000</v>
      </c>
      <c r="BQ66" s="41">
        <v>24.261519378895301</v>
      </c>
      <c r="BR66" s="39">
        <v>32023000</v>
      </c>
      <c r="BS66" s="41">
        <v>24.518781679249038</v>
      </c>
      <c r="BT66" s="39">
        <v>22899000</v>
      </c>
      <c r="BU66" s="41">
        <v>17.532885166072003</v>
      </c>
      <c r="BV66" s="56">
        <v>27405000</v>
      </c>
      <c r="BW66" s="41">
        <v>20.982956372601567</v>
      </c>
      <c r="BX66" s="40">
        <v>5025000</v>
      </c>
      <c r="BY66" s="41">
        <v>3.8474495811831004</v>
      </c>
      <c r="BZ66" s="57">
        <v>36.179496331971251</v>
      </c>
      <c r="CA66" s="58">
        <v>168.81456343265691</v>
      </c>
      <c r="CB66" s="43" t="s">
        <v>382</v>
      </c>
      <c r="CC66" s="47">
        <v>170.60462539224201</v>
      </c>
      <c r="CD66" s="58">
        <v>86.802022343809099</v>
      </c>
      <c r="CE66" s="59">
        <v>25.444452139816626</v>
      </c>
      <c r="CF66" s="59">
        <v>26.771015913437719</v>
      </c>
      <c r="CG66" s="59">
        <v>35.19389674112827</v>
      </c>
      <c r="CH66" s="47">
        <v>146.00192857865883</v>
      </c>
      <c r="CI66" s="43" t="s">
        <v>382</v>
      </c>
      <c r="CJ66" s="44">
        <v>397.2247031193146</v>
      </c>
      <c r="CK66" s="60">
        <v>40.966521926878421</v>
      </c>
      <c r="CL66" s="53">
        <v>15696</v>
      </c>
      <c r="CM66" s="41">
        <v>18.827367814988964</v>
      </c>
      <c r="CN66" s="53">
        <v>18456.969999999998</v>
      </c>
      <c r="CO66" s="41">
        <v>22.13915411188945</v>
      </c>
      <c r="CP66" s="54">
        <v>49215.040000000001</v>
      </c>
      <c r="CQ66" s="41">
        <v>59.033490068131655</v>
      </c>
      <c r="CR66" s="43">
        <v>56332</v>
      </c>
      <c r="CS66" s="52">
        <v>55.916708087765386</v>
      </c>
      <c r="CT66" s="41">
        <v>1005.95</v>
      </c>
      <c r="CU66" s="41">
        <v>5.3592643697756568</v>
      </c>
      <c r="CV66" s="52">
        <v>1324.86</v>
      </c>
      <c r="CW66" s="38">
        <v>1</v>
      </c>
      <c r="CX66" s="38">
        <v>31</v>
      </c>
      <c r="CY66" s="51">
        <v>5</v>
      </c>
      <c r="CZ66" s="41">
        <v>7.1002008492139179</v>
      </c>
      <c r="DA66" s="39">
        <v>20953000</v>
      </c>
      <c r="DB66" s="39">
        <v>13735000</v>
      </c>
      <c r="DC66" s="39">
        <v>25486000</v>
      </c>
      <c r="DD66" s="39">
        <v>13177000</v>
      </c>
      <c r="DE66" s="39">
        <v>33428713</v>
      </c>
      <c r="DF66" s="62">
        <v>14440243</v>
      </c>
      <c r="DG66" s="41">
        <v>231.5</v>
      </c>
      <c r="DH66" s="41">
        <v>231.51999999999998</v>
      </c>
      <c r="DI66" s="41">
        <v>1.03</v>
      </c>
      <c r="DJ66" s="37" t="s">
        <v>390</v>
      </c>
      <c r="DK66" s="40">
        <v>122000</v>
      </c>
      <c r="DL66" s="40">
        <v>335000</v>
      </c>
      <c r="DM66" s="40">
        <v>0</v>
      </c>
      <c r="DN66" s="40">
        <v>64584.800000000003</v>
      </c>
      <c r="DO66" s="40">
        <v>46864</v>
      </c>
      <c r="DP66" s="40">
        <v>382166</v>
      </c>
      <c r="DQ66" s="64">
        <v>1</v>
      </c>
      <c r="DR66" s="40">
        <v>100</v>
      </c>
      <c r="DS66" s="65">
        <v>0</v>
      </c>
      <c r="DT66" s="38">
        <v>12</v>
      </c>
      <c r="DU66" s="66">
        <v>15641.916666666666</v>
      </c>
      <c r="DV66" s="41">
        <v>25</v>
      </c>
      <c r="DW66" s="41">
        <v>75</v>
      </c>
      <c r="DX66" s="41">
        <v>0</v>
      </c>
      <c r="DY66" s="41">
        <v>0</v>
      </c>
      <c r="DZ66" s="41">
        <v>8.3333333333333321</v>
      </c>
      <c r="EA66" s="41">
        <v>75</v>
      </c>
      <c r="EB66" s="41">
        <v>16.666666666666664</v>
      </c>
      <c r="EC66" s="40">
        <v>539.91999999999996</v>
      </c>
      <c r="ED66" s="184">
        <v>347.64965180026672</v>
      </c>
    </row>
    <row r="67" spans="1:134" s="13" customFormat="1">
      <c r="A67" s="156" t="s">
        <v>215</v>
      </c>
      <c r="B67" s="285">
        <v>2014</v>
      </c>
      <c r="C67" s="259">
        <v>3</v>
      </c>
      <c r="D67" s="80" t="s">
        <v>343</v>
      </c>
      <c r="E67" s="56">
        <v>40.200000000000003</v>
      </c>
      <c r="F67" s="56">
        <v>111100</v>
      </c>
      <c r="G67" s="82">
        <v>10.99233743269029</v>
      </c>
      <c r="H67" s="179">
        <v>2765</v>
      </c>
      <c r="I67" s="56">
        <v>55507</v>
      </c>
      <c r="J67" s="56">
        <v>49.961296129612961</v>
      </c>
      <c r="K67" s="56">
        <v>55593</v>
      </c>
      <c r="L67" s="84">
        <v>50.038703870387039</v>
      </c>
      <c r="M67" s="160">
        <v>26.621962196219624</v>
      </c>
      <c r="N67" s="160">
        <v>56.467146714671465</v>
      </c>
      <c r="O67" s="160">
        <v>16.910891089108912</v>
      </c>
      <c r="P67" s="160">
        <v>42.031503150315032</v>
      </c>
      <c r="Q67" s="160">
        <v>41.05760576057606</v>
      </c>
      <c r="R67" s="160">
        <v>16.910891089108912</v>
      </c>
      <c r="S67" s="83">
        <v>0.82691299261828888</v>
      </c>
      <c r="T67" s="83">
        <v>51</v>
      </c>
      <c r="U67" s="38">
        <v>91</v>
      </c>
      <c r="V67" s="41">
        <v>6.5</v>
      </c>
      <c r="W67" s="40">
        <v>45740</v>
      </c>
      <c r="X67" s="41">
        <v>2.9</v>
      </c>
      <c r="Y67" s="42" t="s">
        <v>95</v>
      </c>
      <c r="Z67" s="43">
        <v>8306</v>
      </c>
      <c r="AA67" s="45">
        <v>4</v>
      </c>
      <c r="AB67" s="63">
        <v>494</v>
      </c>
      <c r="AC67" s="63">
        <v>583566.84900000005</v>
      </c>
      <c r="AD67" s="43">
        <v>114</v>
      </c>
      <c r="AE67" s="44">
        <v>0.37</v>
      </c>
      <c r="AF67" s="44">
        <v>3.0154000000000001</v>
      </c>
      <c r="AG67" s="41">
        <v>74.52</v>
      </c>
      <c r="AH67" s="41">
        <v>25.480000000000004</v>
      </c>
      <c r="AI67" s="44">
        <v>2.4300000000000002</v>
      </c>
      <c r="AJ67" s="41">
        <v>0</v>
      </c>
      <c r="AK67" s="41">
        <v>0</v>
      </c>
      <c r="AL67" s="41">
        <v>7.2042999999999999</v>
      </c>
      <c r="AM67" s="39">
        <v>82112</v>
      </c>
      <c r="AN67" s="39">
        <v>86470</v>
      </c>
      <c r="AO67" s="40">
        <v>91912.91274</v>
      </c>
      <c r="AP67" s="40">
        <v>104181.0978</v>
      </c>
      <c r="AQ67" s="39">
        <v>23397145.199999999</v>
      </c>
      <c r="AR67" s="44">
        <v>674.42480110688336</v>
      </c>
      <c r="AS67" s="39">
        <v>34692</v>
      </c>
      <c r="AT67" s="46">
        <v>26728120.809999999</v>
      </c>
      <c r="AU67" s="50">
        <v>765.30052426628481</v>
      </c>
      <c r="AV67" s="39">
        <v>34925</v>
      </c>
      <c r="AW67" s="46">
        <v>28217986.670000002</v>
      </c>
      <c r="AX67" s="47">
        <v>803.47342454441923</v>
      </c>
      <c r="AY67" s="39">
        <v>35120</v>
      </c>
      <c r="AZ67" s="41">
        <v>71.899999999999991</v>
      </c>
      <c r="BA67" s="41">
        <v>18.115034168564918</v>
      </c>
      <c r="BB67" s="48" t="s">
        <v>382</v>
      </c>
      <c r="BC67" s="48" t="s">
        <v>382</v>
      </c>
      <c r="BD67" s="40">
        <v>0</v>
      </c>
      <c r="BE67" s="46">
        <v>13259743.560000001</v>
      </c>
      <c r="BF67" s="44">
        <v>6587.0559165424738</v>
      </c>
      <c r="BG67" s="40">
        <v>2013</v>
      </c>
      <c r="BH67" s="49" t="s">
        <v>382</v>
      </c>
      <c r="BI67" s="49" t="s">
        <v>382</v>
      </c>
      <c r="BJ67" s="213">
        <v>0</v>
      </c>
      <c r="BK67" s="47">
        <v>256.18886612349712</v>
      </c>
      <c r="BL67" s="55">
        <v>19015083.859999999</v>
      </c>
      <c r="BM67" s="41">
        <v>20.688001108300124</v>
      </c>
      <c r="BN67" s="56">
        <v>3571075.79</v>
      </c>
      <c r="BO67" s="41">
        <v>3.8852534359185178</v>
      </c>
      <c r="BP67" s="56">
        <v>18695593.780000001</v>
      </c>
      <c r="BQ67" s="41">
        <v>20.34040279225826</v>
      </c>
      <c r="BR67" s="39">
        <v>19465789.920000002</v>
      </c>
      <c r="BS67" s="41">
        <v>21.178359580418775</v>
      </c>
      <c r="BT67" s="39">
        <v>14917422.220000001</v>
      </c>
      <c r="BU67" s="41">
        <v>16.229833625374344</v>
      </c>
      <c r="BV67" s="56">
        <v>5643406.7000000002</v>
      </c>
      <c r="BW67" s="41">
        <v>6.1399047684341035</v>
      </c>
      <c r="BX67" s="40">
        <v>10605214.550000001</v>
      </c>
      <c r="BY67" s="41">
        <v>11.538244689295871</v>
      </c>
      <c r="BZ67" s="57">
        <v>171.15287002700271</v>
      </c>
      <c r="CA67" s="58">
        <v>168.27717173717372</v>
      </c>
      <c r="CB67" s="43" t="s">
        <v>382</v>
      </c>
      <c r="CC67" s="47">
        <v>175.20963024302432</v>
      </c>
      <c r="CD67" s="58">
        <v>103.07626624662466</v>
      </c>
      <c r="CE67" s="59">
        <v>32.142896399639966</v>
      </c>
      <c r="CF67" s="59">
        <v>95.456476597659773</v>
      </c>
      <c r="CG67" s="59">
        <v>31.193960756075608</v>
      </c>
      <c r="CH67" s="47">
        <v>50.795739873987401</v>
      </c>
      <c r="CI67" s="43" t="s">
        <v>382</v>
      </c>
      <c r="CJ67" s="44">
        <v>463.97302591116176</v>
      </c>
      <c r="CK67" s="60">
        <v>62.51645105017618</v>
      </c>
      <c r="CL67" s="53">
        <v>6769.39</v>
      </c>
      <c r="CM67" s="41">
        <v>14.870782781113329</v>
      </c>
      <c r="CN67" s="53">
        <v>1895.6</v>
      </c>
      <c r="CO67" s="41">
        <v>4.1641943867731692</v>
      </c>
      <c r="CP67" s="54">
        <v>17063.039999999997</v>
      </c>
      <c r="CQ67" s="41">
        <v>37.483548949823827</v>
      </c>
      <c r="CR67" s="43">
        <v>19759</v>
      </c>
      <c r="CS67" s="52">
        <v>60.600232805303911</v>
      </c>
      <c r="CT67" s="41">
        <v>345.17</v>
      </c>
      <c r="CU67" s="41">
        <v>3.1068406840684073</v>
      </c>
      <c r="CV67" s="52">
        <v>342.03</v>
      </c>
      <c r="CW67" s="38">
        <v>3</v>
      </c>
      <c r="CX67" s="38">
        <v>12</v>
      </c>
      <c r="CY67" s="51">
        <v>3</v>
      </c>
      <c r="CZ67" s="41">
        <v>5.7526642664266427</v>
      </c>
      <c r="DA67" s="39">
        <v>4274000</v>
      </c>
      <c r="DB67" s="39">
        <v>5317000</v>
      </c>
      <c r="DC67" s="39">
        <v>4018400</v>
      </c>
      <c r="DD67" s="39">
        <v>5282000</v>
      </c>
      <c r="DE67" s="39">
        <v>5816198</v>
      </c>
      <c r="DF67" s="62">
        <v>5637013.7079999996</v>
      </c>
      <c r="DG67" s="41">
        <v>103.18</v>
      </c>
      <c r="DH67" s="41">
        <v>100.37</v>
      </c>
      <c r="DI67" s="41">
        <v>1.67</v>
      </c>
      <c r="DJ67" s="37" t="s">
        <v>390</v>
      </c>
      <c r="DK67" s="40">
        <v>98719.21</v>
      </c>
      <c r="DL67" s="40">
        <v>254270</v>
      </c>
      <c r="DM67" s="40">
        <v>0</v>
      </c>
      <c r="DN67" s="40">
        <v>17160</v>
      </c>
      <c r="DO67" s="40">
        <v>15064</v>
      </c>
      <c r="DP67" s="40">
        <v>324869</v>
      </c>
      <c r="DQ67" s="64">
        <v>0</v>
      </c>
      <c r="DR67" s="40">
        <v>0</v>
      </c>
      <c r="DS67" s="65">
        <v>0</v>
      </c>
      <c r="DT67" s="38">
        <v>12</v>
      </c>
      <c r="DU67" s="66">
        <v>9258.3333333333339</v>
      </c>
      <c r="DV67" s="41">
        <v>33.333333333333329</v>
      </c>
      <c r="DW67" s="41">
        <v>66.666666666666657</v>
      </c>
      <c r="DX67" s="41">
        <v>0</v>
      </c>
      <c r="DY67" s="41">
        <v>8.3333333333333321</v>
      </c>
      <c r="DZ67" s="41">
        <v>16.666666666666664</v>
      </c>
      <c r="EA67" s="41">
        <v>58.333333333333336</v>
      </c>
      <c r="EB67" s="41">
        <v>25</v>
      </c>
      <c r="EC67" s="40">
        <v>485</v>
      </c>
      <c r="ED67" s="184">
        <v>229.0721649484536</v>
      </c>
    </row>
    <row r="68" spans="1:134" s="13" customFormat="1">
      <c r="A68" s="156" t="s">
        <v>216</v>
      </c>
      <c r="B68" s="285">
        <v>2014</v>
      </c>
      <c r="C68" s="259">
        <v>3</v>
      </c>
      <c r="D68" s="80" t="s">
        <v>343</v>
      </c>
      <c r="E68" s="56">
        <v>462.1</v>
      </c>
      <c r="F68" s="56">
        <v>168614</v>
      </c>
      <c r="G68" s="82">
        <v>4.4845300135707067</v>
      </c>
      <c r="H68" s="179">
        <v>364.9</v>
      </c>
      <c r="I68" s="56">
        <v>82665</v>
      </c>
      <c r="J68" s="56">
        <v>49.026178134674467</v>
      </c>
      <c r="K68" s="56">
        <v>85949</v>
      </c>
      <c r="L68" s="84">
        <v>50.97382186532554</v>
      </c>
      <c r="M68" s="160">
        <v>25.785521961402967</v>
      </c>
      <c r="N68" s="160">
        <v>53.751764384926517</v>
      </c>
      <c r="O68" s="160">
        <v>20.462713653670512</v>
      </c>
      <c r="P68" s="160">
        <v>38.15460163450247</v>
      </c>
      <c r="Q68" s="160">
        <v>41.382684711827011</v>
      </c>
      <c r="R68" s="160">
        <v>20.462713653670512</v>
      </c>
      <c r="S68" s="83">
        <v>0.35639827347670022</v>
      </c>
      <c r="T68" s="83">
        <v>28.4</v>
      </c>
      <c r="U68" s="38">
        <v>143</v>
      </c>
      <c r="V68" s="41">
        <v>5.3</v>
      </c>
      <c r="W68" s="40">
        <v>61702</v>
      </c>
      <c r="X68" s="41">
        <v>2.9</v>
      </c>
      <c r="Y68" s="42" t="s">
        <v>350</v>
      </c>
      <c r="Z68" s="43">
        <v>14916</v>
      </c>
      <c r="AA68" s="45">
        <v>34</v>
      </c>
      <c r="AB68" s="63">
        <v>878</v>
      </c>
      <c r="AC68" s="63">
        <v>695885.06599999999</v>
      </c>
      <c r="AD68" s="43">
        <v>93</v>
      </c>
      <c r="AE68" s="44">
        <v>10.91</v>
      </c>
      <c r="AF68" s="44">
        <v>3.3295999999999997</v>
      </c>
      <c r="AG68" s="41">
        <v>73.099999999999994</v>
      </c>
      <c r="AH68" s="41">
        <v>26.900000000000006</v>
      </c>
      <c r="AI68" s="44">
        <v>2.2200000000000002</v>
      </c>
      <c r="AJ68" s="41">
        <v>6.26</v>
      </c>
      <c r="AK68" s="41">
        <v>4.0886917960088693</v>
      </c>
      <c r="AL68" s="41">
        <v>10.029199999999999</v>
      </c>
      <c r="AM68" s="39">
        <v>118395</v>
      </c>
      <c r="AN68" s="39">
        <v>122544</v>
      </c>
      <c r="AO68" s="40">
        <v>120538</v>
      </c>
      <c r="AP68" s="40">
        <v>169724</v>
      </c>
      <c r="AQ68" s="39">
        <v>54108000</v>
      </c>
      <c r="AR68" s="44">
        <v>999.74132515428107</v>
      </c>
      <c r="AS68" s="39">
        <v>54122</v>
      </c>
      <c r="AT68" s="46">
        <v>61650000</v>
      </c>
      <c r="AU68" s="50">
        <v>1131.9403642773209</v>
      </c>
      <c r="AV68" s="39">
        <v>54464</v>
      </c>
      <c r="AW68" s="46">
        <v>63250000</v>
      </c>
      <c r="AX68" s="47">
        <v>1154.91363254574</v>
      </c>
      <c r="AY68" s="39">
        <v>54766</v>
      </c>
      <c r="AZ68" s="41">
        <v>85</v>
      </c>
      <c r="BA68" s="41">
        <v>14.415878464740898</v>
      </c>
      <c r="BB68" s="46">
        <v>594000</v>
      </c>
      <c r="BC68" s="48">
        <v>1922.3300970873786</v>
      </c>
      <c r="BD68" s="40">
        <v>309</v>
      </c>
      <c r="BE68" s="46">
        <v>8497000</v>
      </c>
      <c r="BF68" s="44">
        <v>3301.0878010878009</v>
      </c>
      <c r="BG68" s="40">
        <v>2574</v>
      </c>
      <c r="BH68" s="49" t="s">
        <v>382</v>
      </c>
      <c r="BI68" s="49" t="s">
        <v>382</v>
      </c>
      <c r="BJ68" s="213">
        <v>0</v>
      </c>
      <c r="BK68" s="47">
        <v>305.89321517535006</v>
      </c>
      <c r="BL68" s="55">
        <v>18095000</v>
      </c>
      <c r="BM68" s="41">
        <v>15.011863478736995</v>
      </c>
      <c r="BN68" s="56">
        <v>3870000</v>
      </c>
      <c r="BO68" s="41">
        <v>3.210605784068095</v>
      </c>
      <c r="BP68" s="56">
        <v>34322000</v>
      </c>
      <c r="BQ68" s="41">
        <v>28.474008196585309</v>
      </c>
      <c r="BR68" s="39">
        <v>20145000</v>
      </c>
      <c r="BS68" s="41">
        <v>16.712571969005623</v>
      </c>
      <c r="BT68" s="39">
        <v>26692000</v>
      </c>
      <c r="BU68" s="41">
        <v>22.144054157195242</v>
      </c>
      <c r="BV68" s="56">
        <v>9136000</v>
      </c>
      <c r="BW68" s="41">
        <v>7.5793525693142403</v>
      </c>
      <c r="BX68" s="40">
        <v>8278000</v>
      </c>
      <c r="BY68" s="41">
        <v>6.8675438450944926</v>
      </c>
      <c r="BZ68" s="57">
        <v>107.31611847177577</v>
      </c>
      <c r="CA68" s="58">
        <v>203.5536788167056</v>
      </c>
      <c r="CB68" s="43" t="s">
        <v>382</v>
      </c>
      <c r="CC68" s="47">
        <v>119.47406502425659</v>
      </c>
      <c r="CD68" s="58">
        <v>113.88140961011541</v>
      </c>
      <c r="CE68" s="59">
        <v>22.951830808829634</v>
      </c>
      <c r="CF68" s="59">
        <v>49.09438124948106</v>
      </c>
      <c r="CG68" s="59">
        <v>44.420985208820149</v>
      </c>
      <c r="CH68" s="47">
        <v>54.182926684616938</v>
      </c>
      <c r="CI68" s="43" t="s">
        <v>382</v>
      </c>
      <c r="CJ68" s="44">
        <v>407.46083336376586</v>
      </c>
      <c r="CK68" s="60">
        <v>46.27311607818941</v>
      </c>
      <c r="CL68" s="53">
        <v>14600.47</v>
      </c>
      <c r="CM68" s="41">
        <v>20.473497489973919</v>
      </c>
      <c r="CN68" s="53">
        <v>17501.739999999998</v>
      </c>
      <c r="CO68" s="41">
        <v>24.541801048882405</v>
      </c>
      <c r="CP68" s="54">
        <v>38314.799999999996</v>
      </c>
      <c r="CQ68" s="41">
        <v>53.726897944302657</v>
      </c>
      <c r="CR68" s="43">
        <v>46774</v>
      </c>
      <c r="CS68" s="52">
        <v>69.128148116474961</v>
      </c>
      <c r="CT68" s="41">
        <v>663.53</v>
      </c>
      <c r="CU68" s="41">
        <v>3.9352011102280948</v>
      </c>
      <c r="CV68" s="52">
        <v>860</v>
      </c>
      <c r="CW68" s="38">
        <v>4</v>
      </c>
      <c r="CX68" s="38">
        <v>32</v>
      </c>
      <c r="CY68" s="51">
        <v>5</v>
      </c>
      <c r="CZ68" s="41">
        <v>7.5564543869429581</v>
      </c>
      <c r="DA68" s="39">
        <v>9616000</v>
      </c>
      <c r="DB68" s="39">
        <v>11124000</v>
      </c>
      <c r="DC68" s="39">
        <v>8524000</v>
      </c>
      <c r="DD68" s="39">
        <v>10775000</v>
      </c>
      <c r="DE68" s="39">
        <v>7638000</v>
      </c>
      <c r="DF68" s="62">
        <v>9253941.5700000003</v>
      </c>
      <c r="DG68" s="41">
        <v>82.54</v>
      </c>
      <c r="DH68" s="41">
        <v>84.56</v>
      </c>
      <c r="DI68" s="41">
        <v>0.73</v>
      </c>
      <c r="DJ68" s="37" t="s">
        <v>390</v>
      </c>
      <c r="DK68" s="40">
        <v>16000</v>
      </c>
      <c r="DL68" s="40">
        <v>290000</v>
      </c>
      <c r="DM68" s="40">
        <v>4683</v>
      </c>
      <c r="DN68" s="40">
        <v>14834</v>
      </c>
      <c r="DO68" s="40">
        <v>0</v>
      </c>
      <c r="DP68" s="40">
        <v>371380</v>
      </c>
      <c r="DQ68" s="64">
        <v>0</v>
      </c>
      <c r="DR68" s="40">
        <v>0</v>
      </c>
      <c r="DS68" s="65">
        <v>0</v>
      </c>
      <c r="DT68" s="38">
        <v>10</v>
      </c>
      <c r="DU68" s="66">
        <v>16861.400000000001</v>
      </c>
      <c r="DV68" s="41">
        <v>10</v>
      </c>
      <c r="DW68" s="41">
        <v>90</v>
      </c>
      <c r="DX68" s="41">
        <v>0</v>
      </c>
      <c r="DY68" s="41">
        <v>10</v>
      </c>
      <c r="DZ68" s="41">
        <v>30</v>
      </c>
      <c r="EA68" s="41">
        <v>40</v>
      </c>
      <c r="EB68" s="41">
        <v>30</v>
      </c>
      <c r="EC68" s="40">
        <v>571</v>
      </c>
      <c r="ED68" s="184">
        <v>295.29597197898426</v>
      </c>
    </row>
    <row r="69" spans="1:134" s="13" customFormat="1">
      <c r="A69" s="156" t="s">
        <v>217</v>
      </c>
      <c r="B69" s="285">
        <v>2014</v>
      </c>
      <c r="C69" s="259">
        <v>2</v>
      </c>
      <c r="D69" s="80" t="s">
        <v>343</v>
      </c>
      <c r="E69" s="56">
        <v>5.7</v>
      </c>
      <c r="F69" s="56">
        <v>14689</v>
      </c>
      <c r="G69" s="82">
        <v>6.1727502710516813</v>
      </c>
      <c r="H69" s="179">
        <v>2569.3000000000002</v>
      </c>
      <c r="I69" s="56">
        <v>7447</v>
      </c>
      <c r="J69" s="56">
        <v>50.697801075634828</v>
      </c>
      <c r="K69" s="56">
        <v>7242</v>
      </c>
      <c r="L69" s="84">
        <v>49.302198924365172</v>
      </c>
      <c r="M69" s="160">
        <v>29.287221730546669</v>
      </c>
      <c r="N69" s="160">
        <v>47.021580774729387</v>
      </c>
      <c r="O69" s="160">
        <v>23.691197494723941</v>
      </c>
      <c r="P69" s="160">
        <v>39.070052420178364</v>
      </c>
      <c r="Q69" s="160">
        <v>37.238750085097692</v>
      </c>
      <c r="R69" s="160">
        <v>23.691197494723941</v>
      </c>
      <c r="S69" s="83">
        <v>0.41616222760290555</v>
      </c>
      <c r="T69" s="83">
        <v>18.2</v>
      </c>
      <c r="U69" s="38">
        <v>146</v>
      </c>
      <c r="V69" s="41">
        <v>4.4000000000000004</v>
      </c>
      <c r="W69" s="40">
        <v>120789</v>
      </c>
      <c r="X69" s="41">
        <v>2.6</v>
      </c>
      <c r="Y69" s="42" t="s">
        <v>142</v>
      </c>
      <c r="Z69" s="38">
        <v>1818</v>
      </c>
      <c r="AA69" s="45">
        <v>14</v>
      </c>
      <c r="AB69" s="63">
        <v>178</v>
      </c>
      <c r="AC69" s="63">
        <v>51165.936999999998</v>
      </c>
      <c r="AD69" s="43">
        <v>94</v>
      </c>
      <c r="AE69" s="44">
        <v>-2.86</v>
      </c>
      <c r="AF69" s="44">
        <v>3.3773</v>
      </c>
      <c r="AG69" s="41">
        <v>85.97</v>
      </c>
      <c r="AH69" s="41">
        <v>14.030000000000001</v>
      </c>
      <c r="AI69" s="44">
        <v>2.54</v>
      </c>
      <c r="AJ69" s="41">
        <v>22.915500000000002</v>
      </c>
      <c r="AK69" s="41">
        <v>0.49943725379853687</v>
      </c>
      <c r="AL69" s="41">
        <v>9.1166999999999998</v>
      </c>
      <c r="AM69" s="39">
        <v>13740</v>
      </c>
      <c r="AN69" s="39">
        <v>13834</v>
      </c>
      <c r="AO69" s="40">
        <v>14630</v>
      </c>
      <c r="AP69" s="40">
        <v>14965</v>
      </c>
      <c r="AQ69" s="39">
        <v>6342000</v>
      </c>
      <c r="AR69" s="44">
        <v>1379.1483726179681</v>
      </c>
      <c r="AS69" s="39">
        <v>4598.49</v>
      </c>
      <c r="AT69" s="46">
        <v>7705000</v>
      </c>
      <c r="AU69" s="50">
        <v>1633.4534661861353</v>
      </c>
      <c r="AV69" s="39">
        <v>4717</v>
      </c>
      <c r="AW69" s="46">
        <v>7893000</v>
      </c>
      <c r="AX69" s="47">
        <v>1669.0632268978643</v>
      </c>
      <c r="AY69" s="39">
        <v>4729</v>
      </c>
      <c r="AZ69" s="41">
        <v>80.800000000000011</v>
      </c>
      <c r="BA69" s="41">
        <v>8.9025163882427574</v>
      </c>
      <c r="BB69" s="48" t="s">
        <v>382</v>
      </c>
      <c r="BC69" s="48" t="s">
        <v>382</v>
      </c>
      <c r="BD69" s="40">
        <v>0</v>
      </c>
      <c r="BE69" s="46">
        <v>256000</v>
      </c>
      <c r="BF69" s="44">
        <v>1028.1124497991968</v>
      </c>
      <c r="BG69" s="40">
        <v>249</v>
      </c>
      <c r="BH69" s="49" t="s">
        <v>382</v>
      </c>
      <c r="BI69" s="49" t="s">
        <v>382</v>
      </c>
      <c r="BJ69" s="213">
        <v>0</v>
      </c>
      <c r="BK69" s="47">
        <v>558.74090685973738</v>
      </c>
      <c r="BL69" s="55">
        <v>4567000</v>
      </c>
      <c r="BM69" s="41">
        <v>31.216678058783319</v>
      </c>
      <c r="BN69" s="56">
        <v>762000</v>
      </c>
      <c r="BO69" s="41">
        <v>5.2084757347915245</v>
      </c>
      <c r="BP69" s="56">
        <v>2906000</v>
      </c>
      <c r="BQ69" s="41">
        <v>19.863294600136705</v>
      </c>
      <c r="BR69" s="39">
        <v>1819000</v>
      </c>
      <c r="BS69" s="41">
        <v>12.433356117566644</v>
      </c>
      <c r="BT69" s="39">
        <v>2302000</v>
      </c>
      <c r="BU69" s="41">
        <v>15.73479152426521</v>
      </c>
      <c r="BV69" s="56">
        <v>2006000</v>
      </c>
      <c r="BW69" s="41">
        <v>13.711551606288449</v>
      </c>
      <c r="BX69" s="40">
        <v>268000</v>
      </c>
      <c r="BY69" s="41">
        <v>1.8318523581681476</v>
      </c>
      <c r="BZ69" s="57">
        <v>310.91292804139152</v>
      </c>
      <c r="CA69" s="58">
        <v>197.83511471168902</v>
      </c>
      <c r="CB69" s="43" t="s">
        <v>382</v>
      </c>
      <c r="CC69" s="47">
        <v>123.83416161753694</v>
      </c>
      <c r="CD69" s="58">
        <v>116.48172101572605</v>
      </c>
      <c r="CE69" s="59">
        <v>51.875553134998981</v>
      </c>
      <c r="CF69" s="59">
        <v>18.244945197086256</v>
      </c>
      <c r="CG69" s="59">
        <v>40.234188848798418</v>
      </c>
      <c r="CH69" s="47">
        <v>136.56477636326503</v>
      </c>
      <c r="CI69" s="43" t="s">
        <v>382</v>
      </c>
      <c r="CJ69" s="44">
        <v>481.49714527384225</v>
      </c>
      <c r="CK69" s="60">
        <v>43.770620437956204</v>
      </c>
      <c r="CL69" s="53">
        <v>1306.32</v>
      </c>
      <c r="CM69" s="41">
        <v>23.837956204379559</v>
      </c>
      <c r="CN69" s="53">
        <v>932.31</v>
      </c>
      <c r="CO69" s="41">
        <v>17.012956204379563</v>
      </c>
      <c r="CP69" s="54">
        <v>3081.3799999999997</v>
      </c>
      <c r="CQ69" s="41">
        <v>56.22956204379561</v>
      </c>
      <c r="CR69" s="43">
        <v>3818</v>
      </c>
      <c r="CS69" s="52">
        <v>52.121529596647463</v>
      </c>
      <c r="CT69" s="41">
        <v>65</v>
      </c>
      <c r="CU69" s="41">
        <v>4.4250799918306214</v>
      </c>
      <c r="CV69" s="52">
        <v>102.6</v>
      </c>
      <c r="CW69" s="38">
        <v>1</v>
      </c>
      <c r="CX69" s="38">
        <v>6</v>
      </c>
      <c r="CY69" s="51">
        <v>0</v>
      </c>
      <c r="CZ69" s="41">
        <v>5.4352917148886926</v>
      </c>
      <c r="DA69" s="39">
        <v>1663000</v>
      </c>
      <c r="DB69" s="39">
        <v>1545000</v>
      </c>
      <c r="DC69" s="39">
        <v>1696000</v>
      </c>
      <c r="DD69" s="39">
        <v>1503000</v>
      </c>
      <c r="DE69" s="39">
        <v>1834000</v>
      </c>
      <c r="DF69" s="62">
        <v>1729000</v>
      </c>
      <c r="DG69" s="41">
        <v>106.07</v>
      </c>
      <c r="DH69" s="41">
        <v>118.85</v>
      </c>
      <c r="DI69" s="41">
        <v>2.19</v>
      </c>
      <c r="DJ69" s="37" t="s">
        <v>390</v>
      </c>
      <c r="DK69" s="40">
        <v>52000</v>
      </c>
      <c r="DL69" s="40">
        <v>165000</v>
      </c>
      <c r="DM69" s="40">
        <v>0</v>
      </c>
      <c r="DN69" s="40">
        <v>52000</v>
      </c>
      <c r="DO69" s="40">
        <v>0</v>
      </c>
      <c r="DP69" s="40">
        <v>216029</v>
      </c>
      <c r="DQ69" s="64">
        <v>0</v>
      </c>
      <c r="DR69" s="40">
        <v>0</v>
      </c>
      <c r="DS69" s="65">
        <v>0</v>
      </c>
      <c r="DT69" s="38">
        <v>7</v>
      </c>
      <c r="DU69" s="66">
        <v>2098.4285714285716</v>
      </c>
      <c r="DV69" s="41">
        <v>28.571428571428569</v>
      </c>
      <c r="DW69" s="41">
        <v>71.428571428571431</v>
      </c>
      <c r="DX69" s="41">
        <v>0</v>
      </c>
      <c r="DY69" s="41">
        <v>0</v>
      </c>
      <c r="DZ69" s="41">
        <v>14.285714285714285</v>
      </c>
      <c r="EA69" s="41">
        <v>71.428571428571431</v>
      </c>
      <c r="EB69" s="41">
        <v>14.285714285714285</v>
      </c>
      <c r="EC69" s="40">
        <v>59</v>
      </c>
      <c r="ED69" s="184">
        <v>248.96610169491527</v>
      </c>
    </row>
    <row r="70" spans="1:134" s="13" customFormat="1">
      <c r="A70" s="156" t="s">
        <v>218</v>
      </c>
      <c r="B70" s="285">
        <v>2014</v>
      </c>
      <c r="C70" s="259">
        <v>3</v>
      </c>
      <c r="D70" s="80" t="s">
        <v>343</v>
      </c>
      <c r="E70" s="56">
        <v>22.7</v>
      </c>
      <c r="F70" s="56">
        <v>85886</v>
      </c>
      <c r="G70" s="82">
        <v>6.7331112989014272</v>
      </c>
      <c r="H70" s="179">
        <v>3779.5</v>
      </c>
      <c r="I70" s="56">
        <v>41751</v>
      </c>
      <c r="J70" s="56">
        <v>48.61211373215658</v>
      </c>
      <c r="K70" s="56">
        <v>44135</v>
      </c>
      <c r="L70" s="84">
        <v>51.38788626784342</v>
      </c>
      <c r="M70" s="160">
        <v>23.408937428684535</v>
      </c>
      <c r="N70" s="160">
        <v>55.808862911301027</v>
      </c>
      <c r="O70" s="160">
        <v>20.782199660014438</v>
      </c>
      <c r="P70" s="160">
        <v>39.028479612509607</v>
      </c>
      <c r="Q70" s="160">
        <v>40.189320727475959</v>
      </c>
      <c r="R70" s="160">
        <v>20.782199660014438</v>
      </c>
      <c r="S70" s="83">
        <v>0.61758924608458554</v>
      </c>
      <c r="T70" s="83">
        <v>48.9</v>
      </c>
      <c r="U70" s="38">
        <v>119</v>
      </c>
      <c r="V70" s="41">
        <v>4.3</v>
      </c>
      <c r="W70" s="40">
        <v>49446</v>
      </c>
      <c r="X70" s="41">
        <v>2.8</v>
      </c>
      <c r="Y70" s="42" t="s">
        <v>350</v>
      </c>
      <c r="Z70" s="38">
        <v>7389</v>
      </c>
      <c r="AA70" s="45">
        <v>134</v>
      </c>
      <c r="AB70" s="63">
        <v>391</v>
      </c>
      <c r="AC70" s="63">
        <v>364130.712</v>
      </c>
      <c r="AD70" s="43">
        <v>125</v>
      </c>
      <c r="AE70" s="44">
        <v>-0.77</v>
      </c>
      <c r="AF70" s="44">
        <v>3.0564</v>
      </c>
      <c r="AG70" s="41">
        <v>76.58</v>
      </c>
      <c r="AH70" s="41">
        <v>23.42</v>
      </c>
      <c r="AI70" s="44">
        <v>2.84</v>
      </c>
      <c r="AJ70" s="41">
        <v>7.4026999999999994</v>
      </c>
      <c r="AK70" s="41">
        <v>1.8984426456513035</v>
      </c>
      <c r="AL70" s="41">
        <v>9.1805000000000003</v>
      </c>
      <c r="AM70" s="39">
        <v>66095</v>
      </c>
      <c r="AN70" s="39">
        <v>66255.203340000007</v>
      </c>
      <c r="AO70" s="40">
        <v>70222.920450000005</v>
      </c>
      <c r="AP70" s="40">
        <v>83947.7</v>
      </c>
      <c r="AQ70" s="39">
        <v>25615000</v>
      </c>
      <c r="AR70" s="44">
        <v>890.12058240956321</v>
      </c>
      <c r="AS70" s="39">
        <v>28777</v>
      </c>
      <c r="AT70" s="46">
        <v>26614591.390000001</v>
      </c>
      <c r="AU70" s="50">
        <v>923.15613562261535</v>
      </c>
      <c r="AV70" s="39">
        <v>28830</v>
      </c>
      <c r="AW70" s="46">
        <v>27406000</v>
      </c>
      <c r="AX70" s="47">
        <v>933.09</v>
      </c>
      <c r="AY70" s="39">
        <v>29368</v>
      </c>
      <c r="AZ70" s="41">
        <v>75.8</v>
      </c>
      <c r="BA70" s="41">
        <v>18.673385998365568</v>
      </c>
      <c r="BB70" s="48" t="s">
        <v>382</v>
      </c>
      <c r="BC70" s="48" t="s">
        <v>382</v>
      </c>
      <c r="BD70" s="40">
        <v>0</v>
      </c>
      <c r="BE70" s="46">
        <v>6569000</v>
      </c>
      <c r="BF70" s="44">
        <v>2924.7551202137133</v>
      </c>
      <c r="BG70" s="40">
        <v>2246</v>
      </c>
      <c r="BH70" s="49" t="s">
        <v>382</v>
      </c>
      <c r="BI70" s="49" t="s">
        <v>382</v>
      </c>
      <c r="BJ70" s="213">
        <v>0</v>
      </c>
      <c r="BK70" s="47">
        <v>377.2517970681738</v>
      </c>
      <c r="BL70" s="55">
        <v>18510920.449999999</v>
      </c>
      <c r="BM70" s="41">
        <v>26.360225879782529</v>
      </c>
      <c r="BN70" s="56">
        <v>2380000</v>
      </c>
      <c r="BO70" s="41">
        <v>3.3892068070489936</v>
      </c>
      <c r="BP70" s="56">
        <v>13452000</v>
      </c>
      <c r="BQ70" s="41">
        <v>19.156138642194563</v>
      </c>
      <c r="BR70" s="39">
        <v>10510000</v>
      </c>
      <c r="BS70" s="41">
        <v>14.966623337010473</v>
      </c>
      <c r="BT70" s="39">
        <v>12434000</v>
      </c>
      <c r="BU70" s="41">
        <v>17.706469512120666</v>
      </c>
      <c r="BV70" s="56">
        <v>5189000</v>
      </c>
      <c r="BW70" s="41">
        <v>7.3893252612509368</v>
      </c>
      <c r="BX70" s="40">
        <v>7747000</v>
      </c>
      <c r="BY70" s="41">
        <v>11.03201056059183</v>
      </c>
      <c r="BZ70" s="57">
        <v>215.52896222900122</v>
      </c>
      <c r="CA70" s="58">
        <v>156.62622546165846</v>
      </c>
      <c r="CB70" s="43" t="s">
        <v>382</v>
      </c>
      <c r="CC70" s="47">
        <v>122.37151573015393</v>
      </c>
      <c r="CD70" s="58">
        <v>94.392566890995042</v>
      </c>
      <c r="CE70" s="59">
        <v>27.711151992175676</v>
      </c>
      <c r="CF70" s="59">
        <v>90.200964068649142</v>
      </c>
      <c r="CG70" s="59">
        <v>50.380737256363084</v>
      </c>
      <c r="CH70" s="47">
        <v>60.41729734764688</v>
      </c>
      <c r="CI70" s="43" t="s">
        <v>382</v>
      </c>
      <c r="CJ70" s="44">
        <v>369.07518387360392</v>
      </c>
      <c r="CK70" s="60">
        <v>40.396945388273224</v>
      </c>
      <c r="CL70" s="53">
        <v>6661.2099259999995</v>
      </c>
      <c r="CM70" s="41">
        <v>18.812252911404638</v>
      </c>
      <c r="CN70" s="53">
        <v>6432.9000000000005</v>
      </c>
      <c r="CO70" s="41">
        <v>18.167471540180809</v>
      </c>
      <c r="CP70" s="54">
        <v>21104.789999999997</v>
      </c>
      <c r="CQ70" s="41">
        <v>59.603082853222098</v>
      </c>
      <c r="CR70" s="43">
        <v>16014</v>
      </c>
      <c r="CS70" s="52">
        <v>52.354190083676791</v>
      </c>
      <c r="CT70" s="41">
        <v>230.38</v>
      </c>
      <c r="CU70" s="41">
        <v>2.6823929394779125</v>
      </c>
      <c r="CV70" s="52">
        <v>278</v>
      </c>
      <c r="CW70" s="38">
        <v>2</v>
      </c>
      <c r="CX70" s="38">
        <v>3</v>
      </c>
      <c r="CY70" s="51">
        <v>2</v>
      </c>
      <c r="CZ70" s="41">
        <v>7.9142467922595072</v>
      </c>
      <c r="DA70" s="39">
        <v>4296000</v>
      </c>
      <c r="DB70" s="39">
        <v>4748000</v>
      </c>
      <c r="DC70" s="39">
        <v>8446000</v>
      </c>
      <c r="DD70" s="39">
        <v>7988000</v>
      </c>
      <c r="DE70" s="39">
        <v>8784587.5199999996</v>
      </c>
      <c r="DF70" s="62">
        <v>8628558</v>
      </c>
      <c r="DG70" s="41">
        <v>101.81</v>
      </c>
      <c r="DH70" s="41">
        <v>74.550000000000011</v>
      </c>
      <c r="DI70" s="41">
        <v>1.03</v>
      </c>
      <c r="DJ70" s="37" t="s">
        <v>390</v>
      </c>
      <c r="DK70" s="40">
        <v>85000</v>
      </c>
      <c r="DL70" s="40">
        <v>344000</v>
      </c>
      <c r="DM70" s="40">
        <v>0</v>
      </c>
      <c r="DN70" s="40">
        <v>38414</v>
      </c>
      <c r="DO70" s="40">
        <v>0</v>
      </c>
      <c r="DP70" s="40">
        <v>316460</v>
      </c>
      <c r="DQ70" s="64">
        <v>12</v>
      </c>
      <c r="DR70" s="40">
        <v>63206</v>
      </c>
      <c r="DS70" s="65">
        <v>3</v>
      </c>
      <c r="DT70" s="38">
        <v>12</v>
      </c>
      <c r="DU70" s="66">
        <v>7157.166666666667</v>
      </c>
      <c r="DV70" s="41">
        <v>33.333333333333329</v>
      </c>
      <c r="DW70" s="41">
        <v>66.666666666666657</v>
      </c>
      <c r="DX70" s="41">
        <v>0</v>
      </c>
      <c r="DY70" s="41">
        <v>58.333333333333336</v>
      </c>
      <c r="DZ70" s="41">
        <v>8.3333333333333321</v>
      </c>
      <c r="EA70" s="41">
        <v>83.333333333333343</v>
      </c>
      <c r="EB70" s="41">
        <v>8.3333333333333321</v>
      </c>
      <c r="EC70" s="40">
        <v>315.62</v>
      </c>
      <c r="ED70" s="184">
        <v>272.11837019200306</v>
      </c>
    </row>
    <row r="71" spans="1:134" s="13" customFormat="1">
      <c r="A71" s="156" t="s">
        <v>219</v>
      </c>
      <c r="B71" s="285">
        <v>2014</v>
      </c>
      <c r="C71" s="259">
        <v>11</v>
      </c>
      <c r="D71" s="80" t="s">
        <v>345</v>
      </c>
      <c r="E71" s="56">
        <v>8594.9</v>
      </c>
      <c r="F71" s="56">
        <v>16846</v>
      </c>
      <c r="G71" s="82">
        <v>3.223039215686275</v>
      </c>
      <c r="H71" s="179">
        <v>2</v>
      </c>
      <c r="I71" s="56">
        <v>8291</v>
      </c>
      <c r="J71" s="56">
        <v>49.21643120028493</v>
      </c>
      <c r="K71" s="56">
        <v>8555</v>
      </c>
      <c r="L71" s="84">
        <v>50.783568799715063</v>
      </c>
      <c r="M71" s="160">
        <v>27.769203371720291</v>
      </c>
      <c r="N71" s="160">
        <v>46.331473346788556</v>
      </c>
      <c r="O71" s="160">
        <v>25.899323281491153</v>
      </c>
      <c r="P71" s="160">
        <v>38.555146622343585</v>
      </c>
      <c r="Q71" s="160">
        <v>35.545530096165265</v>
      </c>
      <c r="R71" s="160">
        <v>25.899323281491153</v>
      </c>
      <c r="S71" s="83">
        <v>6.5368826968528433</v>
      </c>
      <c r="T71" s="83">
        <v>2.2000000000000002</v>
      </c>
      <c r="U71" s="38">
        <v>18</v>
      </c>
      <c r="V71" s="41">
        <v>10.7</v>
      </c>
      <c r="W71" s="40">
        <v>35598</v>
      </c>
      <c r="X71" s="41">
        <v>2.5</v>
      </c>
      <c r="Y71" s="42" t="s">
        <v>139</v>
      </c>
      <c r="Z71" s="43">
        <v>1626</v>
      </c>
      <c r="AA71" s="45">
        <v>3</v>
      </c>
      <c r="AB71" s="63">
        <v>174</v>
      </c>
      <c r="AC71" s="63">
        <v>17457.295999999998</v>
      </c>
      <c r="AD71" s="43">
        <v>24</v>
      </c>
      <c r="AE71" s="44">
        <v>6.83</v>
      </c>
      <c r="AF71" s="44">
        <v>7.6795000000000009</v>
      </c>
      <c r="AG71" s="41">
        <v>62.83</v>
      </c>
      <c r="AH71" s="41">
        <v>37.17</v>
      </c>
      <c r="AI71" s="44">
        <v>5.89</v>
      </c>
      <c r="AJ71" s="41">
        <v>25.279699999999998</v>
      </c>
      <c r="AK71" s="41">
        <v>1.0571057933813586</v>
      </c>
      <c r="AL71" s="41">
        <v>20.6815</v>
      </c>
      <c r="AM71" s="39">
        <v>31551</v>
      </c>
      <c r="AN71" s="39">
        <v>32303</v>
      </c>
      <c r="AO71" s="40">
        <v>33790</v>
      </c>
      <c r="AP71" s="40">
        <v>39268</v>
      </c>
      <c r="AQ71" s="39">
        <v>4256000</v>
      </c>
      <c r="AR71" s="44">
        <v>720.62309515746699</v>
      </c>
      <c r="AS71" s="39">
        <v>5906</v>
      </c>
      <c r="AT71" s="46">
        <v>4430000</v>
      </c>
      <c r="AU71" s="50">
        <v>746.41954507160915</v>
      </c>
      <c r="AV71" s="39">
        <v>5935</v>
      </c>
      <c r="AW71" s="46">
        <v>4556000</v>
      </c>
      <c r="AX71" s="47">
        <v>765.71428571428567</v>
      </c>
      <c r="AY71" s="39">
        <v>5950</v>
      </c>
      <c r="AZ71" s="41">
        <v>60.6</v>
      </c>
      <c r="BA71" s="41">
        <v>28.722689075630253</v>
      </c>
      <c r="BB71" s="46">
        <v>3290000</v>
      </c>
      <c r="BC71" s="48">
        <v>2455.2238805970151</v>
      </c>
      <c r="BD71" s="40">
        <v>1340</v>
      </c>
      <c r="BE71" s="46">
        <v>1800000</v>
      </c>
      <c r="BF71" s="44">
        <v>3220.0357781753132</v>
      </c>
      <c r="BG71" s="40">
        <v>559</v>
      </c>
      <c r="BH71" s="49" t="s">
        <v>382</v>
      </c>
      <c r="BI71" s="49" t="s">
        <v>382</v>
      </c>
      <c r="BJ71" s="213">
        <v>0</v>
      </c>
      <c r="BK71" s="47">
        <v>111.59167198838897</v>
      </c>
      <c r="BL71" s="55">
        <v>2794000</v>
      </c>
      <c r="BM71" s="41">
        <v>8.2687185557857354</v>
      </c>
      <c r="BN71" s="56">
        <v>6704000</v>
      </c>
      <c r="BO71" s="41">
        <v>19.840189405149452</v>
      </c>
      <c r="BP71" s="56">
        <v>3389000</v>
      </c>
      <c r="BQ71" s="41">
        <v>10.029594554601953</v>
      </c>
      <c r="BR71" s="39">
        <v>3187000</v>
      </c>
      <c r="BS71" s="41">
        <v>9.4317845516424992</v>
      </c>
      <c r="BT71" s="39">
        <v>3409000</v>
      </c>
      <c r="BU71" s="41">
        <v>10.088783663805859</v>
      </c>
      <c r="BV71" s="56">
        <v>9909000</v>
      </c>
      <c r="BW71" s="41">
        <v>29.325244155075463</v>
      </c>
      <c r="BX71" s="40">
        <v>4398000</v>
      </c>
      <c r="BY71" s="41">
        <v>13.015685113939035</v>
      </c>
      <c r="BZ71" s="57">
        <v>165.85539593968895</v>
      </c>
      <c r="CA71" s="58">
        <v>201.17535319957261</v>
      </c>
      <c r="CB71" s="59">
        <v>368.21797459337529</v>
      </c>
      <c r="CC71" s="47">
        <v>189.18437611302386</v>
      </c>
      <c r="CD71" s="58">
        <v>145.37575685622699</v>
      </c>
      <c r="CE71" s="59">
        <v>29.739997625549091</v>
      </c>
      <c r="CF71" s="59">
        <v>261.07087735961056</v>
      </c>
      <c r="CG71" s="59">
        <v>56.986821797459335</v>
      </c>
      <c r="CH71" s="47">
        <v>588.21085124065064</v>
      </c>
      <c r="CI71" s="43">
        <v>1018</v>
      </c>
      <c r="CJ71" s="44">
        <v>283.8655462184874</v>
      </c>
      <c r="CK71" s="60">
        <v>40.54054054054054</v>
      </c>
      <c r="CL71" s="53">
        <v>3300</v>
      </c>
      <c r="CM71" s="41">
        <v>40.54054054054054</v>
      </c>
      <c r="CN71" s="53" t="s">
        <v>382</v>
      </c>
      <c r="CO71" s="41">
        <v>0</v>
      </c>
      <c r="CP71" s="54">
        <v>4840</v>
      </c>
      <c r="CQ71" s="41">
        <v>59.45945945945946</v>
      </c>
      <c r="CR71" s="43">
        <v>9775</v>
      </c>
      <c r="CS71" s="52">
        <v>48.521739130434781</v>
      </c>
      <c r="CT71" s="41">
        <v>2139.3940000000002</v>
      </c>
      <c r="CU71" s="41">
        <v>126.99715065891014</v>
      </c>
      <c r="CV71" s="52">
        <v>260</v>
      </c>
      <c r="CW71" s="38">
        <v>2</v>
      </c>
      <c r="CX71" s="38">
        <v>15</v>
      </c>
      <c r="CY71" s="51">
        <v>1</v>
      </c>
      <c r="CZ71" s="41">
        <v>8.4295381692983504</v>
      </c>
      <c r="DA71" s="39">
        <v>6863000</v>
      </c>
      <c r="DB71" s="39">
        <v>6749000</v>
      </c>
      <c r="DC71" s="39">
        <v>6748000</v>
      </c>
      <c r="DD71" s="39">
        <v>6554000</v>
      </c>
      <c r="DE71" s="39">
        <v>7551000</v>
      </c>
      <c r="DF71" s="62">
        <v>7503000</v>
      </c>
      <c r="DG71" s="41">
        <v>100.64</v>
      </c>
      <c r="DH71" s="41">
        <v>67.400000000000006</v>
      </c>
      <c r="DI71" s="41">
        <v>1.0999999999999999</v>
      </c>
      <c r="DJ71" s="37" t="s">
        <v>390</v>
      </c>
      <c r="DK71" s="40">
        <v>24000</v>
      </c>
      <c r="DL71" s="40">
        <v>120000</v>
      </c>
      <c r="DM71" s="40">
        <v>0</v>
      </c>
      <c r="DN71" s="40">
        <v>8168.58</v>
      </c>
      <c r="DO71" s="40">
        <v>808</v>
      </c>
      <c r="DP71" s="40">
        <v>287311</v>
      </c>
      <c r="DQ71" s="64">
        <v>0</v>
      </c>
      <c r="DR71" s="40">
        <v>0</v>
      </c>
      <c r="DS71" s="65">
        <v>0</v>
      </c>
      <c r="DT71" s="38">
        <v>9</v>
      </c>
      <c r="DU71" s="66">
        <v>1871.7777777777778</v>
      </c>
      <c r="DV71" s="41">
        <v>22.222222222222221</v>
      </c>
      <c r="DW71" s="41">
        <v>77.777777777777786</v>
      </c>
      <c r="DX71" s="41">
        <v>0</v>
      </c>
      <c r="DY71" s="41">
        <v>0</v>
      </c>
      <c r="DZ71" s="41">
        <v>0</v>
      </c>
      <c r="EA71" s="41">
        <v>33.333333333333329</v>
      </c>
      <c r="EB71" s="41">
        <v>66.666666666666657</v>
      </c>
      <c r="EC71" s="40">
        <v>210</v>
      </c>
      <c r="ED71" s="184">
        <v>80.219047619047615</v>
      </c>
    </row>
    <row r="72" spans="1:134" s="13" customFormat="1">
      <c r="A72" s="156" t="s">
        <v>220</v>
      </c>
      <c r="B72" s="285">
        <v>2014</v>
      </c>
      <c r="C72" s="259">
        <v>8</v>
      </c>
      <c r="D72" s="80" t="s">
        <v>344</v>
      </c>
      <c r="E72" s="56">
        <v>3373.1</v>
      </c>
      <c r="F72" s="56">
        <v>1519</v>
      </c>
      <c r="G72" s="82">
        <v>-4.224464060529634</v>
      </c>
      <c r="H72" s="179">
        <v>0.5</v>
      </c>
      <c r="I72" s="56">
        <v>829</v>
      </c>
      <c r="J72" s="56">
        <v>54.575378538512176</v>
      </c>
      <c r="K72" s="56">
        <v>690</v>
      </c>
      <c r="L72" s="84">
        <v>45.424621461487817</v>
      </c>
      <c r="M72" s="160">
        <v>23.963133640552993</v>
      </c>
      <c r="N72" s="160">
        <v>48.255431204739963</v>
      </c>
      <c r="O72" s="160">
        <v>27.781435154707047</v>
      </c>
      <c r="P72" s="160">
        <v>32.06056616194865</v>
      </c>
      <c r="Q72" s="160">
        <v>40.157998683344303</v>
      </c>
      <c r="R72" s="160">
        <v>27.781435154707047</v>
      </c>
      <c r="S72" s="83">
        <v>2.9431438127090299</v>
      </c>
      <c r="T72" s="83">
        <v>2.5</v>
      </c>
      <c r="U72" s="38">
        <v>101</v>
      </c>
      <c r="V72" s="41">
        <v>7.3</v>
      </c>
      <c r="W72" s="40">
        <v>40528</v>
      </c>
      <c r="X72" s="41">
        <v>2.5</v>
      </c>
      <c r="Y72" s="42" t="s">
        <v>351</v>
      </c>
      <c r="Z72" s="38">
        <v>219</v>
      </c>
      <c r="AA72" s="45">
        <v>2</v>
      </c>
      <c r="AB72" s="67">
        <v>17</v>
      </c>
      <c r="AC72" s="63">
        <v>1318.6189999999999</v>
      </c>
      <c r="AD72" s="43">
        <v>14</v>
      </c>
      <c r="AE72" s="44">
        <v>-11.59</v>
      </c>
      <c r="AF72" s="44">
        <v>3.4095</v>
      </c>
      <c r="AG72" s="41">
        <v>50.08</v>
      </c>
      <c r="AH72" s="41">
        <v>49.92</v>
      </c>
      <c r="AI72" s="44">
        <v>8.7899999999999991</v>
      </c>
      <c r="AJ72" s="41">
        <v>9.860199999999999</v>
      </c>
      <c r="AK72" s="41">
        <v>2.0996640537514</v>
      </c>
      <c r="AL72" s="41">
        <v>12.662000000000001</v>
      </c>
      <c r="AM72" s="39">
        <v>9643</v>
      </c>
      <c r="AN72" s="39">
        <v>9128</v>
      </c>
      <c r="AO72" s="40">
        <v>8080</v>
      </c>
      <c r="AP72" s="40">
        <v>7846</v>
      </c>
      <c r="AQ72" s="39">
        <v>83000</v>
      </c>
      <c r="AR72" s="44">
        <v>203.43137254901961</v>
      </c>
      <c r="AS72" s="39">
        <v>408</v>
      </c>
      <c r="AT72" s="46">
        <v>92000</v>
      </c>
      <c r="AU72" s="50">
        <v>225.49</v>
      </c>
      <c r="AV72" s="39">
        <v>408</v>
      </c>
      <c r="AW72" s="46">
        <v>96000</v>
      </c>
      <c r="AX72" s="47">
        <v>235.29411764705881</v>
      </c>
      <c r="AY72" s="39">
        <v>408</v>
      </c>
      <c r="AZ72" s="41">
        <v>63.9</v>
      </c>
      <c r="BA72" s="41">
        <v>30.637254901960787</v>
      </c>
      <c r="BB72" s="46">
        <v>1500000</v>
      </c>
      <c r="BC72" s="48">
        <v>2777.7777777777778</v>
      </c>
      <c r="BD72" s="40">
        <v>540</v>
      </c>
      <c r="BE72" s="46">
        <v>50000</v>
      </c>
      <c r="BF72" s="44">
        <v>331.12582781456956</v>
      </c>
      <c r="BG72" s="40">
        <v>151</v>
      </c>
      <c r="BH72" s="49" t="s">
        <v>382</v>
      </c>
      <c r="BI72" s="49" t="s">
        <v>382</v>
      </c>
      <c r="BJ72" s="213">
        <v>0</v>
      </c>
      <c r="BK72" s="47">
        <v>117.6278857837181</v>
      </c>
      <c r="BL72" s="55">
        <v>2187000</v>
      </c>
      <c r="BM72" s="41">
        <v>27.066831683168317</v>
      </c>
      <c r="BN72" s="56">
        <v>939000</v>
      </c>
      <c r="BO72" s="41">
        <v>11.621287128712872</v>
      </c>
      <c r="BP72" s="56">
        <v>250000</v>
      </c>
      <c r="BQ72" s="41">
        <v>3.0940594059405941</v>
      </c>
      <c r="BR72" s="39">
        <v>184000</v>
      </c>
      <c r="BS72" s="41">
        <v>2.277227722772277</v>
      </c>
      <c r="BT72" s="39">
        <v>608000</v>
      </c>
      <c r="BU72" s="41">
        <v>7.5247524752475243</v>
      </c>
      <c r="BV72" s="56">
        <v>2779000</v>
      </c>
      <c r="BW72" s="41">
        <v>34.39356435643564</v>
      </c>
      <c r="BX72" s="40">
        <v>1133000</v>
      </c>
      <c r="BY72" s="41">
        <v>14.022277227722773</v>
      </c>
      <c r="BZ72" s="57">
        <v>1439.7630019749836</v>
      </c>
      <c r="CA72" s="58">
        <v>164.58196181698486</v>
      </c>
      <c r="CB72" s="59">
        <v>450.95457537853849</v>
      </c>
      <c r="CC72" s="47">
        <v>121.13232389730085</v>
      </c>
      <c r="CD72" s="58">
        <v>298.88084265964449</v>
      </c>
      <c r="CE72" s="59">
        <v>167.21527320605662</v>
      </c>
      <c r="CF72" s="59">
        <v>745.88545095457539</v>
      </c>
      <c r="CG72" s="59">
        <v>101.38248847926268</v>
      </c>
      <c r="CH72" s="47">
        <v>1829.4930875576038</v>
      </c>
      <c r="CI72" s="43">
        <v>2068</v>
      </c>
      <c r="CJ72" s="44">
        <v>134.80392156862746</v>
      </c>
      <c r="CK72" s="60">
        <v>0</v>
      </c>
      <c r="CL72" s="53" t="s">
        <v>382</v>
      </c>
      <c r="CM72" s="41">
        <v>0</v>
      </c>
      <c r="CN72" s="53" t="s">
        <v>382</v>
      </c>
      <c r="CO72" s="41">
        <v>0</v>
      </c>
      <c r="CP72" s="54">
        <v>60</v>
      </c>
      <c r="CQ72" s="41">
        <v>100</v>
      </c>
      <c r="CR72" s="43">
        <v>584</v>
      </c>
      <c r="CS72" s="52">
        <v>43.664383561643838</v>
      </c>
      <c r="CT72" s="41">
        <v>1101.22</v>
      </c>
      <c r="CU72" s="41">
        <v>724.9637919684003</v>
      </c>
      <c r="CV72" s="52">
        <v>122</v>
      </c>
      <c r="CW72" s="38">
        <v>1</v>
      </c>
      <c r="CX72" s="38">
        <v>3</v>
      </c>
      <c r="CY72" s="51">
        <v>1</v>
      </c>
      <c r="CZ72" s="41">
        <v>7.5444371296905857</v>
      </c>
      <c r="DA72" s="39">
        <v>2103000</v>
      </c>
      <c r="DB72" s="39">
        <v>2408000</v>
      </c>
      <c r="DC72" s="39">
        <v>2406000</v>
      </c>
      <c r="DD72" s="39">
        <v>1508000</v>
      </c>
      <c r="DE72" s="39">
        <v>1614000</v>
      </c>
      <c r="DF72" s="62">
        <v>1422000</v>
      </c>
      <c r="DG72" s="41">
        <v>113.5</v>
      </c>
      <c r="DH72" s="41">
        <v>68.45</v>
      </c>
      <c r="DI72" s="41">
        <v>1.29</v>
      </c>
      <c r="DJ72" s="37" t="s">
        <v>390</v>
      </c>
      <c r="DK72" s="40">
        <v>13000</v>
      </c>
      <c r="DL72" s="40">
        <v>99000</v>
      </c>
      <c r="DM72" s="40">
        <v>0</v>
      </c>
      <c r="DN72" s="40">
        <v>889</v>
      </c>
      <c r="DO72" s="40">
        <v>667</v>
      </c>
      <c r="DP72" s="40">
        <v>216592</v>
      </c>
      <c r="DQ72" s="64">
        <v>0</v>
      </c>
      <c r="DR72" s="40">
        <v>0</v>
      </c>
      <c r="DS72" s="65">
        <v>0</v>
      </c>
      <c r="DT72" s="38">
        <v>7</v>
      </c>
      <c r="DU72" s="66">
        <v>217</v>
      </c>
      <c r="DV72" s="41">
        <v>42.857142857142854</v>
      </c>
      <c r="DW72" s="41">
        <v>57.142857142857139</v>
      </c>
      <c r="DX72" s="41">
        <v>0</v>
      </c>
      <c r="DY72" s="41">
        <v>0</v>
      </c>
      <c r="DZ72" s="41">
        <v>0</v>
      </c>
      <c r="EA72" s="41">
        <v>42.857142857142854</v>
      </c>
      <c r="EB72" s="41">
        <v>57.142857142857139</v>
      </c>
      <c r="EC72" s="40">
        <v>42</v>
      </c>
      <c r="ED72" s="184">
        <v>36.166666666666664</v>
      </c>
    </row>
    <row r="73" spans="1:134" s="13" customFormat="1">
      <c r="A73" s="156" t="s">
        <v>221</v>
      </c>
      <c r="B73" s="285">
        <v>2014</v>
      </c>
      <c r="C73" s="259">
        <v>10</v>
      </c>
      <c r="D73" s="80" t="s">
        <v>345</v>
      </c>
      <c r="E73" s="56">
        <v>2030</v>
      </c>
      <c r="F73" s="56">
        <v>6297</v>
      </c>
      <c r="G73" s="82">
        <v>4.0138751238850352</v>
      </c>
      <c r="H73" s="179">
        <v>3.1</v>
      </c>
      <c r="I73" s="56">
        <v>3611</v>
      </c>
      <c r="J73" s="56">
        <v>57.344767349531523</v>
      </c>
      <c r="K73" s="56">
        <v>2686</v>
      </c>
      <c r="L73" s="84">
        <v>42.655232650468477</v>
      </c>
      <c r="M73" s="160">
        <v>24.630776560266792</v>
      </c>
      <c r="N73" s="160">
        <v>55.375575670954426</v>
      </c>
      <c r="O73" s="160">
        <v>19.993647768778782</v>
      </c>
      <c r="P73" s="160">
        <v>39.034460854375098</v>
      </c>
      <c r="Q73" s="160">
        <v>40.971891376846116</v>
      </c>
      <c r="R73" s="160">
        <v>19.993647768778782</v>
      </c>
      <c r="S73" s="83">
        <v>6.6984019041142471</v>
      </c>
      <c r="T73" s="83">
        <v>1.1000000000000001</v>
      </c>
      <c r="U73" s="38">
        <v>34</v>
      </c>
      <c r="V73" s="41">
        <v>5.3</v>
      </c>
      <c r="W73" s="40">
        <v>44437</v>
      </c>
      <c r="X73" s="41">
        <v>2.5</v>
      </c>
      <c r="Y73" s="42" t="s">
        <v>351</v>
      </c>
      <c r="Z73" s="43">
        <v>539</v>
      </c>
      <c r="AA73" s="45">
        <v>1</v>
      </c>
      <c r="AB73" s="67">
        <v>49</v>
      </c>
      <c r="AC73" s="63">
        <v>2652.5059999999999</v>
      </c>
      <c r="AD73" s="43">
        <v>7</v>
      </c>
      <c r="AE73" s="44">
        <v>-1.45</v>
      </c>
      <c r="AF73" s="44">
        <v>0.97019999999999995</v>
      </c>
      <c r="AG73" s="41">
        <v>61.06</v>
      </c>
      <c r="AH73" s="41">
        <v>38.94</v>
      </c>
      <c r="AI73" s="44">
        <v>9.0299999999999994</v>
      </c>
      <c r="AJ73" s="41">
        <v>3.2739999999999996</v>
      </c>
      <c r="AK73" s="41">
        <v>5.6479690522243713</v>
      </c>
      <c r="AL73" s="41">
        <v>2.4384000000000001</v>
      </c>
      <c r="AM73" s="39">
        <v>12397</v>
      </c>
      <c r="AN73" s="39">
        <v>12858</v>
      </c>
      <c r="AO73" s="40">
        <v>13112</v>
      </c>
      <c r="AP73" s="40">
        <v>13686</v>
      </c>
      <c r="AQ73" s="39">
        <v>1040000</v>
      </c>
      <c r="AR73" s="44">
        <v>521.04208416833671</v>
      </c>
      <c r="AS73" s="39">
        <v>1996</v>
      </c>
      <c r="AT73" s="46">
        <v>1152000</v>
      </c>
      <c r="AU73" s="50">
        <v>572.8493286921929</v>
      </c>
      <c r="AV73" s="39">
        <v>2011</v>
      </c>
      <c r="AW73" s="46">
        <v>1199000</v>
      </c>
      <c r="AX73" s="47">
        <v>593.27065809005444</v>
      </c>
      <c r="AY73" s="39">
        <v>2021</v>
      </c>
      <c r="AZ73" s="41">
        <v>64</v>
      </c>
      <c r="BA73" s="41">
        <v>22.513607125185551</v>
      </c>
      <c r="BB73" s="46">
        <v>1596000</v>
      </c>
      <c r="BC73" s="48">
        <v>2119.5219123505976</v>
      </c>
      <c r="BD73" s="40">
        <v>753</v>
      </c>
      <c r="BE73" s="46">
        <v>303000</v>
      </c>
      <c r="BF73" s="44">
        <v>1538.0710659898477</v>
      </c>
      <c r="BG73" s="40">
        <v>197</v>
      </c>
      <c r="BH73" s="49" t="s">
        <v>382</v>
      </c>
      <c r="BI73" s="49" t="s">
        <v>382</v>
      </c>
      <c r="BJ73" s="213">
        <v>0</v>
      </c>
      <c r="BK73" s="47">
        <v>202.54891575209814</v>
      </c>
      <c r="BL73" s="55">
        <v>1881000</v>
      </c>
      <c r="BM73" s="41">
        <v>14.345637583892618</v>
      </c>
      <c r="BN73" s="56">
        <v>956000</v>
      </c>
      <c r="BO73" s="41">
        <v>7.2910311165344712</v>
      </c>
      <c r="BP73" s="56">
        <v>950000</v>
      </c>
      <c r="BQ73" s="41">
        <v>7.2452715070164739</v>
      </c>
      <c r="BR73" s="39">
        <v>1678000</v>
      </c>
      <c r="BS73" s="41">
        <v>12.797437461866993</v>
      </c>
      <c r="BT73" s="39">
        <v>1945000</v>
      </c>
      <c r="BU73" s="41">
        <v>14.833740085417938</v>
      </c>
      <c r="BV73" s="56">
        <v>2166000</v>
      </c>
      <c r="BW73" s="41">
        <v>16.519219035997558</v>
      </c>
      <c r="BX73" s="40">
        <v>3536000</v>
      </c>
      <c r="BY73" s="41">
        <v>26.967663209273944</v>
      </c>
      <c r="BZ73" s="57">
        <v>298.71367317770364</v>
      </c>
      <c r="CA73" s="58">
        <v>150.86549150389075</v>
      </c>
      <c r="CB73" s="59">
        <v>113.38732729871367</v>
      </c>
      <c r="CC73" s="47">
        <v>266.47609973003017</v>
      </c>
      <c r="CD73" s="58">
        <v>249.16626965221533</v>
      </c>
      <c r="CE73" s="59">
        <v>38.430998888359539</v>
      </c>
      <c r="CF73" s="59">
        <v>561.53723995553435</v>
      </c>
      <c r="CG73" s="59">
        <v>59.710973479434649</v>
      </c>
      <c r="CH73" s="47">
        <v>343.97332062887091</v>
      </c>
      <c r="CI73" s="43" t="s">
        <v>382</v>
      </c>
      <c r="CJ73" s="44">
        <v>226.12568035625927</v>
      </c>
      <c r="CK73" s="60">
        <v>36.809906580308002</v>
      </c>
      <c r="CL73" s="53">
        <v>440.84719999999999</v>
      </c>
      <c r="CM73" s="41">
        <v>24.894705765692262</v>
      </c>
      <c r="CN73" s="53">
        <v>211</v>
      </c>
      <c r="CO73" s="41">
        <v>11.915200814615739</v>
      </c>
      <c r="CP73" s="54">
        <v>1119</v>
      </c>
      <c r="CQ73" s="41">
        <v>63.190093419692005</v>
      </c>
      <c r="CR73" s="43">
        <v>2876</v>
      </c>
      <c r="CS73" s="52">
        <v>47.009735744089014</v>
      </c>
      <c r="CT73" s="41">
        <v>881.51</v>
      </c>
      <c r="CU73" s="41">
        <v>139.98888359536286</v>
      </c>
      <c r="CV73" s="52">
        <v>16.37</v>
      </c>
      <c r="CW73" s="38">
        <v>1</v>
      </c>
      <c r="CX73" s="38">
        <v>2</v>
      </c>
      <c r="CY73" s="51">
        <v>1</v>
      </c>
      <c r="CZ73" s="41">
        <v>3.8129267905351756</v>
      </c>
      <c r="DA73" s="39">
        <v>1264000</v>
      </c>
      <c r="DB73" s="39">
        <v>1234000</v>
      </c>
      <c r="DC73" s="39">
        <v>1216000</v>
      </c>
      <c r="DD73" s="39">
        <v>1424000</v>
      </c>
      <c r="DE73" s="39">
        <v>1233000</v>
      </c>
      <c r="DF73" s="62">
        <v>1424000</v>
      </c>
      <c r="DG73" s="41">
        <v>86.59</v>
      </c>
      <c r="DH73" s="41">
        <v>152.85</v>
      </c>
      <c r="DI73" s="41">
        <v>5.9700000000000006</v>
      </c>
      <c r="DJ73" s="37" t="s">
        <v>390</v>
      </c>
      <c r="DK73" s="40">
        <v>19000</v>
      </c>
      <c r="DL73" s="40">
        <v>91000</v>
      </c>
      <c r="DM73" s="40">
        <v>0</v>
      </c>
      <c r="DN73" s="40">
        <v>4891</v>
      </c>
      <c r="DO73" s="40">
        <v>0</v>
      </c>
      <c r="DP73" s="40">
        <v>198986</v>
      </c>
      <c r="DQ73" s="64">
        <v>1</v>
      </c>
      <c r="DR73" s="40">
        <v>0</v>
      </c>
      <c r="DS73" s="65">
        <v>0</v>
      </c>
      <c r="DT73" s="38">
        <v>9</v>
      </c>
      <c r="DU73" s="66">
        <v>699.66666666666663</v>
      </c>
      <c r="DV73" s="41">
        <v>33.333333333333329</v>
      </c>
      <c r="DW73" s="41">
        <v>66.666666666666657</v>
      </c>
      <c r="DX73" s="41">
        <v>0</v>
      </c>
      <c r="DY73" s="41">
        <v>0</v>
      </c>
      <c r="DZ73" s="41">
        <v>0</v>
      </c>
      <c r="EA73" s="41">
        <v>66.666666666666657</v>
      </c>
      <c r="EB73" s="41">
        <v>33.333333333333329</v>
      </c>
      <c r="EC73" s="40">
        <v>60</v>
      </c>
      <c r="ED73" s="184">
        <v>104.95</v>
      </c>
    </row>
    <row r="74" spans="1:134" s="13" customFormat="1">
      <c r="A74" s="156" t="s">
        <v>222</v>
      </c>
      <c r="B74" s="285">
        <v>2014</v>
      </c>
      <c r="C74" s="259">
        <v>4</v>
      </c>
      <c r="D74" s="80" t="s">
        <v>342</v>
      </c>
      <c r="E74" s="56">
        <v>3375.7</v>
      </c>
      <c r="F74" s="56">
        <v>29643</v>
      </c>
      <c r="G74" s="82">
        <v>3.0165073848827104</v>
      </c>
      <c r="H74" s="179">
        <v>8.8000000000000007</v>
      </c>
      <c r="I74" s="56">
        <v>14946</v>
      </c>
      <c r="J74" s="56">
        <v>50.419997975913368</v>
      </c>
      <c r="K74" s="56">
        <v>14697</v>
      </c>
      <c r="L74" s="84">
        <v>49.580002024086632</v>
      </c>
      <c r="M74" s="160">
        <v>25.338191141247513</v>
      </c>
      <c r="N74" s="160">
        <v>45.653273960125496</v>
      </c>
      <c r="O74" s="160">
        <v>29.008534898626991</v>
      </c>
      <c r="P74" s="160">
        <v>34.379111425969036</v>
      </c>
      <c r="Q74" s="160">
        <v>36.612353675403973</v>
      </c>
      <c r="R74" s="160">
        <v>29.008534898626991</v>
      </c>
      <c r="S74" s="83">
        <v>11.096893438544111</v>
      </c>
      <c r="T74" s="83">
        <v>1.9</v>
      </c>
      <c r="U74" s="38">
        <v>4</v>
      </c>
      <c r="V74" s="41">
        <v>9.4</v>
      </c>
      <c r="W74" s="40">
        <v>35177</v>
      </c>
      <c r="X74" s="41">
        <v>2.4</v>
      </c>
      <c r="Y74" s="42" t="s">
        <v>350</v>
      </c>
      <c r="Z74" s="43">
        <v>2199</v>
      </c>
      <c r="AA74" s="45">
        <v>6</v>
      </c>
      <c r="AB74" s="63">
        <v>280</v>
      </c>
      <c r="AC74" s="63">
        <v>40799.296000000002</v>
      </c>
      <c r="AD74" s="43">
        <v>54</v>
      </c>
      <c r="AE74" s="44">
        <v>-14.96</v>
      </c>
      <c r="AF74" s="44">
        <v>2.8593000000000002</v>
      </c>
      <c r="AG74" s="41">
        <v>52.26</v>
      </c>
      <c r="AH74" s="41">
        <v>47.74</v>
      </c>
      <c r="AI74" s="44">
        <v>4.4400000000000004</v>
      </c>
      <c r="AJ74" s="41">
        <v>3.0025999999999997</v>
      </c>
      <c r="AK74" s="41">
        <v>12.699645764713194</v>
      </c>
      <c r="AL74" s="41">
        <v>9.2172000000000001</v>
      </c>
      <c r="AM74" s="39">
        <v>72336</v>
      </c>
      <c r="AN74" s="39">
        <v>79536</v>
      </c>
      <c r="AO74" s="40">
        <v>76032</v>
      </c>
      <c r="AP74" s="40">
        <v>89363</v>
      </c>
      <c r="AQ74" s="39">
        <v>9190000</v>
      </c>
      <c r="AR74" s="44">
        <v>748.49323994135852</v>
      </c>
      <c r="AS74" s="39">
        <v>12278</v>
      </c>
      <c r="AT74" s="46">
        <v>9600000</v>
      </c>
      <c r="AU74" s="50">
        <v>780.04387746810755</v>
      </c>
      <c r="AV74" s="39">
        <v>12307</v>
      </c>
      <c r="AW74" s="46">
        <v>10553000</v>
      </c>
      <c r="AX74" s="47">
        <v>855.60239987027728</v>
      </c>
      <c r="AY74" s="39">
        <v>12334</v>
      </c>
      <c r="AZ74" s="41">
        <v>60.9</v>
      </c>
      <c r="BA74" s="41">
        <v>30.630776714772175</v>
      </c>
      <c r="BB74" s="46">
        <v>2432000</v>
      </c>
      <c r="BC74" s="48">
        <v>1706.6666666666667</v>
      </c>
      <c r="BD74" s="40">
        <v>1425</v>
      </c>
      <c r="BE74" s="46">
        <v>1563000</v>
      </c>
      <c r="BF74" s="44">
        <v>1922.509225092251</v>
      </c>
      <c r="BG74" s="40">
        <v>813</v>
      </c>
      <c r="BH74" s="49" t="s">
        <v>382</v>
      </c>
      <c r="BI74" s="49" t="s">
        <v>382</v>
      </c>
      <c r="BJ74" s="213">
        <v>0</v>
      </c>
      <c r="BK74" s="47">
        <v>156.62339208138576</v>
      </c>
      <c r="BL74" s="55">
        <v>9027000</v>
      </c>
      <c r="BM74" s="41">
        <v>11.872632575757576</v>
      </c>
      <c r="BN74" s="56">
        <v>23446000</v>
      </c>
      <c r="BO74" s="41">
        <v>30.837015993265993</v>
      </c>
      <c r="BP74" s="56">
        <v>8746000</v>
      </c>
      <c r="BQ74" s="41">
        <v>11.503051346801346</v>
      </c>
      <c r="BR74" s="39">
        <v>3985000</v>
      </c>
      <c r="BS74" s="41">
        <v>5.2412142255892258</v>
      </c>
      <c r="BT74" s="39">
        <v>3982000</v>
      </c>
      <c r="BU74" s="41">
        <v>5.2372685185185182</v>
      </c>
      <c r="BV74" s="56">
        <v>24242000</v>
      </c>
      <c r="BW74" s="41">
        <v>31.883943602693606</v>
      </c>
      <c r="BX74" s="40">
        <v>2604000</v>
      </c>
      <c r="BY74" s="41">
        <v>3.4248737373737375</v>
      </c>
      <c r="BZ74" s="57">
        <v>304.52383362007896</v>
      </c>
      <c r="CA74" s="58">
        <v>295.04436123199406</v>
      </c>
      <c r="CB74" s="59">
        <v>756.1987653071551</v>
      </c>
      <c r="CC74" s="47">
        <v>134.4330870694599</v>
      </c>
      <c r="CD74" s="58">
        <v>105.85973079647809</v>
      </c>
      <c r="CE74" s="59">
        <v>34.746820497250617</v>
      </c>
      <c r="CF74" s="59">
        <v>87.845359781398642</v>
      </c>
      <c r="CG74" s="59">
        <v>28.472151941436426</v>
      </c>
      <c r="CH74" s="47">
        <v>817.79846844111592</v>
      </c>
      <c r="CI74" s="43">
        <v>1371</v>
      </c>
      <c r="CJ74" s="44">
        <v>306.38884384627858</v>
      </c>
      <c r="CK74" s="60">
        <v>45.488621858591955</v>
      </c>
      <c r="CL74" s="53">
        <v>3140.7772</v>
      </c>
      <c r="CM74" s="41">
        <v>21.88141823831122</v>
      </c>
      <c r="CN74" s="53">
        <v>2785.42</v>
      </c>
      <c r="CO74" s="41">
        <v>19.405687225874168</v>
      </c>
      <c r="CP74" s="54">
        <v>7824.3600000000006</v>
      </c>
      <c r="CQ74" s="41">
        <v>54.511378141408052</v>
      </c>
      <c r="CR74" s="43">
        <v>14617</v>
      </c>
      <c r="CS74" s="52">
        <v>51.88479168091947</v>
      </c>
      <c r="CT74" s="41">
        <v>1188.4000000000001</v>
      </c>
      <c r="CU74" s="41">
        <v>40.090409202847219</v>
      </c>
      <c r="CV74" s="52">
        <v>523.29</v>
      </c>
      <c r="CW74" s="38">
        <v>4</v>
      </c>
      <c r="CX74" s="38">
        <v>13</v>
      </c>
      <c r="CY74" s="51">
        <v>4</v>
      </c>
      <c r="CZ74" s="41">
        <v>7.1159464291738352</v>
      </c>
      <c r="DA74" s="39">
        <v>22176000</v>
      </c>
      <c r="DB74" s="39">
        <v>28551000</v>
      </c>
      <c r="DC74" s="39">
        <v>20273000</v>
      </c>
      <c r="DD74" s="39">
        <v>29702000</v>
      </c>
      <c r="DE74" s="39">
        <v>8786000</v>
      </c>
      <c r="DF74" s="62">
        <v>11133000</v>
      </c>
      <c r="DG74" s="41">
        <v>78.92</v>
      </c>
      <c r="DH74" s="41">
        <v>39.85</v>
      </c>
      <c r="DI74" s="41">
        <v>17.72</v>
      </c>
      <c r="DJ74" s="37" t="s">
        <v>390</v>
      </c>
      <c r="DK74" s="40">
        <v>42000</v>
      </c>
      <c r="DL74" s="40">
        <v>200000</v>
      </c>
      <c r="DM74" s="40">
        <v>0</v>
      </c>
      <c r="DN74" s="40">
        <v>9018</v>
      </c>
      <c r="DO74" s="40">
        <v>5511</v>
      </c>
      <c r="DP74" s="40">
        <v>278400</v>
      </c>
      <c r="DQ74" s="64">
        <v>0</v>
      </c>
      <c r="DR74" s="40">
        <v>0</v>
      </c>
      <c r="DS74" s="65">
        <v>0</v>
      </c>
      <c r="DT74" s="38">
        <v>9</v>
      </c>
      <c r="DU74" s="66">
        <v>3293.6666666666665</v>
      </c>
      <c r="DV74" s="41">
        <v>37.5</v>
      </c>
      <c r="DW74" s="41">
        <v>62.5</v>
      </c>
      <c r="DX74" s="41">
        <v>0</v>
      </c>
      <c r="DY74" s="41">
        <v>0</v>
      </c>
      <c r="DZ74" s="41">
        <v>12.5</v>
      </c>
      <c r="EA74" s="41">
        <v>62.5</v>
      </c>
      <c r="EB74" s="41">
        <v>25</v>
      </c>
      <c r="EC74" s="40">
        <v>298</v>
      </c>
      <c r="ED74" s="184">
        <v>99.473154362416111</v>
      </c>
    </row>
    <row r="75" spans="1:134" s="13" customFormat="1">
      <c r="A75" s="156" t="s">
        <v>223</v>
      </c>
      <c r="B75" s="285">
        <v>2014</v>
      </c>
      <c r="C75" s="259">
        <v>4</v>
      </c>
      <c r="D75" s="80" t="s">
        <v>342</v>
      </c>
      <c r="E75" s="56">
        <v>257.7</v>
      </c>
      <c r="F75" s="56">
        <v>21314</v>
      </c>
      <c r="G75" s="82">
        <v>5.4156981057421234</v>
      </c>
      <c r="H75" s="179">
        <v>82.7</v>
      </c>
      <c r="I75" s="56">
        <v>10534</v>
      </c>
      <c r="J75" s="56">
        <v>49.422914516280379</v>
      </c>
      <c r="K75" s="56">
        <v>10780</v>
      </c>
      <c r="L75" s="84">
        <v>50.577085483719621</v>
      </c>
      <c r="M75" s="160">
        <v>23.590128554002064</v>
      </c>
      <c r="N75" s="160">
        <v>46.922210753495349</v>
      </c>
      <c r="O75" s="160">
        <v>29.487660692502583</v>
      </c>
      <c r="P75" s="160">
        <v>32.757811766913761</v>
      </c>
      <c r="Q75" s="160">
        <v>37.754527540583652</v>
      </c>
      <c r="R75" s="160">
        <v>29.487660692502583</v>
      </c>
      <c r="S75" s="83">
        <v>1.4211369095276221</v>
      </c>
      <c r="T75" s="83">
        <v>3.7</v>
      </c>
      <c r="U75" s="38">
        <v>129</v>
      </c>
      <c r="V75" s="41">
        <v>3.4</v>
      </c>
      <c r="W75" s="40">
        <v>49453</v>
      </c>
      <c r="X75" s="41">
        <v>2.5</v>
      </c>
      <c r="Y75" s="42" t="s">
        <v>140</v>
      </c>
      <c r="Z75" s="43">
        <v>1621</v>
      </c>
      <c r="AA75" s="45">
        <v>11</v>
      </c>
      <c r="AB75" s="63">
        <v>274</v>
      </c>
      <c r="AC75" s="63">
        <v>70164</v>
      </c>
      <c r="AD75" s="43">
        <v>61</v>
      </c>
      <c r="AE75" s="44">
        <v>-5.27</v>
      </c>
      <c r="AF75" s="44">
        <v>3.9410000000000003</v>
      </c>
      <c r="AG75" s="41">
        <v>77.75</v>
      </c>
      <c r="AH75" s="41">
        <v>22.25</v>
      </c>
      <c r="AI75" s="44">
        <v>1.77</v>
      </c>
      <c r="AJ75" s="41">
        <v>4.9532999999999996</v>
      </c>
      <c r="AK75" s="41">
        <v>2.5456389452332657</v>
      </c>
      <c r="AL75" s="41">
        <v>10.3392</v>
      </c>
      <c r="AM75" s="39">
        <v>49281</v>
      </c>
      <c r="AN75" s="39">
        <v>55661</v>
      </c>
      <c r="AO75" s="40">
        <v>51924</v>
      </c>
      <c r="AP75" s="40">
        <v>51906</v>
      </c>
      <c r="AQ75" s="39">
        <v>10948000</v>
      </c>
      <c r="AR75" s="44">
        <v>1223.1035638476149</v>
      </c>
      <c r="AS75" s="39">
        <v>8951</v>
      </c>
      <c r="AT75" s="46">
        <v>11543000</v>
      </c>
      <c r="AU75" s="50">
        <v>1277.8700321045058</v>
      </c>
      <c r="AV75" s="39">
        <v>9033</v>
      </c>
      <c r="AW75" s="46">
        <v>11950000</v>
      </c>
      <c r="AX75" s="47">
        <v>1304.3003710980136</v>
      </c>
      <c r="AY75" s="39">
        <v>9162</v>
      </c>
      <c r="AZ75" s="41">
        <v>77.7</v>
      </c>
      <c r="BA75" s="41">
        <v>20.967037764680203</v>
      </c>
      <c r="BB75" s="46">
        <v>651000</v>
      </c>
      <c r="BC75" s="48">
        <v>2735.294117647059</v>
      </c>
      <c r="BD75" s="40">
        <v>238</v>
      </c>
      <c r="BE75" s="46">
        <v>1025000</v>
      </c>
      <c r="BF75" s="44">
        <v>2025.691699604743</v>
      </c>
      <c r="BG75" s="40">
        <v>506</v>
      </c>
      <c r="BH75" s="49" t="s">
        <v>382</v>
      </c>
      <c r="BI75" s="49" t="s">
        <v>382</v>
      </c>
      <c r="BJ75" s="213">
        <v>0</v>
      </c>
      <c r="BK75" s="47">
        <v>266.85502642007924</v>
      </c>
      <c r="BL75" s="55">
        <v>14569000</v>
      </c>
      <c r="BM75" s="41">
        <v>28.073454601510711</v>
      </c>
      <c r="BN75" s="56">
        <v>1425000</v>
      </c>
      <c r="BO75" s="41">
        <v>2.7458763681208569</v>
      </c>
      <c r="BP75" s="56">
        <v>5451000</v>
      </c>
      <c r="BQ75" s="41">
        <v>10.50369970710652</v>
      </c>
      <c r="BR75" s="39">
        <v>10560000</v>
      </c>
      <c r="BS75" s="41">
        <v>20.348389085864035</v>
      </c>
      <c r="BT75" s="39">
        <v>7792000</v>
      </c>
      <c r="BU75" s="41">
        <v>15.014644673963312</v>
      </c>
      <c r="BV75" s="56">
        <v>4043000</v>
      </c>
      <c r="BW75" s="41">
        <v>7.7905811623246484</v>
      </c>
      <c r="BX75" s="40">
        <v>8056000</v>
      </c>
      <c r="BY75" s="41">
        <v>15.523354401109913</v>
      </c>
      <c r="BZ75" s="57">
        <v>683.54133433424045</v>
      </c>
      <c r="CA75" s="58">
        <v>255.74739607769541</v>
      </c>
      <c r="CB75" s="43" t="s">
        <v>382</v>
      </c>
      <c r="CC75" s="47">
        <v>495.44900065684527</v>
      </c>
      <c r="CD75" s="58">
        <v>300.55362672421882</v>
      </c>
      <c r="CE75" s="59">
        <v>66.857464577273149</v>
      </c>
      <c r="CF75" s="59">
        <v>377.96753307685088</v>
      </c>
      <c r="CG75" s="59">
        <v>65.027681336210946</v>
      </c>
      <c r="CH75" s="47">
        <v>189.68752932344938</v>
      </c>
      <c r="CI75" s="43" t="s">
        <v>382</v>
      </c>
      <c r="CJ75" s="44">
        <v>491.59572145819692</v>
      </c>
      <c r="CK75" s="60">
        <v>59.707491148867611</v>
      </c>
      <c r="CL75" s="53">
        <v>2568.23</v>
      </c>
      <c r="CM75" s="41">
        <v>24.054755259164903</v>
      </c>
      <c r="CN75" s="53">
        <v>3806.5</v>
      </c>
      <c r="CO75" s="41">
        <v>35.652735889702711</v>
      </c>
      <c r="CP75" s="54">
        <v>4301.88</v>
      </c>
      <c r="CQ75" s="41">
        <v>40.292602513908918</v>
      </c>
      <c r="CR75" s="43">
        <v>7690</v>
      </c>
      <c r="CS75" s="52">
        <v>83.524057217165151</v>
      </c>
      <c r="CT75" s="41">
        <v>262.51000000000005</v>
      </c>
      <c r="CU75" s="41">
        <v>12.316317913108756</v>
      </c>
      <c r="CV75" s="52">
        <v>224.01</v>
      </c>
      <c r="CW75" s="38">
        <v>6</v>
      </c>
      <c r="CX75" s="38">
        <v>20</v>
      </c>
      <c r="CY75" s="51">
        <v>2</v>
      </c>
      <c r="CZ75" s="41">
        <v>7.4541615839354414</v>
      </c>
      <c r="DA75" s="39">
        <v>2839000</v>
      </c>
      <c r="DB75" s="39">
        <v>2341000</v>
      </c>
      <c r="DC75" s="39">
        <v>3783000</v>
      </c>
      <c r="DD75" s="39">
        <v>4000000</v>
      </c>
      <c r="DE75" s="39">
        <v>3922000</v>
      </c>
      <c r="DF75" s="62">
        <v>4000000</v>
      </c>
      <c r="DG75" s="41">
        <v>98.05</v>
      </c>
      <c r="DH75" s="41">
        <v>25.81</v>
      </c>
      <c r="DI75" s="41">
        <v>2.44</v>
      </c>
      <c r="DJ75" s="37" t="s">
        <v>390</v>
      </c>
      <c r="DK75" s="40">
        <v>65000</v>
      </c>
      <c r="DL75" s="40">
        <v>120000</v>
      </c>
      <c r="DM75" s="40">
        <v>0</v>
      </c>
      <c r="DN75" s="40">
        <v>49866</v>
      </c>
      <c r="DO75" s="40">
        <v>0</v>
      </c>
      <c r="DP75" s="40">
        <v>274518</v>
      </c>
      <c r="DQ75" s="64">
        <v>0</v>
      </c>
      <c r="DR75" s="40">
        <v>0</v>
      </c>
      <c r="DS75" s="65">
        <v>0</v>
      </c>
      <c r="DT75" s="38">
        <v>9</v>
      </c>
      <c r="DU75" s="66">
        <v>2368.2222222222222</v>
      </c>
      <c r="DV75" s="41">
        <v>11.111111111111111</v>
      </c>
      <c r="DW75" s="41">
        <v>88.888888888888886</v>
      </c>
      <c r="DX75" s="41">
        <v>0</v>
      </c>
      <c r="DY75" s="41">
        <v>0</v>
      </c>
      <c r="DZ75" s="41">
        <v>0</v>
      </c>
      <c r="EA75" s="41">
        <v>55.555555555555557</v>
      </c>
      <c r="EB75" s="41">
        <v>44.444444444444443</v>
      </c>
      <c r="EC75" s="40">
        <v>338</v>
      </c>
      <c r="ED75" s="184">
        <v>63.059171597633139</v>
      </c>
    </row>
    <row r="76" spans="1:134" s="13" customFormat="1">
      <c r="A76" s="156" t="s">
        <v>224</v>
      </c>
      <c r="B76" s="285">
        <v>2014</v>
      </c>
      <c r="C76" s="259">
        <v>2</v>
      </c>
      <c r="D76" s="80" t="s">
        <v>343</v>
      </c>
      <c r="E76" s="56">
        <v>15.5</v>
      </c>
      <c r="F76" s="56">
        <v>61030</v>
      </c>
      <c r="G76" s="82">
        <v>6.1188294413242685</v>
      </c>
      <c r="H76" s="179">
        <v>3925.3</v>
      </c>
      <c r="I76" s="56">
        <v>30023</v>
      </c>
      <c r="J76" s="56">
        <v>49.193839095526791</v>
      </c>
      <c r="K76" s="56">
        <v>31007</v>
      </c>
      <c r="L76" s="84">
        <v>50.806160904473209</v>
      </c>
      <c r="M76" s="160">
        <v>23.191872849418317</v>
      </c>
      <c r="N76" s="160">
        <v>56.883499918073078</v>
      </c>
      <c r="O76" s="160">
        <v>19.924627232508602</v>
      </c>
      <c r="P76" s="160">
        <v>38.67442241520564</v>
      </c>
      <c r="Q76" s="160">
        <v>41.400950352285761</v>
      </c>
      <c r="R76" s="160">
        <v>19.924627232508602</v>
      </c>
      <c r="S76" s="83">
        <v>0.40855821954628535</v>
      </c>
      <c r="T76" s="83">
        <v>49.8</v>
      </c>
      <c r="U76" s="38">
        <v>131</v>
      </c>
      <c r="V76" s="41">
        <v>3.2</v>
      </c>
      <c r="W76" s="40">
        <v>53519</v>
      </c>
      <c r="X76" s="41">
        <v>2.8</v>
      </c>
      <c r="Y76" s="42" t="s">
        <v>350</v>
      </c>
      <c r="Z76" s="43">
        <v>5597</v>
      </c>
      <c r="AA76" s="45">
        <v>11</v>
      </c>
      <c r="AB76" s="63">
        <v>297</v>
      </c>
      <c r="AC76" s="63">
        <v>143392.016</v>
      </c>
      <c r="AD76" s="43">
        <v>92</v>
      </c>
      <c r="AE76" s="44">
        <v>3.45</v>
      </c>
      <c r="AF76" s="44">
        <v>3.4257</v>
      </c>
      <c r="AG76" s="41">
        <v>86.52</v>
      </c>
      <c r="AH76" s="41">
        <v>13.480000000000004</v>
      </c>
      <c r="AI76" s="44">
        <v>2.85</v>
      </c>
      <c r="AJ76" s="41">
        <v>9568</v>
      </c>
      <c r="AK76" s="41">
        <v>0</v>
      </c>
      <c r="AL76" s="41">
        <v>9.8460999999999999</v>
      </c>
      <c r="AM76" s="39">
        <v>47987</v>
      </c>
      <c r="AN76" s="39">
        <v>47596</v>
      </c>
      <c r="AO76" s="40">
        <v>47530</v>
      </c>
      <c r="AP76" s="40">
        <v>52205</v>
      </c>
      <c r="AQ76" s="39">
        <v>19685000</v>
      </c>
      <c r="AR76" s="44">
        <v>943.71734023682825</v>
      </c>
      <c r="AS76" s="39">
        <v>20859</v>
      </c>
      <c r="AT76" s="46">
        <v>20210000</v>
      </c>
      <c r="AU76" s="50">
        <v>968.886332038928</v>
      </c>
      <c r="AV76" s="39">
        <v>20859</v>
      </c>
      <c r="AW76" s="46">
        <v>21349000</v>
      </c>
      <c r="AX76" s="47">
        <v>1018.3852185552277</v>
      </c>
      <c r="AY76" s="39">
        <v>20963.580000000002</v>
      </c>
      <c r="AZ76" s="41">
        <v>78.400000000000006</v>
      </c>
      <c r="BA76" s="41">
        <v>15.269338538551144</v>
      </c>
      <c r="BB76" s="48" t="s">
        <v>382</v>
      </c>
      <c r="BC76" s="48" t="s">
        <v>382</v>
      </c>
      <c r="BD76" s="40">
        <v>0</v>
      </c>
      <c r="BE76" s="46">
        <v>2932000</v>
      </c>
      <c r="BF76" s="44">
        <v>2399.3453355155484</v>
      </c>
      <c r="BG76" s="40">
        <v>1222</v>
      </c>
      <c r="BH76" s="49" t="s">
        <v>382</v>
      </c>
      <c r="BI76" s="49" t="s">
        <v>382</v>
      </c>
      <c r="BJ76" s="213">
        <v>0</v>
      </c>
      <c r="BK76" s="47">
        <v>410.05480890408137</v>
      </c>
      <c r="BL76" s="55">
        <v>11163000</v>
      </c>
      <c r="BM76" s="41">
        <v>23.486219229960025</v>
      </c>
      <c r="BN76" s="56">
        <v>2514000</v>
      </c>
      <c r="BO76" s="41">
        <v>5.2892909741216076</v>
      </c>
      <c r="BP76" s="56">
        <v>13572000</v>
      </c>
      <c r="BQ76" s="41">
        <v>28.554597096570589</v>
      </c>
      <c r="BR76" s="39">
        <v>6235000</v>
      </c>
      <c r="BS76" s="41">
        <v>13.118030717441616</v>
      </c>
      <c r="BT76" s="39">
        <v>4506000</v>
      </c>
      <c r="BU76" s="41">
        <v>9.4803282137597318</v>
      </c>
      <c r="BV76" s="56">
        <v>6431000</v>
      </c>
      <c r="BW76" s="41">
        <v>13.530401851462234</v>
      </c>
      <c r="BX76" s="40">
        <v>3109000</v>
      </c>
      <c r="BY76" s="41">
        <v>6.5411319166841997</v>
      </c>
      <c r="BZ76" s="57">
        <v>182.91004424053745</v>
      </c>
      <c r="CA76" s="58">
        <v>222.38243486809765</v>
      </c>
      <c r="CB76" s="43" t="s">
        <v>382</v>
      </c>
      <c r="CC76" s="47">
        <v>102.16287071931836</v>
      </c>
      <c r="CD76" s="58">
        <v>30.591512370965098</v>
      </c>
      <c r="CE76" s="59">
        <v>41.192855972472557</v>
      </c>
      <c r="CF76" s="59">
        <v>50.942159593642472</v>
      </c>
      <c r="CG76" s="59">
        <v>43.241029002130098</v>
      </c>
      <c r="CH76" s="47">
        <v>105.3744060298214</v>
      </c>
      <c r="CI76" s="43" t="s">
        <v>382</v>
      </c>
      <c r="CJ76" s="44">
        <v>458.17555970879016</v>
      </c>
      <c r="CK76" s="60">
        <v>40.744483065233204</v>
      </c>
      <c r="CL76" s="53">
        <v>5217</v>
      </c>
      <c r="CM76" s="41">
        <v>21.085603427370465</v>
      </c>
      <c r="CN76" s="53">
        <v>4864</v>
      </c>
      <c r="CO76" s="41">
        <v>19.658879637862743</v>
      </c>
      <c r="CP76" s="54">
        <v>14661</v>
      </c>
      <c r="CQ76" s="41">
        <v>59.255516934766796</v>
      </c>
      <c r="CR76" s="43">
        <v>9882</v>
      </c>
      <c r="CS76" s="52">
        <v>64.582068407205014</v>
      </c>
      <c r="CT76" s="41">
        <v>163.63000000000002</v>
      </c>
      <c r="CU76" s="41">
        <v>2.6811404227429136</v>
      </c>
      <c r="CV76" s="52">
        <v>149.1</v>
      </c>
      <c r="CW76" s="38">
        <v>5</v>
      </c>
      <c r="CX76" s="38">
        <v>6</v>
      </c>
      <c r="CY76" s="51">
        <v>3</v>
      </c>
      <c r="CZ76" s="41">
        <v>8.398558086187121</v>
      </c>
      <c r="DA76" s="39">
        <v>3996000</v>
      </c>
      <c r="DB76" s="39">
        <v>3760000</v>
      </c>
      <c r="DC76" s="39">
        <v>4006000</v>
      </c>
      <c r="DD76" s="39">
        <v>3854000</v>
      </c>
      <c r="DE76" s="39">
        <v>4857000</v>
      </c>
      <c r="DF76" s="62">
        <v>4852889.68</v>
      </c>
      <c r="DG76" s="41">
        <v>100.07999999999998</v>
      </c>
      <c r="DH76" s="41">
        <v>61.44</v>
      </c>
      <c r="DI76" s="41">
        <v>0.33999999999999997</v>
      </c>
      <c r="DJ76" s="37" t="s">
        <v>390</v>
      </c>
      <c r="DK76" s="40">
        <v>242000</v>
      </c>
      <c r="DL76" s="40">
        <v>254000</v>
      </c>
      <c r="DM76" s="40">
        <v>0</v>
      </c>
      <c r="DN76" s="40">
        <v>10520</v>
      </c>
      <c r="DO76" s="40">
        <v>0</v>
      </c>
      <c r="DP76" s="40">
        <v>306010</v>
      </c>
      <c r="DQ76" s="64">
        <v>0</v>
      </c>
      <c r="DR76" s="40">
        <v>0</v>
      </c>
      <c r="DS76" s="65">
        <v>0</v>
      </c>
      <c r="DT76" s="38">
        <v>12</v>
      </c>
      <c r="DU76" s="66">
        <v>5085.833333333333</v>
      </c>
      <c r="DV76" s="41">
        <v>25</v>
      </c>
      <c r="DW76" s="41">
        <v>75</v>
      </c>
      <c r="DX76" s="41">
        <v>0</v>
      </c>
      <c r="DY76" s="41">
        <v>33.333333333333329</v>
      </c>
      <c r="DZ76" s="41">
        <v>0</v>
      </c>
      <c r="EA76" s="41">
        <v>91.666666666666657</v>
      </c>
      <c r="EB76" s="41">
        <v>8.3333333333333321</v>
      </c>
      <c r="EC76" s="40">
        <v>243</v>
      </c>
      <c r="ED76" s="184">
        <v>251.15226337448559</v>
      </c>
    </row>
    <row r="77" spans="1:134" s="13" customFormat="1">
      <c r="A77" s="156" t="s">
        <v>225</v>
      </c>
      <c r="B77" s="285">
        <v>2014</v>
      </c>
      <c r="C77" s="259">
        <v>3</v>
      </c>
      <c r="D77" s="80" t="s">
        <v>343</v>
      </c>
      <c r="E77" s="56">
        <v>85.4</v>
      </c>
      <c r="F77" s="56">
        <v>120978</v>
      </c>
      <c r="G77" s="82">
        <v>9.5180330243337199</v>
      </c>
      <c r="H77" s="179">
        <v>1416.6</v>
      </c>
      <c r="I77" s="56">
        <v>58270</v>
      </c>
      <c r="J77" s="56">
        <v>48.165782208335401</v>
      </c>
      <c r="K77" s="56">
        <v>62708</v>
      </c>
      <c r="L77" s="84">
        <v>51.834217791664607</v>
      </c>
      <c r="M77" s="160">
        <v>27.891021508042783</v>
      </c>
      <c r="N77" s="160">
        <v>49.111408685876775</v>
      </c>
      <c r="O77" s="160">
        <v>22.997569806080445</v>
      </c>
      <c r="P77" s="160">
        <v>38.383838383838381</v>
      </c>
      <c r="Q77" s="160">
        <v>38.61859181008117</v>
      </c>
      <c r="R77" s="160">
        <v>22.997569806080445</v>
      </c>
      <c r="S77" s="83">
        <v>0.13723821809897618</v>
      </c>
      <c r="T77" s="83">
        <v>21</v>
      </c>
      <c r="U77" s="38">
        <v>153</v>
      </c>
      <c r="V77" s="41">
        <v>3</v>
      </c>
      <c r="W77" s="40">
        <v>92079</v>
      </c>
      <c r="X77" s="41">
        <v>2.9</v>
      </c>
      <c r="Y77" s="42" t="s">
        <v>142</v>
      </c>
      <c r="Z77" s="43">
        <v>13153</v>
      </c>
      <c r="AA77" s="45">
        <v>0</v>
      </c>
      <c r="AB77" s="63">
        <v>510</v>
      </c>
      <c r="AC77" s="63">
        <v>522702.31400000001</v>
      </c>
      <c r="AD77" s="43">
        <v>128</v>
      </c>
      <c r="AE77" s="44">
        <v>0.51</v>
      </c>
      <c r="AF77" s="44">
        <v>2.5024000000000002</v>
      </c>
      <c r="AG77" s="41">
        <v>86</v>
      </c>
      <c r="AH77" s="41">
        <v>14</v>
      </c>
      <c r="AI77" s="44">
        <v>3.18</v>
      </c>
      <c r="AJ77" s="41">
        <v>1.0872999999999999</v>
      </c>
      <c r="AK77" s="41">
        <v>17.748268209629742</v>
      </c>
      <c r="AL77" s="41">
        <v>6.0784000000000002</v>
      </c>
      <c r="AM77" s="39">
        <v>95744</v>
      </c>
      <c r="AN77" s="39">
        <v>100828</v>
      </c>
      <c r="AO77" s="40">
        <v>110734</v>
      </c>
      <c r="AP77" s="40">
        <v>133320</v>
      </c>
      <c r="AQ77" s="39">
        <v>49279400</v>
      </c>
      <c r="AR77" s="44">
        <v>1236.3599999999999</v>
      </c>
      <c r="AS77" s="39">
        <v>39913</v>
      </c>
      <c r="AT77" s="46">
        <v>52330000</v>
      </c>
      <c r="AU77" s="50">
        <v>1278.3699999999999</v>
      </c>
      <c r="AV77" s="39">
        <v>40423</v>
      </c>
      <c r="AW77" s="46">
        <v>53803000</v>
      </c>
      <c r="AX77" s="47">
        <v>1313.7422473995214</v>
      </c>
      <c r="AY77" s="39">
        <v>40954</v>
      </c>
      <c r="AZ77" s="41">
        <v>86.9</v>
      </c>
      <c r="BA77" s="41">
        <v>8.1213068320554758</v>
      </c>
      <c r="BB77" s="48" t="s">
        <v>382</v>
      </c>
      <c r="BC77" s="48" t="s">
        <v>382</v>
      </c>
      <c r="BD77" s="40">
        <v>0</v>
      </c>
      <c r="BE77" s="46">
        <v>3970000</v>
      </c>
      <c r="BF77" s="44">
        <v>3880.7429130009773</v>
      </c>
      <c r="BG77" s="40">
        <v>1023</v>
      </c>
      <c r="BH77" s="49" t="s">
        <v>382</v>
      </c>
      <c r="BI77" s="49" t="s">
        <v>382</v>
      </c>
      <c r="BJ77" s="213">
        <v>0</v>
      </c>
      <c r="BK77" s="47">
        <v>414.71555851349245</v>
      </c>
      <c r="BL77" s="55">
        <v>25376000</v>
      </c>
      <c r="BM77" s="41">
        <v>22.916177506456915</v>
      </c>
      <c r="BN77" s="56">
        <v>4520000</v>
      </c>
      <c r="BO77" s="41">
        <v>4.0818538118373766</v>
      </c>
      <c r="BP77" s="56">
        <v>24547000</v>
      </c>
      <c r="BQ77" s="41">
        <v>22.167536619285858</v>
      </c>
      <c r="BR77" s="39">
        <v>10980000</v>
      </c>
      <c r="BS77" s="41">
        <v>9.9156537287553963</v>
      </c>
      <c r="BT77" s="39">
        <v>23846000</v>
      </c>
      <c r="BU77" s="41">
        <v>21.534488052450016</v>
      </c>
      <c r="BV77" s="56">
        <v>12713000</v>
      </c>
      <c r="BW77" s="41">
        <v>11.48066537829393</v>
      </c>
      <c r="BX77" s="40">
        <v>8752000</v>
      </c>
      <c r="BY77" s="41">
        <v>7.9036249029205123</v>
      </c>
      <c r="BZ77" s="57">
        <v>209.75714592735869</v>
      </c>
      <c r="CA77" s="58">
        <v>202.90466035146886</v>
      </c>
      <c r="CB77" s="43" t="s">
        <v>382</v>
      </c>
      <c r="CC77" s="47">
        <v>90.760303526260969</v>
      </c>
      <c r="CD77" s="58">
        <v>160.76476714774586</v>
      </c>
      <c r="CE77" s="59">
        <v>37.362165021739493</v>
      </c>
      <c r="CF77" s="59">
        <v>72.343731918200007</v>
      </c>
      <c r="CG77" s="59">
        <v>36.345451239068261</v>
      </c>
      <c r="CH77" s="47">
        <v>105.0852221064987</v>
      </c>
      <c r="CI77" s="43" t="s">
        <v>382</v>
      </c>
      <c r="CJ77" s="44">
        <v>429.23768130097181</v>
      </c>
      <c r="CK77" s="60">
        <v>53.362834541203839</v>
      </c>
      <c r="CL77" s="53">
        <v>12545.45</v>
      </c>
      <c r="CM77" s="41">
        <v>22.504312798189392</v>
      </c>
      <c r="CN77" s="53">
        <v>17202.66</v>
      </c>
      <c r="CO77" s="41">
        <v>30.858521743014457</v>
      </c>
      <c r="CP77" s="54">
        <v>25998.769999999997</v>
      </c>
      <c r="CQ77" s="41">
        <v>46.637183397023009</v>
      </c>
      <c r="CR77" s="43">
        <v>31218</v>
      </c>
      <c r="CS77" s="52">
        <v>87.520020500993013</v>
      </c>
      <c r="CT77" s="41">
        <v>482.23</v>
      </c>
      <c r="CU77" s="41">
        <v>3.9860966456711142</v>
      </c>
      <c r="CV77" s="52">
        <v>1467.4</v>
      </c>
      <c r="CW77" s="38">
        <v>1</v>
      </c>
      <c r="CX77" s="38">
        <v>24</v>
      </c>
      <c r="CY77" s="51">
        <v>4</v>
      </c>
      <c r="CZ77" s="41">
        <v>7.557812164195143</v>
      </c>
      <c r="DA77" s="39">
        <v>22994000</v>
      </c>
      <c r="DB77" s="39">
        <v>28326000</v>
      </c>
      <c r="DC77" s="39">
        <v>9367000</v>
      </c>
      <c r="DD77" s="39">
        <v>9892000</v>
      </c>
      <c r="DE77" s="39">
        <v>11105000</v>
      </c>
      <c r="DF77" s="62">
        <v>10971000</v>
      </c>
      <c r="DG77" s="41">
        <v>101.22</v>
      </c>
      <c r="DH77" s="41">
        <v>100.01</v>
      </c>
      <c r="DI77" s="41">
        <v>4.3600000000000003</v>
      </c>
      <c r="DJ77" s="37" t="s">
        <v>390</v>
      </c>
      <c r="DK77" s="40">
        <v>0</v>
      </c>
      <c r="DL77" s="40">
        <v>218000</v>
      </c>
      <c r="DM77" s="40">
        <v>0</v>
      </c>
      <c r="DN77" s="40">
        <v>11971.72</v>
      </c>
      <c r="DO77" s="40">
        <v>0</v>
      </c>
      <c r="DP77" s="40">
        <v>331297</v>
      </c>
      <c r="DQ77" s="64">
        <v>0</v>
      </c>
      <c r="DR77" s="40">
        <v>0</v>
      </c>
      <c r="DS77" s="65">
        <v>0</v>
      </c>
      <c r="DT77" s="38">
        <v>10</v>
      </c>
      <c r="DU77" s="66">
        <v>12097.8</v>
      </c>
      <c r="DV77" s="41">
        <v>50</v>
      </c>
      <c r="DW77" s="41">
        <v>50</v>
      </c>
      <c r="DX77" s="41">
        <v>10</v>
      </c>
      <c r="DY77" s="41">
        <v>10</v>
      </c>
      <c r="DZ77" s="41">
        <v>10</v>
      </c>
      <c r="EA77" s="41">
        <v>60</v>
      </c>
      <c r="EB77" s="41">
        <v>30</v>
      </c>
      <c r="EC77" s="40">
        <v>424</v>
      </c>
      <c r="ED77" s="184">
        <v>285.32547169811323</v>
      </c>
    </row>
    <row r="78" spans="1:134" s="13" customFormat="1">
      <c r="A78" s="156" t="s">
        <v>226</v>
      </c>
      <c r="B78" s="285">
        <v>2014</v>
      </c>
      <c r="C78" s="259">
        <v>10</v>
      </c>
      <c r="D78" s="80" t="s">
        <v>345</v>
      </c>
      <c r="E78" s="56">
        <v>3584</v>
      </c>
      <c r="F78" s="56">
        <v>9531</v>
      </c>
      <c r="G78" s="82">
        <v>0.17868404456590289</v>
      </c>
      <c r="H78" s="179">
        <v>2.7</v>
      </c>
      <c r="I78" s="56">
        <v>4890</v>
      </c>
      <c r="J78" s="56">
        <v>51.306263770853008</v>
      </c>
      <c r="K78" s="56">
        <v>4641</v>
      </c>
      <c r="L78" s="84">
        <v>48.693736229146992</v>
      </c>
      <c r="M78" s="160">
        <v>23.932431014583987</v>
      </c>
      <c r="N78" s="160">
        <v>47.035987829188961</v>
      </c>
      <c r="O78" s="160">
        <v>29.031581156227048</v>
      </c>
      <c r="P78" s="160">
        <v>32.221173014374152</v>
      </c>
      <c r="Q78" s="160">
        <v>38.7472458293988</v>
      </c>
      <c r="R78" s="160">
        <v>29.031581156227048</v>
      </c>
      <c r="S78" s="83">
        <v>5.3315994798439537</v>
      </c>
      <c r="T78" s="83">
        <v>2.6</v>
      </c>
      <c r="U78" s="38">
        <v>11</v>
      </c>
      <c r="V78" s="41">
        <v>11.1</v>
      </c>
      <c r="W78" s="40">
        <v>32640</v>
      </c>
      <c r="X78" s="41">
        <v>2.4</v>
      </c>
      <c r="Y78" s="42" t="s">
        <v>351</v>
      </c>
      <c r="Z78" s="38">
        <v>1028</v>
      </c>
      <c r="AA78" s="45">
        <v>3</v>
      </c>
      <c r="AB78" s="67">
        <v>93</v>
      </c>
      <c r="AC78" s="63">
        <v>8079.8980000000001</v>
      </c>
      <c r="AD78" s="43">
        <v>54</v>
      </c>
      <c r="AE78" s="44">
        <v>-7.44</v>
      </c>
      <c r="AF78" s="44">
        <v>8.898200000000001</v>
      </c>
      <c r="AG78" s="41">
        <v>63.22</v>
      </c>
      <c r="AH78" s="41">
        <v>36.78</v>
      </c>
      <c r="AI78" s="44">
        <v>7.71</v>
      </c>
      <c r="AJ78" s="41">
        <v>15.8081</v>
      </c>
      <c r="AK78" s="41">
        <v>1.7015405840423086</v>
      </c>
      <c r="AL78" s="41">
        <v>15.628599999999999</v>
      </c>
      <c r="AM78" s="39">
        <v>27117</v>
      </c>
      <c r="AN78" s="39">
        <v>24615</v>
      </c>
      <c r="AO78" s="40">
        <v>24967</v>
      </c>
      <c r="AP78" s="40">
        <v>24312</v>
      </c>
      <c r="AQ78" s="39">
        <v>1922000</v>
      </c>
      <c r="AR78" s="44">
        <v>666.89798750867453</v>
      </c>
      <c r="AS78" s="39">
        <v>2882</v>
      </c>
      <c r="AT78" s="46">
        <v>2051000</v>
      </c>
      <c r="AU78" s="50">
        <v>708.21823204419888</v>
      </c>
      <c r="AV78" s="39">
        <v>2896</v>
      </c>
      <c r="AW78" s="46">
        <v>2064000</v>
      </c>
      <c r="AX78" s="47">
        <v>710.01031991744071</v>
      </c>
      <c r="AY78" s="39">
        <v>2907</v>
      </c>
      <c r="AZ78" s="41">
        <v>63.1</v>
      </c>
      <c r="BA78" s="41">
        <v>38.768489852081181</v>
      </c>
      <c r="BB78" s="46">
        <v>2653000</v>
      </c>
      <c r="BC78" s="48">
        <v>1320.5574912891987</v>
      </c>
      <c r="BD78" s="40">
        <v>2009</v>
      </c>
      <c r="BE78" s="46">
        <v>233000</v>
      </c>
      <c r="BF78" s="44">
        <v>991.48936170212767</v>
      </c>
      <c r="BG78" s="40">
        <v>235</v>
      </c>
      <c r="BH78" s="49" t="s">
        <v>382</v>
      </c>
      <c r="BI78" s="49" t="s">
        <v>382</v>
      </c>
      <c r="BJ78" s="213">
        <v>0</v>
      </c>
      <c r="BK78" s="47">
        <v>226.58824242424242</v>
      </c>
      <c r="BL78" s="55">
        <v>2254000</v>
      </c>
      <c r="BM78" s="41">
        <v>9.0279168502423186</v>
      </c>
      <c r="BN78" s="56">
        <v>3179000</v>
      </c>
      <c r="BO78" s="41">
        <v>12.732807305643448</v>
      </c>
      <c r="BP78" s="56">
        <v>2304000</v>
      </c>
      <c r="BQ78" s="41">
        <v>9.2281811991829219</v>
      </c>
      <c r="BR78" s="39">
        <v>653000</v>
      </c>
      <c r="BS78" s="41">
        <v>2.6154523971642569</v>
      </c>
      <c r="BT78" s="39">
        <v>2216000</v>
      </c>
      <c r="BU78" s="41">
        <v>8.8757159450474639</v>
      </c>
      <c r="BV78" s="56">
        <v>10412000</v>
      </c>
      <c r="BW78" s="41">
        <v>41.703048023390878</v>
      </c>
      <c r="BX78" s="40">
        <v>3949000</v>
      </c>
      <c r="BY78" s="41">
        <v>15.816878279328714</v>
      </c>
      <c r="BZ78" s="57">
        <v>236.4914489560382</v>
      </c>
      <c r="CA78" s="58">
        <v>241.7374881964117</v>
      </c>
      <c r="CB78" s="59">
        <v>270.69562480327352</v>
      </c>
      <c r="CC78" s="47">
        <v>68.513272479278143</v>
      </c>
      <c r="CD78" s="58">
        <v>192.84440247613051</v>
      </c>
      <c r="CE78" s="59">
        <v>62.847550099674748</v>
      </c>
      <c r="CF78" s="59">
        <v>414.33217920470042</v>
      </c>
      <c r="CG78" s="59">
        <v>39.660056657223798</v>
      </c>
      <c r="CH78" s="47">
        <v>1092.4352114153814</v>
      </c>
      <c r="CI78" s="43">
        <v>1171</v>
      </c>
      <c r="CJ78" s="44">
        <v>292.39766081871346</v>
      </c>
      <c r="CK78" s="60">
        <v>43.679076306490984</v>
      </c>
      <c r="CL78" s="53">
        <v>886.92</v>
      </c>
      <c r="CM78" s="41">
        <v>25.499322927597817</v>
      </c>
      <c r="CN78" s="53">
        <v>632.33000000000004</v>
      </c>
      <c r="CO78" s="41">
        <v>18.179753378893167</v>
      </c>
      <c r="CP78" s="54">
        <v>1958.96</v>
      </c>
      <c r="CQ78" s="41">
        <v>56.320923693509016</v>
      </c>
      <c r="CR78" s="43">
        <v>3543</v>
      </c>
      <c r="CS78" s="52">
        <v>55.54614733276884</v>
      </c>
      <c r="CT78" s="41">
        <v>1216.1299999999999</v>
      </c>
      <c r="CU78" s="41">
        <v>127.59731402790891</v>
      </c>
      <c r="CV78" s="52">
        <v>21</v>
      </c>
      <c r="CW78" s="38">
        <v>3</v>
      </c>
      <c r="CX78" s="38">
        <v>39</v>
      </c>
      <c r="CY78" s="51">
        <v>1</v>
      </c>
      <c r="CZ78" s="41">
        <v>4.8277200713461337</v>
      </c>
      <c r="DA78" s="39">
        <v>3771000</v>
      </c>
      <c r="DB78" s="39">
        <v>6784000</v>
      </c>
      <c r="DC78" s="39">
        <v>4490000</v>
      </c>
      <c r="DD78" s="39">
        <v>4516000</v>
      </c>
      <c r="DE78" s="39">
        <v>4629000</v>
      </c>
      <c r="DF78" s="62">
        <v>4638000</v>
      </c>
      <c r="DG78" s="41">
        <v>99.81</v>
      </c>
      <c r="DH78" s="41">
        <v>45.43</v>
      </c>
      <c r="DI78" s="41">
        <v>12.950000000000001</v>
      </c>
      <c r="DJ78" s="37" t="s">
        <v>390</v>
      </c>
      <c r="DK78" s="40">
        <v>26000</v>
      </c>
      <c r="DL78" s="40">
        <v>120000</v>
      </c>
      <c r="DM78" s="40">
        <v>0</v>
      </c>
      <c r="DN78" s="40">
        <v>6216</v>
      </c>
      <c r="DO78" s="40">
        <v>14537</v>
      </c>
      <c r="DP78" s="40">
        <v>224502</v>
      </c>
      <c r="DQ78" s="64">
        <v>0</v>
      </c>
      <c r="DR78" s="40">
        <v>0</v>
      </c>
      <c r="DS78" s="65">
        <v>0</v>
      </c>
      <c r="DT78" s="38">
        <v>9</v>
      </c>
      <c r="DU78" s="66">
        <v>1059</v>
      </c>
      <c r="DV78" s="41">
        <v>33.333333333333329</v>
      </c>
      <c r="DW78" s="41">
        <v>66.666666666666657</v>
      </c>
      <c r="DX78" s="41">
        <v>0</v>
      </c>
      <c r="DY78" s="41">
        <v>0</v>
      </c>
      <c r="DZ78" s="41">
        <v>0</v>
      </c>
      <c r="EA78" s="41">
        <v>44.444444444444443</v>
      </c>
      <c r="EB78" s="41">
        <v>55.555555555555557</v>
      </c>
      <c r="EC78" s="40">
        <v>101</v>
      </c>
      <c r="ED78" s="184">
        <v>94.366336633663366</v>
      </c>
    </row>
    <row r="79" spans="1:134" s="13" customFormat="1">
      <c r="A79" s="156" t="s">
        <v>227</v>
      </c>
      <c r="B79" s="285">
        <v>2014</v>
      </c>
      <c r="C79" s="259">
        <v>10</v>
      </c>
      <c r="D79" s="80" t="s">
        <v>345</v>
      </c>
      <c r="E79" s="56">
        <v>14965.4</v>
      </c>
      <c r="F79" s="56">
        <v>6775</v>
      </c>
      <c r="G79" s="82">
        <v>1.4525306978137167</v>
      </c>
      <c r="H79" s="179">
        <v>0.5</v>
      </c>
      <c r="I79" s="56">
        <v>3389</v>
      </c>
      <c r="J79" s="56">
        <v>50.022140221402211</v>
      </c>
      <c r="K79" s="56">
        <v>3386</v>
      </c>
      <c r="L79" s="84">
        <v>49.977859778597789</v>
      </c>
      <c r="M79" s="160">
        <v>26.730627306273064</v>
      </c>
      <c r="N79" s="160">
        <v>48.014760147601478</v>
      </c>
      <c r="O79" s="160">
        <v>25.254612546125461</v>
      </c>
      <c r="P79" s="160">
        <v>37.859778597785976</v>
      </c>
      <c r="Q79" s="160">
        <v>36.88560885608856</v>
      </c>
      <c r="R79" s="160">
        <v>25.254612546125461</v>
      </c>
      <c r="S79" s="83">
        <v>16.445336627547867</v>
      </c>
      <c r="T79" s="83">
        <v>1.5</v>
      </c>
      <c r="U79" s="38">
        <v>39</v>
      </c>
      <c r="V79" s="41">
        <v>7.6</v>
      </c>
      <c r="W79" s="40">
        <v>47246</v>
      </c>
      <c r="X79" s="41">
        <v>2.4</v>
      </c>
      <c r="Y79" s="42" t="s">
        <v>351</v>
      </c>
      <c r="Z79" s="43">
        <v>1095</v>
      </c>
      <c r="AA79" s="45">
        <v>1</v>
      </c>
      <c r="AB79" s="67">
        <v>40</v>
      </c>
      <c r="AC79" s="63">
        <v>3322.1509999999998</v>
      </c>
      <c r="AD79" s="43">
        <v>47</v>
      </c>
      <c r="AE79" s="44">
        <v>-10.59</v>
      </c>
      <c r="AF79" s="44">
        <v>3.0635000000000003</v>
      </c>
      <c r="AG79" s="41">
        <v>45.26</v>
      </c>
      <c r="AH79" s="41">
        <v>54.74</v>
      </c>
      <c r="AI79" s="44">
        <v>8.73</v>
      </c>
      <c r="AJ79" s="41">
        <v>0</v>
      </c>
      <c r="AK79" s="41">
        <v>0</v>
      </c>
      <c r="AL79" s="41">
        <v>13.8125</v>
      </c>
      <c r="AM79" s="39">
        <v>28243</v>
      </c>
      <c r="AN79" s="39">
        <v>35827</v>
      </c>
      <c r="AO79" s="40">
        <v>30291</v>
      </c>
      <c r="AP79" s="40">
        <v>30147.251</v>
      </c>
      <c r="AQ79" s="39">
        <v>888000</v>
      </c>
      <c r="AR79" s="44">
        <v>388.28159160472234</v>
      </c>
      <c r="AS79" s="39">
        <v>2287</v>
      </c>
      <c r="AT79" s="46">
        <v>926000</v>
      </c>
      <c r="AU79" s="50">
        <v>404.897245299519</v>
      </c>
      <c r="AV79" s="39">
        <v>2287</v>
      </c>
      <c r="AW79" s="46">
        <v>954000</v>
      </c>
      <c r="AX79" s="47">
        <v>417.87122207621553</v>
      </c>
      <c r="AY79" s="39">
        <v>2283</v>
      </c>
      <c r="AZ79" s="41">
        <v>56.8</v>
      </c>
      <c r="BA79" s="41">
        <v>21.681997371879106</v>
      </c>
      <c r="BB79" s="46">
        <v>3718000</v>
      </c>
      <c r="BC79" s="48">
        <v>2614.6272855133616</v>
      </c>
      <c r="BD79" s="40">
        <v>1422</v>
      </c>
      <c r="BE79" s="46">
        <v>240000</v>
      </c>
      <c r="BF79" s="44">
        <v>525.16411378555802</v>
      </c>
      <c r="BG79" s="40">
        <v>457</v>
      </c>
      <c r="BH79" s="46">
        <v>19000</v>
      </c>
      <c r="BI79" s="49">
        <v>19000</v>
      </c>
      <c r="BJ79" s="45">
        <v>1</v>
      </c>
      <c r="BK79" s="47">
        <v>128.09197525856825</v>
      </c>
      <c r="BL79" s="55">
        <v>5244000</v>
      </c>
      <c r="BM79" s="41">
        <v>17.312072892938495</v>
      </c>
      <c r="BN79" s="56">
        <v>6986000</v>
      </c>
      <c r="BO79" s="41">
        <v>23.062955993529428</v>
      </c>
      <c r="BP79" s="56">
        <v>1554000</v>
      </c>
      <c r="BQ79" s="41">
        <v>5.1302367039714767</v>
      </c>
      <c r="BR79" s="39">
        <v>3096000</v>
      </c>
      <c r="BS79" s="41">
        <v>10.220857680499158</v>
      </c>
      <c r="BT79" s="39">
        <v>3206000</v>
      </c>
      <c r="BU79" s="41">
        <v>10.584001848733946</v>
      </c>
      <c r="BV79" s="56">
        <v>8076000</v>
      </c>
      <c r="BW79" s="41">
        <v>26.661384569674162</v>
      </c>
      <c r="BX79" s="40">
        <v>2129000</v>
      </c>
      <c r="BY79" s="41">
        <v>7.0284903106533294</v>
      </c>
      <c r="BZ79" s="57">
        <v>774.0221402214022</v>
      </c>
      <c r="CA79" s="58">
        <v>229.37269372693726</v>
      </c>
      <c r="CB79" s="59">
        <v>821.40221402214024</v>
      </c>
      <c r="CC79" s="47">
        <v>456.97416974169744</v>
      </c>
      <c r="CD79" s="58">
        <v>430.1107011070111</v>
      </c>
      <c r="CE79" s="59">
        <v>209.74169741697418</v>
      </c>
      <c r="CF79" s="59">
        <v>314.24354243542433</v>
      </c>
      <c r="CG79" s="59">
        <v>43.099630996309962</v>
      </c>
      <c r="CH79" s="47">
        <v>1192.0295202952029</v>
      </c>
      <c r="CI79" s="43">
        <v>1885</v>
      </c>
      <c r="CJ79" s="44">
        <v>234.34077967586509</v>
      </c>
      <c r="CK79" s="60">
        <v>0</v>
      </c>
      <c r="CL79" s="53" t="s">
        <v>382</v>
      </c>
      <c r="CM79" s="41">
        <v>0</v>
      </c>
      <c r="CN79" s="53" t="s">
        <v>382</v>
      </c>
      <c r="CO79" s="41">
        <v>0</v>
      </c>
      <c r="CP79" s="54">
        <v>2500</v>
      </c>
      <c r="CQ79" s="41">
        <v>100</v>
      </c>
      <c r="CR79" s="43">
        <v>3303</v>
      </c>
      <c r="CS79" s="52">
        <v>31.123221313957011</v>
      </c>
      <c r="CT79" s="41">
        <v>3981.5300000000007</v>
      </c>
      <c r="CU79" s="41">
        <v>587.67970479704809</v>
      </c>
      <c r="CV79" s="52">
        <v>268.5</v>
      </c>
      <c r="CW79" s="38">
        <v>4</v>
      </c>
      <c r="CX79" s="38">
        <v>8</v>
      </c>
      <c r="CY79" s="51">
        <v>2</v>
      </c>
      <c r="CZ79" s="41">
        <v>2.1071586715867157</v>
      </c>
      <c r="DA79" s="49">
        <v>5411000</v>
      </c>
      <c r="DB79" s="49">
        <v>10391000</v>
      </c>
      <c r="DC79" s="49">
        <v>6332566.8430000003</v>
      </c>
      <c r="DD79" s="49">
        <v>14775058</v>
      </c>
      <c r="DE79" s="39">
        <v>5296000</v>
      </c>
      <c r="DF79" s="62">
        <v>12260000</v>
      </c>
      <c r="DG79" s="41">
        <v>43.2</v>
      </c>
      <c r="DH79" s="41">
        <v>57.95</v>
      </c>
      <c r="DI79" s="41">
        <v>42.46</v>
      </c>
      <c r="DJ79" s="37" t="s">
        <v>390</v>
      </c>
      <c r="DK79" s="40">
        <v>58000</v>
      </c>
      <c r="DL79" s="40">
        <v>130000</v>
      </c>
      <c r="DM79" s="40">
        <v>0</v>
      </c>
      <c r="DN79" s="40">
        <v>25398</v>
      </c>
      <c r="DO79" s="40">
        <v>0</v>
      </c>
      <c r="DP79" s="40">
        <v>275000</v>
      </c>
      <c r="DQ79" s="64">
        <v>0</v>
      </c>
      <c r="DR79" s="40">
        <v>0</v>
      </c>
      <c r="DS79" s="65">
        <v>0</v>
      </c>
      <c r="DT79" s="38">
        <v>10</v>
      </c>
      <c r="DU79" s="66">
        <v>677.5</v>
      </c>
      <c r="DV79" s="41">
        <v>0</v>
      </c>
      <c r="DW79" s="41">
        <v>100</v>
      </c>
      <c r="DX79" s="41">
        <v>0</v>
      </c>
      <c r="DY79" s="41">
        <v>0</v>
      </c>
      <c r="DZ79" s="41">
        <v>0</v>
      </c>
      <c r="EA79" s="41">
        <v>10</v>
      </c>
      <c r="EB79" s="41">
        <v>90</v>
      </c>
      <c r="EC79" s="40">
        <v>132</v>
      </c>
      <c r="ED79" s="184">
        <v>51.325757575757578</v>
      </c>
    </row>
    <row r="80" spans="1:134" s="13" customFormat="1">
      <c r="A80" s="156" t="s">
        <v>228</v>
      </c>
      <c r="B80" s="285">
        <v>2014</v>
      </c>
      <c r="C80" s="259">
        <v>5</v>
      </c>
      <c r="D80" s="80" t="s">
        <v>342</v>
      </c>
      <c r="E80" s="56">
        <v>648</v>
      </c>
      <c r="F80" s="56">
        <v>202676</v>
      </c>
      <c r="G80" s="82">
        <v>4.6961283157269422</v>
      </c>
      <c r="H80" s="179">
        <v>312.8</v>
      </c>
      <c r="I80" s="56">
        <v>100176</v>
      </c>
      <c r="J80" s="56">
        <v>49.426671140144862</v>
      </c>
      <c r="K80" s="56">
        <v>102500</v>
      </c>
      <c r="L80" s="84">
        <v>50.573328859855138</v>
      </c>
      <c r="M80" s="160">
        <v>24.665475932029445</v>
      </c>
      <c r="N80" s="160">
        <v>49.880597604057705</v>
      </c>
      <c r="O80" s="160">
        <v>25.453926463912847</v>
      </c>
      <c r="P80" s="160">
        <v>36.432039313978962</v>
      </c>
      <c r="Q80" s="160">
        <v>38.114034222108195</v>
      </c>
      <c r="R80" s="160">
        <v>25.453926463912847</v>
      </c>
      <c r="S80" s="83">
        <v>2.9597257200905802</v>
      </c>
      <c r="T80" s="83">
        <v>3.8</v>
      </c>
      <c r="U80" s="38">
        <v>106</v>
      </c>
      <c r="V80" s="41">
        <v>7.6</v>
      </c>
      <c r="W80" s="40">
        <v>49139</v>
      </c>
      <c r="X80" s="41">
        <v>2.5</v>
      </c>
      <c r="Y80" s="42" t="s">
        <v>350</v>
      </c>
      <c r="Z80" s="43">
        <v>11769</v>
      </c>
      <c r="AA80" s="45">
        <v>3</v>
      </c>
      <c r="AB80" s="63">
        <v>2144</v>
      </c>
      <c r="AC80" s="63">
        <v>543222.47600000002</v>
      </c>
      <c r="AD80" s="43">
        <v>62</v>
      </c>
      <c r="AE80" s="44">
        <v>0.59</v>
      </c>
      <c r="AF80" s="44">
        <v>1.9912000000000001</v>
      </c>
      <c r="AG80" s="41">
        <v>67.3</v>
      </c>
      <c r="AH80" s="41">
        <v>32.700000000000003</v>
      </c>
      <c r="AI80" s="44">
        <v>3.65</v>
      </c>
      <c r="AJ80" s="41">
        <v>5.9563999999999995</v>
      </c>
      <c r="AK80" s="41">
        <v>4.2329365721600194</v>
      </c>
      <c r="AL80" s="41">
        <v>10.564200000000001</v>
      </c>
      <c r="AM80" s="39">
        <v>179234</v>
      </c>
      <c r="AN80" s="39">
        <v>194422</v>
      </c>
      <c r="AO80" s="40">
        <v>206495</v>
      </c>
      <c r="AP80" s="40">
        <v>255981</v>
      </c>
      <c r="AQ80" s="39">
        <v>75529000</v>
      </c>
      <c r="AR80" s="44">
        <v>997.30632617221022</v>
      </c>
      <c r="AS80" s="39">
        <v>75733</v>
      </c>
      <c r="AT80" s="46">
        <v>83316000</v>
      </c>
      <c r="AU80" s="50">
        <v>1093.586748221458</v>
      </c>
      <c r="AV80" s="39">
        <v>76186</v>
      </c>
      <c r="AW80" s="46">
        <v>86835000</v>
      </c>
      <c r="AX80" s="47">
        <v>1130.0019519812611</v>
      </c>
      <c r="AY80" s="39">
        <v>76845</v>
      </c>
      <c r="AZ80" s="41">
        <v>72.399999999999991</v>
      </c>
      <c r="BA80" s="41">
        <v>23.23378228902336</v>
      </c>
      <c r="BB80" s="46">
        <v>89000</v>
      </c>
      <c r="BC80" s="48">
        <v>1816.3265306122448</v>
      </c>
      <c r="BD80" s="40">
        <v>49</v>
      </c>
      <c r="BE80" s="46">
        <v>14907000</v>
      </c>
      <c r="BF80" s="44">
        <v>4186.1836562763265</v>
      </c>
      <c r="BG80" s="40">
        <v>3561</v>
      </c>
      <c r="BH80" s="46">
        <v>826000</v>
      </c>
      <c r="BI80" s="49">
        <v>45888.888888888891</v>
      </c>
      <c r="BJ80" s="45">
        <v>18</v>
      </c>
      <c r="BK80" s="47">
        <v>175.7422528322472</v>
      </c>
      <c r="BL80" s="55">
        <v>31618000</v>
      </c>
      <c r="BM80" s="41">
        <v>15.311750889852055</v>
      </c>
      <c r="BN80" s="56">
        <v>10123000</v>
      </c>
      <c r="BO80" s="41">
        <v>4.9022978764618994</v>
      </c>
      <c r="BP80" s="56">
        <v>59833000</v>
      </c>
      <c r="BQ80" s="41">
        <v>28.975519988377442</v>
      </c>
      <c r="BR80" s="39">
        <v>20681000</v>
      </c>
      <c r="BS80" s="41">
        <v>10.015254606649071</v>
      </c>
      <c r="BT80" s="39">
        <v>40680000</v>
      </c>
      <c r="BU80" s="41">
        <v>19.700234872515075</v>
      </c>
      <c r="BV80" s="56">
        <v>24816000</v>
      </c>
      <c r="BW80" s="41">
        <v>12.017724400106539</v>
      </c>
      <c r="BX80" s="40">
        <v>18744000</v>
      </c>
      <c r="BY80" s="41">
        <v>9.0772173660379174</v>
      </c>
      <c r="BZ80" s="57">
        <v>156.00268408691704</v>
      </c>
      <c r="CA80" s="58">
        <v>295.21502299236221</v>
      </c>
      <c r="CB80" s="43" t="s">
        <v>382</v>
      </c>
      <c r="CC80" s="47">
        <v>102.03970869762577</v>
      </c>
      <c r="CD80" s="58">
        <v>164.31151196984351</v>
      </c>
      <c r="CE80" s="59">
        <v>49.946712980323277</v>
      </c>
      <c r="CF80" s="59">
        <v>92.482583038938998</v>
      </c>
      <c r="CG80" s="59">
        <v>36.402928812488895</v>
      </c>
      <c r="CH80" s="47">
        <v>122.44172965718684</v>
      </c>
      <c r="CI80" s="43" t="s">
        <v>382</v>
      </c>
      <c r="CJ80" s="44">
        <v>372.43802459496391</v>
      </c>
      <c r="CK80" s="60">
        <v>39.99594946992552</v>
      </c>
      <c r="CL80" s="53">
        <v>20387.004500000003</v>
      </c>
      <c r="CM80" s="41">
        <v>19.749402065357664</v>
      </c>
      <c r="CN80" s="53">
        <v>20900.2</v>
      </c>
      <c r="CO80" s="41">
        <v>20.246547404567856</v>
      </c>
      <c r="CP80" s="54">
        <v>61941.26</v>
      </c>
      <c r="CQ80" s="41">
        <v>60.00405053007448</v>
      </c>
      <c r="CR80" s="43">
        <v>89458</v>
      </c>
      <c r="CS80" s="52">
        <v>64.924322028214348</v>
      </c>
      <c r="CT80" s="41">
        <v>1332.9199999999998</v>
      </c>
      <c r="CU80" s="41">
        <v>6.5766050247685959</v>
      </c>
      <c r="CV80" s="52">
        <v>1664.48</v>
      </c>
      <c r="CW80" s="38">
        <v>17</v>
      </c>
      <c r="CX80" s="38">
        <v>36</v>
      </c>
      <c r="CY80" s="51">
        <v>10</v>
      </c>
      <c r="CZ80" s="41">
        <v>7.1080591683277747</v>
      </c>
      <c r="DA80" s="39">
        <v>15244000</v>
      </c>
      <c r="DB80" s="39">
        <v>16447000</v>
      </c>
      <c r="DC80" s="39">
        <v>16719000</v>
      </c>
      <c r="DD80" s="39">
        <v>17549000</v>
      </c>
      <c r="DE80" s="39">
        <v>16554000</v>
      </c>
      <c r="DF80" s="62">
        <v>17294000</v>
      </c>
      <c r="DG80" s="41">
        <v>95.72</v>
      </c>
      <c r="DH80" s="41">
        <v>81</v>
      </c>
      <c r="DI80" s="41">
        <v>4.97</v>
      </c>
      <c r="DJ80" s="37" t="s">
        <v>390</v>
      </c>
      <c r="DK80" s="40">
        <v>122000</v>
      </c>
      <c r="DL80" s="40">
        <v>374000</v>
      </c>
      <c r="DM80" s="40">
        <v>16151</v>
      </c>
      <c r="DN80" s="40">
        <v>14031</v>
      </c>
      <c r="DO80" s="40">
        <v>43933</v>
      </c>
      <c r="DP80" s="40">
        <v>367727</v>
      </c>
      <c r="DQ80" s="64">
        <v>2</v>
      </c>
      <c r="DR80" s="40">
        <v>2728</v>
      </c>
      <c r="DS80" s="65">
        <v>1</v>
      </c>
      <c r="DT80" s="38">
        <v>13</v>
      </c>
      <c r="DU80" s="66">
        <v>15590.461538461539</v>
      </c>
      <c r="DV80" s="41">
        <v>30.76923076923077</v>
      </c>
      <c r="DW80" s="41">
        <v>69.230769230769226</v>
      </c>
      <c r="DX80" s="41">
        <v>0</v>
      </c>
      <c r="DY80" s="41">
        <v>0</v>
      </c>
      <c r="DZ80" s="41">
        <v>0</v>
      </c>
      <c r="EA80" s="41">
        <v>69.230769230769226</v>
      </c>
      <c r="EB80" s="41">
        <v>30.76923076923077</v>
      </c>
      <c r="EC80" s="40">
        <v>932</v>
      </c>
      <c r="ED80" s="184">
        <v>217.46351931330472</v>
      </c>
    </row>
    <row r="81" spans="1:134" s="13" customFormat="1">
      <c r="A81" s="156" t="s">
        <v>229</v>
      </c>
      <c r="B81" s="285">
        <v>2014</v>
      </c>
      <c r="C81" s="259">
        <v>2</v>
      </c>
      <c r="D81" s="80" t="s">
        <v>343</v>
      </c>
      <c r="E81" s="56">
        <v>10.5</v>
      </c>
      <c r="F81" s="56">
        <v>34807</v>
      </c>
      <c r="G81" s="82">
        <v>7.7349263340349141</v>
      </c>
      <c r="H81" s="179">
        <v>3321.4</v>
      </c>
      <c r="I81" s="56">
        <v>17056</v>
      </c>
      <c r="J81" s="56">
        <v>49.001637601631856</v>
      </c>
      <c r="K81" s="56">
        <v>17751</v>
      </c>
      <c r="L81" s="84">
        <v>50.998362398368144</v>
      </c>
      <c r="M81" s="160">
        <v>24.133076679978167</v>
      </c>
      <c r="N81" s="160">
        <v>56.646651535610651</v>
      </c>
      <c r="O81" s="160">
        <v>19.220271784411182</v>
      </c>
      <c r="P81" s="160">
        <v>38.104404286494095</v>
      </c>
      <c r="Q81" s="160">
        <v>42.675323929094723</v>
      </c>
      <c r="R81" s="160">
        <v>19.220271784411182</v>
      </c>
      <c r="S81" s="83">
        <v>0.25704493526275707</v>
      </c>
      <c r="T81" s="83">
        <v>21.7</v>
      </c>
      <c r="U81" s="38">
        <v>151</v>
      </c>
      <c r="V81" s="41">
        <v>3.7</v>
      </c>
      <c r="W81" s="40">
        <v>89174</v>
      </c>
      <c r="X81" s="41">
        <v>2.5</v>
      </c>
      <c r="Y81" s="42" t="s">
        <v>142</v>
      </c>
      <c r="Z81" s="43">
        <v>4245</v>
      </c>
      <c r="AA81" s="45">
        <v>0</v>
      </c>
      <c r="AB81" s="63">
        <v>196</v>
      </c>
      <c r="AC81" s="63">
        <v>373327.679</v>
      </c>
      <c r="AD81" s="43">
        <v>85</v>
      </c>
      <c r="AE81" s="44">
        <v>4.3600000000000003</v>
      </c>
      <c r="AF81" s="44">
        <v>2.7118000000000002</v>
      </c>
      <c r="AG81" s="41">
        <v>67.09</v>
      </c>
      <c r="AH81" s="41">
        <v>32.909999999999997</v>
      </c>
      <c r="AI81" s="44">
        <v>1.32</v>
      </c>
      <c r="AJ81" s="41">
        <v>0</v>
      </c>
      <c r="AK81" s="41">
        <v>0</v>
      </c>
      <c r="AL81" s="41">
        <v>7.9945000000000004</v>
      </c>
      <c r="AM81" s="39">
        <v>35167</v>
      </c>
      <c r="AN81" s="39">
        <v>36842</v>
      </c>
      <c r="AO81" s="40">
        <v>38268</v>
      </c>
      <c r="AP81" s="40">
        <v>54255</v>
      </c>
      <c r="AQ81" s="39">
        <v>14437000</v>
      </c>
      <c r="AR81" s="44">
        <v>1130.8945636847877</v>
      </c>
      <c r="AS81" s="39">
        <v>12766</v>
      </c>
      <c r="AT81" s="46">
        <v>14972000</v>
      </c>
      <c r="AU81" s="50">
        <v>1140.115747791654</v>
      </c>
      <c r="AV81" s="39">
        <v>13132</v>
      </c>
      <c r="AW81" s="46">
        <v>15781000</v>
      </c>
      <c r="AX81" s="47">
        <v>1174.3563030212829</v>
      </c>
      <c r="AY81" s="39">
        <v>13438</v>
      </c>
      <c r="AZ81" s="41">
        <v>85.5</v>
      </c>
      <c r="BA81" s="41">
        <v>7.6648310760529847</v>
      </c>
      <c r="BB81" s="48" t="s">
        <v>382</v>
      </c>
      <c r="BC81" s="48" t="s">
        <v>382</v>
      </c>
      <c r="BD81" s="40">
        <v>0</v>
      </c>
      <c r="BE81" s="46">
        <v>5277000</v>
      </c>
      <c r="BF81" s="44">
        <v>4357.5557390586291</v>
      </c>
      <c r="BG81" s="40">
        <v>1211</v>
      </c>
      <c r="BH81" s="49" t="s">
        <v>382</v>
      </c>
      <c r="BI81" s="49" t="s">
        <v>382</v>
      </c>
      <c r="BJ81" s="213">
        <v>0</v>
      </c>
      <c r="BK81" s="47">
        <v>382.48774009877479</v>
      </c>
      <c r="BL81" s="55">
        <v>7625000</v>
      </c>
      <c r="BM81" s="41">
        <v>19.925263928086128</v>
      </c>
      <c r="BN81" s="56">
        <v>2185000</v>
      </c>
      <c r="BO81" s="41">
        <v>5.7097313682450084</v>
      </c>
      <c r="BP81" s="56">
        <v>7842000</v>
      </c>
      <c r="BQ81" s="41">
        <v>20.492317340859202</v>
      </c>
      <c r="BR81" s="39">
        <v>4674000</v>
      </c>
      <c r="BS81" s="41">
        <v>12.213860144245844</v>
      </c>
      <c r="BT81" s="39">
        <v>9058000</v>
      </c>
      <c r="BU81" s="41">
        <v>23.669906971882511</v>
      </c>
      <c r="BV81" s="56">
        <v>4304000</v>
      </c>
      <c r="BW81" s="41">
        <v>11.246994878227239</v>
      </c>
      <c r="BX81" s="40">
        <v>2580000</v>
      </c>
      <c r="BY81" s="41">
        <v>6.7419253684540603</v>
      </c>
      <c r="BZ81" s="57">
        <v>219.06513057718274</v>
      </c>
      <c r="CA81" s="58">
        <v>225.29950871951044</v>
      </c>
      <c r="CB81" s="43" t="s">
        <v>382</v>
      </c>
      <c r="CC81" s="47">
        <v>134.28333381216422</v>
      </c>
      <c r="CD81" s="58">
        <v>176.51621800212601</v>
      </c>
      <c r="CE81" s="59">
        <v>62.774729221133683</v>
      </c>
      <c r="CF81" s="59">
        <v>74.123021231361506</v>
      </c>
      <c r="CG81" s="59">
        <v>83.718792196971876</v>
      </c>
      <c r="CH81" s="47">
        <v>123.65328813169765</v>
      </c>
      <c r="CI81" s="43" t="s">
        <v>382</v>
      </c>
      <c r="CJ81" s="44">
        <v>388.37624646524779</v>
      </c>
      <c r="CK81" s="60">
        <v>51.214284188034185</v>
      </c>
      <c r="CL81" s="53">
        <v>3076</v>
      </c>
      <c r="CM81" s="41">
        <v>21.908831908831907</v>
      </c>
      <c r="CN81" s="53">
        <v>3984.4854999999998</v>
      </c>
      <c r="CO81" s="41">
        <v>28.379526353276351</v>
      </c>
      <c r="CP81" s="54">
        <v>6849.5145000000002</v>
      </c>
      <c r="CQ81" s="41">
        <v>48.785715811965815</v>
      </c>
      <c r="CR81" s="43">
        <v>7518</v>
      </c>
      <c r="CS81" s="52">
        <v>53.019420058526201</v>
      </c>
      <c r="CT81" s="41">
        <v>101.46000000000001</v>
      </c>
      <c r="CU81" s="41">
        <v>2.9149309047030769</v>
      </c>
      <c r="CV81" s="52">
        <v>212</v>
      </c>
      <c r="CW81" s="38">
        <v>4</v>
      </c>
      <c r="CX81" s="38">
        <v>11</v>
      </c>
      <c r="CY81" s="51">
        <v>2</v>
      </c>
      <c r="CZ81" s="41">
        <v>17.492630792656648</v>
      </c>
      <c r="DA81" s="39">
        <v>8498000</v>
      </c>
      <c r="DB81" s="39">
        <v>7025000</v>
      </c>
      <c r="DC81" s="39">
        <v>13949000</v>
      </c>
      <c r="DD81" s="39">
        <v>10254000</v>
      </c>
      <c r="DE81" s="39">
        <v>4026000</v>
      </c>
      <c r="DF81" s="62">
        <v>2168501.98</v>
      </c>
      <c r="DG81" s="41">
        <v>185.66</v>
      </c>
      <c r="DH81" s="41">
        <v>413.65999999999997</v>
      </c>
      <c r="DI81" s="41">
        <v>1.9</v>
      </c>
      <c r="DJ81" s="37" t="s">
        <v>390</v>
      </c>
      <c r="DK81" s="40">
        <v>49000</v>
      </c>
      <c r="DL81" s="40">
        <v>200000</v>
      </c>
      <c r="DM81" s="40">
        <v>0</v>
      </c>
      <c r="DN81" s="40">
        <v>20116</v>
      </c>
      <c r="DO81" s="40">
        <v>0</v>
      </c>
      <c r="DP81" s="40">
        <v>305833</v>
      </c>
      <c r="DQ81" s="64">
        <v>0</v>
      </c>
      <c r="DR81" s="40">
        <v>0</v>
      </c>
      <c r="DS81" s="65">
        <v>0</v>
      </c>
      <c r="DT81" s="38">
        <v>9</v>
      </c>
      <c r="DU81" s="66">
        <v>3867.4444444444443</v>
      </c>
      <c r="DV81" s="41">
        <v>33.333333333333329</v>
      </c>
      <c r="DW81" s="41">
        <v>66.666666666666657</v>
      </c>
      <c r="DX81" s="41">
        <v>0</v>
      </c>
      <c r="DY81" s="41">
        <v>22.222222222222221</v>
      </c>
      <c r="DZ81" s="41">
        <v>11.111111111111111</v>
      </c>
      <c r="EA81" s="41">
        <v>55.555555555555557</v>
      </c>
      <c r="EB81" s="41">
        <v>33.333333333333329</v>
      </c>
      <c r="EC81" s="40">
        <v>185</v>
      </c>
      <c r="ED81" s="184">
        <v>188.14594594594595</v>
      </c>
    </row>
    <row r="82" spans="1:134" s="13" customFormat="1">
      <c r="A82" s="156" t="s">
        <v>230</v>
      </c>
      <c r="B82" s="285">
        <v>2014</v>
      </c>
      <c r="C82" s="259">
        <v>11</v>
      </c>
      <c r="D82" s="80" t="s">
        <v>345</v>
      </c>
      <c r="E82" s="56">
        <v>1167</v>
      </c>
      <c r="F82" s="56">
        <v>11595</v>
      </c>
      <c r="G82" s="82">
        <v>1.1691824448128436</v>
      </c>
      <c r="H82" s="179">
        <v>9.9</v>
      </c>
      <c r="I82" s="56">
        <v>5740</v>
      </c>
      <c r="J82" s="56">
        <v>49.504096593359208</v>
      </c>
      <c r="K82" s="56">
        <v>5855</v>
      </c>
      <c r="L82" s="84">
        <v>50.495903406640799</v>
      </c>
      <c r="M82" s="160">
        <v>33.6869340232859</v>
      </c>
      <c r="N82" s="160">
        <v>45.683484260457092</v>
      </c>
      <c r="O82" s="160">
        <v>20.629581716257007</v>
      </c>
      <c r="P82" s="160">
        <v>44.32082794307891</v>
      </c>
      <c r="Q82" s="160">
        <v>35.049590340664075</v>
      </c>
      <c r="R82" s="160">
        <v>20.629581716257007</v>
      </c>
      <c r="S82" s="83">
        <v>5.9063320952984872</v>
      </c>
      <c r="T82" s="83">
        <v>5.9</v>
      </c>
      <c r="U82" s="38">
        <v>50</v>
      </c>
      <c r="V82" s="41">
        <v>5.0999999999999996</v>
      </c>
      <c r="W82" s="40">
        <v>39796</v>
      </c>
      <c r="X82" s="41">
        <v>2.6</v>
      </c>
      <c r="Y82" s="42" t="s">
        <v>95</v>
      </c>
      <c r="Z82" s="43">
        <v>1047</v>
      </c>
      <c r="AA82" s="45">
        <v>1</v>
      </c>
      <c r="AB82" s="63">
        <v>136</v>
      </c>
      <c r="AC82" s="63">
        <v>17357.080999999998</v>
      </c>
      <c r="AD82" s="43">
        <v>18</v>
      </c>
      <c r="AE82" s="44">
        <v>4.2699999999999996</v>
      </c>
      <c r="AF82" s="44">
        <v>4.6806000000000001</v>
      </c>
      <c r="AG82" s="41">
        <v>76.08</v>
      </c>
      <c r="AH82" s="41">
        <v>23.92</v>
      </c>
      <c r="AI82" s="44">
        <v>3.25</v>
      </c>
      <c r="AJ82" s="41">
        <v>22.466999999999999</v>
      </c>
      <c r="AK82" s="41">
        <v>1.4039745755893476</v>
      </c>
      <c r="AL82" s="41">
        <v>19.1877</v>
      </c>
      <c r="AM82" s="39">
        <v>25586</v>
      </c>
      <c r="AN82" s="39">
        <v>23271</v>
      </c>
      <c r="AO82" s="40">
        <v>26110</v>
      </c>
      <c r="AP82" s="40">
        <v>25313</v>
      </c>
      <c r="AQ82" s="39">
        <v>2949000</v>
      </c>
      <c r="AR82" s="44">
        <v>765.17903476907111</v>
      </c>
      <c r="AS82" s="39">
        <v>3854</v>
      </c>
      <c r="AT82" s="46">
        <v>3090000</v>
      </c>
      <c r="AU82" s="50">
        <v>785.06097560975604</v>
      </c>
      <c r="AV82" s="39">
        <v>3936</v>
      </c>
      <c r="AW82" s="46">
        <v>3212000</v>
      </c>
      <c r="AX82" s="47">
        <v>813.78261971117308</v>
      </c>
      <c r="AY82" s="39">
        <v>3947</v>
      </c>
      <c r="AZ82" s="41">
        <v>62.8</v>
      </c>
      <c r="BA82" s="41">
        <v>21.966050164682038</v>
      </c>
      <c r="BB82" s="46">
        <v>2651000</v>
      </c>
      <c r="BC82" s="48">
        <v>3309.612983770287</v>
      </c>
      <c r="BD82" s="40">
        <v>801</v>
      </c>
      <c r="BE82" s="46">
        <v>377000</v>
      </c>
      <c r="BF82" s="44">
        <v>764.70588235294122</v>
      </c>
      <c r="BG82" s="40">
        <v>493</v>
      </c>
      <c r="BH82" s="49" t="s">
        <v>382</v>
      </c>
      <c r="BI82" s="49" t="s">
        <v>382</v>
      </c>
      <c r="BJ82" s="213">
        <v>0</v>
      </c>
      <c r="BK82" s="47">
        <v>74.299620833333336</v>
      </c>
      <c r="BL82" s="55">
        <v>3673000</v>
      </c>
      <c r="BM82" s="41">
        <v>14.067407123707392</v>
      </c>
      <c r="BN82" s="56">
        <v>7133000</v>
      </c>
      <c r="BO82" s="41">
        <v>27.31903485254692</v>
      </c>
      <c r="BP82" s="56">
        <v>2388000</v>
      </c>
      <c r="BQ82" s="41">
        <v>9.1459211030256604</v>
      </c>
      <c r="BR82" s="39">
        <v>2788000</v>
      </c>
      <c r="BS82" s="41">
        <v>10.677901187284565</v>
      </c>
      <c r="BT82" s="39">
        <v>3978000</v>
      </c>
      <c r="BU82" s="41">
        <v>15.235541937954808</v>
      </c>
      <c r="BV82" s="56">
        <v>4588000</v>
      </c>
      <c r="BW82" s="41">
        <v>17.571811566449636</v>
      </c>
      <c r="BX82" s="40">
        <v>1562000</v>
      </c>
      <c r="BY82" s="41">
        <v>5.9823822290310229</v>
      </c>
      <c r="BZ82" s="57">
        <v>316.77447175506683</v>
      </c>
      <c r="CA82" s="58">
        <v>205.95084087968951</v>
      </c>
      <c r="CB82" s="59">
        <v>540.66407934454503</v>
      </c>
      <c r="CC82" s="47">
        <v>240.44846916774472</v>
      </c>
      <c r="CD82" s="58">
        <v>296.76584734799485</v>
      </c>
      <c r="CE82" s="59">
        <v>74.514877102199222</v>
      </c>
      <c r="CF82" s="59">
        <v>134.71323846485555</v>
      </c>
      <c r="CG82" s="59">
        <v>46.3130659767141</v>
      </c>
      <c r="CH82" s="47">
        <v>395.6877964639931</v>
      </c>
      <c r="CI82" s="43">
        <v>1167</v>
      </c>
      <c r="CJ82" s="44">
        <v>235.62199138586269</v>
      </c>
      <c r="CK82" s="60">
        <v>27.215124771132921</v>
      </c>
      <c r="CL82" s="53">
        <v>1322.9</v>
      </c>
      <c r="CM82" s="41">
        <v>27.215124771132921</v>
      </c>
      <c r="CN82" s="53" t="s">
        <v>382</v>
      </c>
      <c r="CO82" s="41">
        <v>0</v>
      </c>
      <c r="CP82" s="54">
        <v>3538</v>
      </c>
      <c r="CQ82" s="41">
        <v>72.784875228867079</v>
      </c>
      <c r="CR82" s="43">
        <v>5446</v>
      </c>
      <c r="CS82" s="52">
        <v>59.125964010282772</v>
      </c>
      <c r="CT82" s="41">
        <v>900.95999999999992</v>
      </c>
      <c r="CU82" s="41">
        <v>77.702457956015508</v>
      </c>
      <c r="CV82" s="52">
        <v>185.75</v>
      </c>
      <c r="CW82" s="38">
        <v>2</v>
      </c>
      <c r="CX82" s="38">
        <v>6</v>
      </c>
      <c r="CY82" s="51">
        <v>1</v>
      </c>
      <c r="CZ82" s="41">
        <v>3.7917205692108666</v>
      </c>
      <c r="DA82" s="39">
        <v>3522000</v>
      </c>
      <c r="DB82" s="39">
        <v>3252000</v>
      </c>
      <c r="DC82" s="39">
        <v>3890000</v>
      </c>
      <c r="DD82" s="39">
        <v>3949000</v>
      </c>
      <c r="DE82" s="39">
        <v>5039000</v>
      </c>
      <c r="DF82" s="62">
        <v>3740000</v>
      </c>
      <c r="DG82" s="41">
        <v>134.72999999999999</v>
      </c>
      <c r="DH82" s="41">
        <v>87.09</v>
      </c>
      <c r="DI82" s="41">
        <v>4.8</v>
      </c>
      <c r="DJ82" s="37" t="s">
        <v>390</v>
      </c>
      <c r="DK82" s="40">
        <v>27000</v>
      </c>
      <c r="DL82" s="40">
        <v>119000</v>
      </c>
      <c r="DM82" s="40">
        <v>0</v>
      </c>
      <c r="DN82" s="40">
        <v>13475</v>
      </c>
      <c r="DO82" s="40">
        <v>2686</v>
      </c>
      <c r="DP82" s="40">
        <v>208672</v>
      </c>
      <c r="DQ82" s="64">
        <v>0</v>
      </c>
      <c r="DR82" s="40">
        <v>0</v>
      </c>
      <c r="DS82" s="65">
        <v>0</v>
      </c>
      <c r="DT82" s="38">
        <v>9</v>
      </c>
      <c r="DU82" s="66">
        <v>1288.3333333333333</v>
      </c>
      <c r="DV82" s="41">
        <v>12.5</v>
      </c>
      <c r="DW82" s="41">
        <v>87.5</v>
      </c>
      <c r="DX82" s="41">
        <v>0</v>
      </c>
      <c r="DY82" s="41">
        <v>0</v>
      </c>
      <c r="DZ82" s="41">
        <v>12.5</v>
      </c>
      <c r="EA82" s="41">
        <v>62.5</v>
      </c>
      <c r="EB82" s="41">
        <v>25</v>
      </c>
      <c r="EC82" s="40">
        <v>135</v>
      </c>
      <c r="ED82" s="184">
        <v>85.888888888888886</v>
      </c>
    </row>
    <row r="83" spans="1:134" s="13" customFormat="1">
      <c r="A83" s="156" t="s">
        <v>231</v>
      </c>
      <c r="B83" s="285">
        <v>2014</v>
      </c>
      <c r="C83" s="259">
        <v>2</v>
      </c>
      <c r="D83" s="80" t="s">
        <v>343</v>
      </c>
      <c r="E83" s="56">
        <v>10.5</v>
      </c>
      <c r="F83" s="56">
        <v>58136</v>
      </c>
      <c r="G83" s="82">
        <v>7.430472142659152</v>
      </c>
      <c r="H83" s="179">
        <v>5510.6</v>
      </c>
      <c r="I83" s="56">
        <v>27634</v>
      </c>
      <c r="J83" s="56">
        <v>47.533370028897757</v>
      </c>
      <c r="K83" s="56">
        <v>30502</v>
      </c>
      <c r="L83" s="84">
        <v>52.466629971102243</v>
      </c>
      <c r="M83" s="160">
        <v>20.054699325719003</v>
      </c>
      <c r="N83" s="160">
        <v>63.530342644832807</v>
      </c>
      <c r="O83" s="160">
        <v>16.41495802944819</v>
      </c>
      <c r="P83" s="160">
        <v>33.478395486445578</v>
      </c>
      <c r="Q83" s="160">
        <v>50.106646484106236</v>
      </c>
      <c r="R83" s="160">
        <v>16.41495802944819</v>
      </c>
      <c r="S83" s="83">
        <v>0.98858150049812243</v>
      </c>
      <c r="T83" s="83">
        <v>15.1</v>
      </c>
      <c r="U83" s="38">
        <v>142</v>
      </c>
      <c r="V83" s="41">
        <v>3.5</v>
      </c>
      <c r="W83" s="40">
        <v>85918</v>
      </c>
      <c r="X83" s="41">
        <v>2.2999999999999998</v>
      </c>
      <c r="Y83" s="42" t="s">
        <v>142</v>
      </c>
      <c r="Z83" s="38">
        <v>7112</v>
      </c>
      <c r="AA83" s="45">
        <v>58</v>
      </c>
      <c r="AB83" s="63">
        <v>548</v>
      </c>
      <c r="AC83" s="63">
        <v>231470.318</v>
      </c>
      <c r="AD83" s="43">
        <v>93</v>
      </c>
      <c r="AE83" s="44">
        <v>7.25</v>
      </c>
      <c r="AF83" s="44">
        <v>3.3418000000000001</v>
      </c>
      <c r="AG83" s="41">
        <v>89.06</v>
      </c>
      <c r="AH83" s="41">
        <v>10.939999999999998</v>
      </c>
      <c r="AI83" s="44">
        <v>6.53</v>
      </c>
      <c r="AJ83" s="41">
        <v>10.932399999999999</v>
      </c>
      <c r="AK83" s="41">
        <v>2.071554026417727</v>
      </c>
      <c r="AL83" s="41">
        <v>11.499000000000001</v>
      </c>
      <c r="AM83" s="39">
        <v>73301</v>
      </c>
      <c r="AN83" s="39">
        <v>74323</v>
      </c>
      <c r="AO83" s="40">
        <v>77101</v>
      </c>
      <c r="AP83" s="40">
        <v>85986</v>
      </c>
      <c r="AQ83" s="39">
        <v>24684000</v>
      </c>
      <c r="AR83" s="44">
        <v>1106.7073170731708</v>
      </c>
      <c r="AS83" s="39">
        <v>22304</v>
      </c>
      <c r="AT83" s="46">
        <v>25615000</v>
      </c>
      <c r="AU83" s="50">
        <v>1146.2388687519579</v>
      </c>
      <c r="AV83" s="39">
        <v>22347</v>
      </c>
      <c r="AW83" s="46">
        <v>26266000</v>
      </c>
      <c r="AX83" s="47">
        <v>1168.8843398157626</v>
      </c>
      <c r="AY83" s="39">
        <v>22471</v>
      </c>
      <c r="AZ83" s="41">
        <v>81.399999999999991</v>
      </c>
      <c r="BA83" s="41">
        <v>8.7357037960037385</v>
      </c>
      <c r="BB83" s="48" t="s">
        <v>382</v>
      </c>
      <c r="BC83" s="48" t="s">
        <v>382</v>
      </c>
      <c r="BD83" s="40">
        <v>0</v>
      </c>
      <c r="BE83" s="46">
        <v>13205000</v>
      </c>
      <c r="BF83" s="44">
        <v>7164.9484536082473</v>
      </c>
      <c r="BG83" s="40">
        <v>1843</v>
      </c>
      <c r="BH83" s="49" t="s">
        <v>382</v>
      </c>
      <c r="BI83" s="49" t="s">
        <v>382</v>
      </c>
      <c r="BJ83" s="213">
        <v>0</v>
      </c>
      <c r="BK83" s="47">
        <v>397.42173659142156</v>
      </c>
      <c r="BL83" s="55">
        <v>17968000</v>
      </c>
      <c r="BM83" s="41">
        <v>23.304496699134901</v>
      </c>
      <c r="BN83" s="56">
        <v>3432000</v>
      </c>
      <c r="BO83" s="41">
        <v>4.4513041335391241</v>
      </c>
      <c r="BP83" s="56">
        <v>12801000</v>
      </c>
      <c r="BQ83" s="41">
        <v>16.602897498086925</v>
      </c>
      <c r="BR83" s="39">
        <v>12170000</v>
      </c>
      <c r="BS83" s="41">
        <v>15.784490473534715</v>
      </c>
      <c r="BT83" s="39">
        <v>17071000</v>
      </c>
      <c r="BU83" s="41">
        <v>22.141087664232632</v>
      </c>
      <c r="BV83" s="56">
        <v>7031000</v>
      </c>
      <c r="BW83" s="41">
        <v>9.1192072735762189</v>
      </c>
      <c r="BX83" s="40">
        <v>6628000</v>
      </c>
      <c r="BY83" s="41">
        <v>8.5965162578954875</v>
      </c>
      <c r="BZ83" s="57">
        <v>309.06839135819456</v>
      </c>
      <c r="CA83" s="58">
        <v>220.19058758772533</v>
      </c>
      <c r="CB83" s="43" t="s">
        <v>382</v>
      </c>
      <c r="CC83" s="47">
        <v>209.33672767304253</v>
      </c>
      <c r="CD83" s="58">
        <v>243.37759735791937</v>
      </c>
      <c r="CE83" s="59">
        <v>59.033989266547408</v>
      </c>
      <c r="CF83" s="59">
        <v>114.00853171872851</v>
      </c>
      <c r="CG83" s="59">
        <v>50.261455896518505</v>
      </c>
      <c r="CH83" s="47">
        <v>120.94055318563369</v>
      </c>
      <c r="CI83" s="43" t="s">
        <v>382</v>
      </c>
      <c r="CJ83" s="44">
        <v>474.74522718170084</v>
      </c>
      <c r="CK83" s="60">
        <v>38.509608714928355</v>
      </c>
      <c r="CL83" s="53">
        <v>6131.11</v>
      </c>
      <c r="CM83" s="41">
        <v>29.740061681265601</v>
      </c>
      <c r="CN83" s="53">
        <v>1713.8999999999999</v>
      </c>
      <c r="CO83" s="41">
        <v>8.3135829752721957</v>
      </c>
      <c r="CP83" s="54">
        <v>12676.66</v>
      </c>
      <c r="CQ83" s="41">
        <v>61.490439791886367</v>
      </c>
      <c r="CR83" s="43">
        <v>18738</v>
      </c>
      <c r="CS83" s="52">
        <v>52.428220727932541</v>
      </c>
      <c r="CT83" s="41">
        <v>151.38</v>
      </c>
      <c r="CU83" s="41">
        <v>2.6038943167744595</v>
      </c>
      <c r="CV83" s="52">
        <v>89.3</v>
      </c>
      <c r="CW83" s="38">
        <v>2</v>
      </c>
      <c r="CX83" s="38">
        <v>8</v>
      </c>
      <c r="CY83" s="51">
        <v>2</v>
      </c>
      <c r="CZ83" s="41">
        <v>9.7156151093986516</v>
      </c>
      <c r="DA83" s="39">
        <v>6889000</v>
      </c>
      <c r="DB83" s="39">
        <v>981000</v>
      </c>
      <c r="DC83" s="39">
        <v>2296000</v>
      </c>
      <c r="DD83" s="39">
        <v>2169000</v>
      </c>
      <c r="DE83" s="39">
        <v>2679000</v>
      </c>
      <c r="DF83" s="62">
        <v>1922000</v>
      </c>
      <c r="DG83" s="41">
        <v>139.38999999999999</v>
      </c>
      <c r="DH83" s="41">
        <v>92.28</v>
      </c>
      <c r="DI83" s="41">
        <v>1.97</v>
      </c>
      <c r="DJ83" s="37" t="s">
        <v>390</v>
      </c>
      <c r="DK83" s="40">
        <v>30000</v>
      </c>
      <c r="DL83" s="40">
        <v>252000</v>
      </c>
      <c r="DM83" s="40">
        <v>0</v>
      </c>
      <c r="DN83" s="40">
        <v>27463</v>
      </c>
      <c r="DO83" s="40">
        <v>0</v>
      </c>
      <c r="DP83" s="40">
        <v>288311</v>
      </c>
      <c r="DQ83" s="64">
        <v>1</v>
      </c>
      <c r="DR83" s="40">
        <v>30000</v>
      </c>
      <c r="DS83" s="65">
        <v>1</v>
      </c>
      <c r="DT83" s="38">
        <v>12</v>
      </c>
      <c r="DU83" s="66">
        <v>4844.666666666667</v>
      </c>
      <c r="DV83" s="41">
        <v>41.666666666666671</v>
      </c>
      <c r="DW83" s="41">
        <v>58.333333333333336</v>
      </c>
      <c r="DX83" s="41">
        <v>0</v>
      </c>
      <c r="DY83" s="41">
        <v>0</v>
      </c>
      <c r="DZ83" s="41">
        <v>0</v>
      </c>
      <c r="EA83" s="41">
        <v>75</v>
      </c>
      <c r="EB83" s="41">
        <v>25</v>
      </c>
      <c r="EC83" s="40">
        <v>451</v>
      </c>
      <c r="ED83" s="184">
        <v>128.90465631929047</v>
      </c>
    </row>
    <row r="84" spans="1:134" s="13" customFormat="1">
      <c r="A84" s="156" t="s">
        <v>232</v>
      </c>
      <c r="B84" s="285">
        <v>2014</v>
      </c>
      <c r="C84" s="259">
        <v>4</v>
      </c>
      <c r="D84" s="80" t="s">
        <v>342</v>
      </c>
      <c r="E84" s="56">
        <v>1287.8</v>
      </c>
      <c r="F84" s="56">
        <v>44629</v>
      </c>
      <c r="G84" s="82">
        <v>1.5680473372781067</v>
      </c>
      <c r="H84" s="179">
        <v>34.700000000000003</v>
      </c>
      <c r="I84" s="56">
        <v>22100</v>
      </c>
      <c r="J84" s="56">
        <v>49.519370812700267</v>
      </c>
      <c r="K84" s="56">
        <v>22529</v>
      </c>
      <c r="L84" s="84">
        <v>50.480629187299741</v>
      </c>
      <c r="M84" s="160">
        <v>25.552891617558089</v>
      </c>
      <c r="N84" s="160">
        <v>51.831768580967527</v>
      </c>
      <c r="O84" s="160">
        <v>22.615339801474377</v>
      </c>
      <c r="P84" s="160">
        <v>37.289654708821615</v>
      </c>
      <c r="Q84" s="160">
        <v>40.095005489704008</v>
      </c>
      <c r="R84" s="160">
        <v>22.615339801474377</v>
      </c>
      <c r="S84" s="83">
        <v>4.4757272472172858</v>
      </c>
      <c r="T84" s="83">
        <v>4.3</v>
      </c>
      <c r="U84" s="38">
        <v>66</v>
      </c>
      <c r="V84" s="41">
        <v>10.3</v>
      </c>
      <c r="W84" s="40">
        <v>38784</v>
      </c>
      <c r="X84" s="41">
        <v>2.4</v>
      </c>
      <c r="Y84" s="42" t="s">
        <v>350</v>
      </c>
      <c r="Z84" s="43">
        <v>4036</v>
      </c>
      <c r="AA84" s="45">
        <v>2</v>
      </c>
      <c r="AB84" s="63">
        <v>348</v>
      </c>
      <c r="AC84" s="63">
        <v>71296.476999999999</v>
      </c>
      <c r="AD84" s="43">
        <v>64</v>
      </c>
      <c r="AE84" s="44">
        <v>-2.46</v>
      </c>
      <c r="AF84" s="44">
        <v>1.7149000000000001</v>
      </c>
      <c r="AG84" s="41">
        <v>82.61</v>
      </c>
      <c r="AH84" s="41">
        <v>17.39</v>
      </c>
      <c r="AI84" s="44">
        <v>11.38</v>
      </c>
      <c r="AJ84" s="41">
        <v>3.6055999999999999</v>
      </c>
      <c r="AK84" s="41">
        <v>6.7440798621920592</v>
      </c>
      <c r="AL84" s="41">
        <v>5.2529999999999992</v>
      </c>
      <c r="AM84" s="39">
        <v>102039</v>
      </c>
      <c r="AN84" s="39">
        <v>97203</v>
      </c>
      <c r="AO84" s="40">
        <v>101940</v>
      </c>
      <c r="AP84" s="40">
        <v>102815</v>
      </c>
      <c r="AQ84" s="39">
        <v>15452000</v>
      </c>
      <c r="AR84" s="44">
        <v>1019.3956986409817</v>
      </c>
      <c r="AS84" s="39">
        <v>15158</v>
      </c>
      <c r="AT84" s="46">
        <v>16034000</v>
      </c>
      <c r="AU84" s="50">
        <v>1057.2332849795596</v>
      </c>
      <c r="AV84" s="39">
        <v>15166</v>
      </c>
      <c r="AW84" s="46">
        <v>16496000</v>
      </c>
      <c r="AX84" s="47">
        <v>1081.563073695253</v>
      </c>
      <c r="AY84" s="39">
        <v>15252</v>
      </c>
      <c r="AZ84" s="41">
        <v>71</v>
      </c>
      <c r="BA84" s="41">
        <v>24.141096249672174</v>
      </c>
      <c r="BB84" s="46">
        <v>4155000</v>
      </c>
      <c r="BC84" s="48">
        <v>2166.3190823774767</v>
      </c>
      <c r="BD84" s="40">
        <v>1918</v>
      </c>
      <c r="BE84" s="46">
        <v>5192000</v>
      </c>
      <c r="BF84" s="44">
        <v>4298.013245033113</v>
      </c>
      <c r="BG84" s="40">
        <v>1208</v>
      </c>
      <c r="BH84" s="49" t="s">
        <v>382</v>
      </c>
      <c r="BI84" s="49" t="s">
        <v>382</v>
      </c>
      <c r="BJ84" s="213">
        <v>0</v>
      </c>
      <c r="BK84" s="47">
        <v>113.89930205471501</v>
      </c>
      <c r="BL84" s="55">
        <v>3462000</v>
      </c>
      <c r="BM84" s="41">
        <v>3.3975151622210444</v>
      </c>
      <c r="BN84" s="56">
        <v>26397000</v>
      </c>
      <c r="BO84" s="41">
        <v>25.905317081787672</v>
      </c>
      <c r="BP84" s="56">
        <v>11976000</v>
      </c>
      <c r="BQ84" s="41">
        <v>11.752929399988224</v>
      </c>
      <c r="BR84" s="39">
        <v>4234000</v>
      </c>
      <c r="BS84" s="41">
        <v>4.1551355276845472</v>
      </c>
      <c r="BT84" s="39">
        <v>17616000</v>
      </c>
      <c r="BU84" s="41">
        <v>17.287876111405524</v>
      </c>
      <c r="BV84" s="56">
        <v>21589000</v>
      </c>
      <c r="BW84" s="41">
        <v>21.186873147657462</v>
      </c>
      <c r="BX84" s="40">
        <v>16624000</v>
      </c>
      <c r="BY84" s="41">
        <v>16.31435356925553</v>
      </c>
      <c r="BZ84" s="57">
        <v>77.572878621524126</v>
      </c>
      <c r="CA84" s="58">
        <v>268.3456945035739</v>
      </c>
      <c r="CB84" s="59">
        <v>518.74341795693385</v>
      </c>
      <c r="CC84" s="47">
        <v>94.871047973290914</v>
      </c>
      <c r="CD84" s="58">
        <v>235.25062179300454</v>
      </c>
      <c r="CE84" s="59">
        <v>72.732976315848433</v>
      </c>
      <c r="CF84" s="59">
        <v>372.49322189607653</v>
      </c>
      <c r="CG84" s="59">
        <v>159.47029958098994</v>
      </c>
      <c r="CH84" s="47">
        <v>483.74375406126063</v>
      </c>
      <c r="CI84" s="43">
        <v>1438</v>
      </c>
      <c r="CJ84" s="44">
        <v>270.06294256490952</v>
      </c>
      <c r="CK84" s="60">
        <v>63.330754371216798</v>
      </c>
      <c r="CL84" s="53">
        <v>8551.380000000001</v>
      </c>
      <c r="CM84" s="41">
        <v>35.342444012964251</v>
      </c>
      <c r="CN84" s="53">
        <v>6771.99</v>
      </c>
      <c r="CO84" s="41">
        <v>27.988310358252555</v>
      </c>
      <c r="CP84" s="54">
        <v>8872.41</v>
      </c>
      <c r="CQ84" s="41">
        <v>36.669245628783202</v>
      </c>
      <c r="CR84" s="43">
        <v>18588</v>
      </c>
      <c r="CS84" s="52">
        <v>61.3675489563159</v>
      </c>
      <c r="CT84" s="41">
        <v>1216.0999999999999</v>
      </c>
      <c r="CU84" s="41">
        <v>27.249098120056466</v>
      </c>
      <c r="CV84" s="52">
        <v>372.79</v>
      </c>
      <c r="CW84" s="38">
        <v>3</v>
      </c>
      <c r="CX84" s="38">
        <v>7</v>
      </c>
      <c r="CY84" s="51">
        <v>3</v>
      </c>
      <c r="CZ84" s="41">
        <v>9.4999439826122032</v>
      </c>
      <c r="DA84" s="39">
        <v>39267000</v>
      </c>
      <c r="DB84" s="39">
        <v>44470000</v>
      </c>
      <c r="DC84" s="39">
        <v>35077000</v>
      </c>
      <c r="DD84" s="39">
        <v>46681000</v>
      </c>
      <c r="DE84" s="39">
        <v>13868000</v>
      </c>
      <c r="DF84" s="62">
        <v>14174000</v>
      </c>
      <c r="DG84" s="41">
        <v>97.84</v>
      </c>
      <c r="DH84" s="41">
        <v>94.11</v>
      </c>
      <c r="DI84" s="41">
        <v>23.64</v>
      </c>
      <c r="DJ84" s="37" t="s">
        <v>390</v>
      </c>
      <c r="DK84" s="40">
        <v>120000</v>
      </c>
      <c r="DL84" s="40">
        <v>250000</v>
      </c>
      <c r="DM84" s="40">
        <v>0</v>
      </c>
      <c r="DN84" s="40">
        <v>11000</v>
      </c>
      <c r="DO84" s="40">
        <v>0</v>
      </c>
      <c r="DP84" s="40">
        <v>260000</v>
      </c>
      <c r="DQ84" s="64">
        <v>0</v>
      </c>
      <c r="DR84" s="40">
        <v>0</v>
      </c>
      <c r="DS84" s="65">
        <v>0</v>
      </c>
      <c r="DT84" s="38">
        <v>11</v>
      </c>
      <c r="DU84" s="66">
        <v>4057.181818181818</v>
      </c>
      <c r="DV84" s="41">
        <v>27.27272727272727</v>
      </c>
      <c r="DW84" s="41">
        <v>72.727272727272734</v>
      </c>
      <c r="DX84" s="41">
        <v>0</v>
      </c>
      <c r="DY84" s="41">
        <v>0</v>
      </c>
      <c r="DZ84" s="41">
        <v>0</v>
      </c>
      <c r="EA84" s="41">
        <v>72.727272727272734</v>
      </c>
      <c r="EB84" s="41">
        <v>27.27272727272727</v>
      </c>
      <c r="EC84" s="40">
        <v>417.44</v>
      </c>
      <c r="ED84" s="184">
        <v>106.91117286316596</v>
      </c>
    </row>
    <row r="85" spans="1:134" s="13" customFormat="1">
      <c r="A85" s="156" t="s">
        <v>233</v>
      </c>
      <c r="B85" s="285">
        <v>2014</v>
      </c>
      <c r="C85" s="259">
        <v>4</v>
      </c>
      <c r="D85" s="80" t="s">
        <v>342</v>
      </c>
      <c r="E85" s="56">
        <v>4511.8999999999996</v>
      </c>
      <c r="F85" s="56">
        <v>21249</v>
      </c>
      <c r="G85" s="82">
        <v>3.0454391154648173</v>
      </c>
      <c r="H85" s="179">
        <v>4.7</v>
      </c>
      <c r="I85" s="56">
        <v>10955</v>
      </c>
      <c r="J85" s="56">
        <v>51.55536731140289</v>
      </c>
      <c r="K85" s="56">
        <v>10294</v>
      </c>
      <c r="L85" s="84">
        <v>48.44463268859711</v>
      </c>
      <c r="M85" s="160">
        <v>23.737587651183585</v>
      </c>
      <c r="N85" s="160">
        <v>49.875288248858766</v>
      </c>
      <c r="O85" s="160">
        <v>26.387124099957642</v>
      </c>
      <c r="P85" s="160">
        <v>35.192244340910165</v>
      </c>
      <c r="Q85" s="160">
        <v>38.420631559132197</v>
      </c>
      <c r="R85" s="160">
        <v>26.387124099957642</v>
      </c>
      <c r="S85" s="83">
        <v>4.4834598026087384</v>
      </c>
      <c r="T85" s="83">
        <v>3</v>
      </c>
      <c r="U85" s="38">
        <v>22</v>
      </c>
      <c r="V85" s="41">
        <v>10.7</v>
      </c>
      <c r="W85" s="40">
        <v>51064</v>
      </c>
      <c r="X85" s="41">
        <v>2.4</v>
      </c>
      <c r="Y85" s="42" t="s">
        <v>94</v>
      </c>
      <c r="Z85" s="43">
        <v>1291</v>
      </c>
      <c r="AA85" s="45">
        <v>10</v>
      </c>
      <c r="AB85" s="63">
        <v>248</v>
      </c>
      <c r="AC85" s="63">
        <v>29421.355</v>
      </c>
      <c r="AD85" s="43">
        <v>60</v>
      </c>
      <c r="AE85" s="44">
        <v>-3.73</v>
      </c>
      <c r="AF85" s="44">
        <v>3.0067000000000004</v>
      </c>
      <c r="AG85" s="41">
        <v>75.040000000000006</v>
      </c>
      <c r="AH85" s="41">
        <v>24.959999999999994</v>
      </c>
      <c r="AI85" s="44">
        <v>5.17</v>
      </c>
      <c r="AJ85" s="41">
        <v>3.5282</v>
      </c>
      <c r="AK85" s="41">
        <v>6.3552331823299903</v>
      </c>
      <c r="AL85" s="41">
        <v>6.7122000000000002</v>
      </c>
      <c r="AM85" s="39">
        <v>36988</v>
      </c>
      <c r="AN85" s="39">
        <v>37877</v>
      </c>
      <c r="AO85" s="40">
        <v>39900.877999999997</v>
      </c>
      <c r="AP85" s="40">
        <v>41871</v>
      </c>
      <c r="AQ85" s="39">
        <v>5795000</v>
      </c>
      <c r="AR85" s="44">
        <v>619.32243240354819</v>
      </c>
      <c r="AS85" s="39">
        <v>9357</v>
      </c>
      <c r="AT85" s="46">
        <v>6066031</v>
      </c>
      <c r="AU85" s="50">
        <v>644.55999999999995</v>
      </c>
      <c r="AV85" s="39">
        <v>9411</v>
      </c>
      <c r="AW85" s="46">
        <v>6219000</v>
      </c>
      <c r="AX85" s="47">
        <v>659.7</v>
      </c>
      <c r="AY85" s="39">
        <v>9427</v>
      </c>
      <c r="AZ85" s="41">
        <v>63.4</v>
      </c>
      <c r="BA85" s="41">
        <v>25.713376471836213</v>
      </c>
      <c r="BB85" s="46">
        <v>1436000</v>
      </c>
      <c r="BC85" s="48">
        <v>1167.479674796748</v>
      </c>
      <c r="BD85" s="40">
        <v>1230</v>
      </c>
      <c r="BE85" s="46">
        <v>1860000</v>
      </c>
      <c r="BF85" s="44">
        <v>3795.9183673469388</v>
      </c>
      <c r="BG85" s="40">
        <v>490</v>
      </c>
      <c r="BH85" s="46">
        <v>1977000</v>
      </c>
      <c r="BI85" s="49">
        <v>152076.92307692306</v>
      </c>
      <c r="BJ85" s="45">
        <v>13</v>
      </c>
      <c r="BK85" s="47">
        <v>83.260248890153676</v>
      </c>
      <c r="BL85" s="55">
        <v>2208000</v>
      </c>
      <c r="BM85" s="41">
        <v>5.5336958973459316</v>
      </c>
      <c r="BN85" s="56">
        <v>15462000</v>
      </c>
      <c r="BO85" s="41">
        <v>38.750908498533867</v>
      </c>
      <c r="BP85" s="56">
        <v>4305000</v>
      </c>
      <c r="BQ85" s="41">
        <v>10.78920327811333</v>
      </c>
      <c r="BR85" s="39">
        <v>4268000</v>
      </c>
      <c r="BS85" s="41">
        <v>10.696473772587153</v>
      </c>
      <c r="BT85" s="39">
        <v>5838000</v>
      </c>
      <c r="BU85" s="41">
        <v>14.631212250319543</v>
      </c>
      <c r="BV85" s="56">
        <v>3160000</v>
      </c>
      <c r="BW85" s="41">
        <v>7.9196010125059519</v>
      </c>
      <c r="BX85" s="40">
        <v>4660000</v>
      </c>
      <c r="BY85" s="41">
        <v>11.678905290594219</v>
      </c>
      <c r="BZ85" s="57">
        <v>103.91077227163632</v>
      </c>
      <c r="CA85" s="58">
        <v>202.59776930679089</v>
      </c>
      <c r="CB85" s="59">
        <v>607.84036895853922</v>
      </c>
      <c r="CC85" s="47">
        <v>200.85651089463033</v>
      </c>
      <c r="CD85" s="58">
        <v>203.44486799378794</v>
      </c>
      <c r="CE85" s="59">
        <v>119.81740317191397</v>
      </c>
      <c r="CF85" s="59">
        <v>219.3044378558991</v>
      </c>
      <c r="CG85" s="59">
        <v>71.297472822250455</v>
      </c>
      <c r="CH85" s="47">
        <v>148.71288060614617</v>
      </c>
      <c r="CI85" s="43">
        <v>1376</v>
      </c>
      <c r="CJ85" s="44">
        <v>412.3262968070436</v>
      </c>
      <c r="CK85" s="60">
        <v>12.301801315931399</v>
      </c>
      <c r="CL85" s="53">
        <v>1140.5</v>
      </c>
      <c r="CM85" s="41">
        <v>12.301801315931399</v>
      </c>
      <c r="CN85" s="53" t="s">
        <v>382</v>
      </c>
      <c r="CO85" s="41">
        <v>0</v>
      </c>
      <c r="CP85" s="54">
        <v>8130.5</v>
      </c>
      <c r="CQ85" s="41">
        <v>87.698198684068601</v>
      </c>
      <c r="CR85" s="43">
        <v>14490</v>
      </c>
      <c r="CS85" s="52">
        <v>36.873706004140786</v>
      </c>
      <c r="CT85" s="41">
        <v>904.32500000000005</v>
      </c>
      <c r="CU85" s="41">
        <v>42.558473339921882</v>
      </c>
      <c r="CV85" s="52">
        <v>188.33</v>
      </c>
      <c r="CW85" s="38">
        <v>1</v>
      </c>
      <c r="CX85" s="38">
        <v>10</v>
      </c>
      <c r="CY85" s="51">
        <v>5</v>
      </c>
      <c r="CZ85" s="41">
        <v>3.8951480069650337</v>
      </c>
      <c r="DA85" s="39">
        <v>13103000</v>
      </c>
      <c r="DB85" s="39">
        <v>15394000</v>
      </c>
      <c r="DC85" s="39">
        <v>13333370</v>
      </c>
      <c r="DD85" s="39">
        <v>13787000</v>
      </c>
      <c r="DE85" s="39">
        <v>10301000</v>
      </c>
      <c r="DF85" s="62">
        <v>13590200</v>
      </c>
      <c r="DG85" s="41">
        <v>75.8</v>
      </c>
      <c r="DH85" s="41">
        <v>102.83</v>
      </c>
      <c r="DI85" s="41">
        <v>9.370000000000001</v>
      </c>
      <c r="DJ85" s="37" t="s">
        <v>389</v>
      </c>
      <c r="DK85" s="40">
        <v>16000</v>
      </c>
      <c r="DL85" s="40">
        <v>110000</v>
      </c>
      <c r="DM85" s="40">
        <v>0</v>
      </c>
      <c r="DN85" s="40">
        <v>4269</v>
      </c>
      <c r="DO85" s="40">
        <v>0</v>
      </c>
      <c r="DP85" s="40">
        <v>182669</v>
      </c>
      <c r="DQ85" s="64">
        <v>5</v>
      </c>
      <c r="DR85" s="40">
        <v>22629</v>
      </c>
      <c r="DS85" s="65">
        <v>4</v>
      </c>
      <c r="DT85" s="38">
        <v>9</v>
      </c>
      <c r="DU85" s="66">
        <v>2361</v>
      </c>
      <c r="DV85" s="41">
        <v>11.111111111111111</v>
      </c>
      <c r="DW85" s="41">
        <v>88.888888888888886</v>
      </c>
      <c r="DX85" s="41">
        <v>0</v>
      </c>
      <c r="DY85" s="41">
        <v>0</v>
      </c>
      <c r="DZ85" s="41">
        <v>0</v>
      </c>
      <c r="EA85" s="41">
        <v>77.777777777777786</v>
      </c>
      <c r="EB85" s="41">
        <v>22.222222222222221</v>
      </c>
      <c r="EC85" s="40">
        <v>188</v>
      </c>
      <c r="ED85" s="184">
        <v>113.02659574468085</v>
      </c>
    </row>
    <row r="86" spans="1:134" s="13" customFormat="1">
      <c r="A86" s="156" t="s">
        <v>234</v>
      </c>
      <c r="B86" s="285">
        <v>2014</v>
      </c>
      <c r="C86" s="259">
        <v>7</v>
      </c>
      <c r="D86" s="80" t="s">
        <v>346</v>
      </c>
      <c r="E86" s="56">
        <v>305.39999999999998</v>
      </c>
      <c r="F86" s="56">
        <v>199928</v>
      </c>
      <c r="G86" s="82">
        <v>10.024654398168531</v>
      </c>
      <c r="H86" s="179">
        <v>654.6</v>
      </c>
      <c r="I86" s="56">
        <v>99575</v>
      </c>
      <c r="J86" s="56">
        <v>49.805429954783719</v>
      </c>
      <c r="K86" s="56">
        <v>100353</v>
      </c>
      <c r="L86" s="84">
        <v>50.194570045216281</v>
      </c>
      <c r="M86" s="160">
        <v>29.807230603017089</v>
      </c>
      <c r="N86" s="160">
        <v>55.884118282581731</v>
      </c>
      <c r="O86" s="160">
        <v>14.308651114401187</v>
      </c>
      <c r="P86" s="160">
        <v>44.793125525189069</v>
      </c>
      <c r="Q86" s="160">
        <v>40.898223360409744</v>
      </c>
      <c r="R86" s="160">
        <v>14.308651114401187</v>
      </c>
      <c r="S86" s="83">
        <v>1.4866050116019585</v>
      </c>
      <c r="T86" s="83">
        <v>49.8</v>
      </c>
      <c r="U86" s="38">
        <v>88</v>
      </c>
      <c r="V86" s="41">
        <v>5.2</v>
      </c>
      <c r="W86" s="40">
        <v>46948</v>
      </c>
      <c r="X86" s="41">
        <v>3.2</v>
      </c>
      <c r="Y86" s="42" t="s">
        <v>95</v>
      </c>
      <c r="Z86" s="43">
        <v>13141</v>
      </c>
      <c r="AA86" s="45">
        <v>27</v>
      </c>
      <c r="AB86" s="63">
        <v>1119</v>
      </c>
      <c r="AC86" s="63">
        <v>666388.45499999996</v>
      </c>
      <c r="AD86" s="43">
        <v>134</v>
      </c>
      <c r="AE86" s="44">
        <v>-0.69</v>
      </c>
      <c r="AF86" s="44">
        <v>2.3855</v>
      </c>
      <c r="AG86" s="41">
        <v>59.34</v>
      </c>
      <c r="AH86" s="41">
        <v>40.659999999999997</v>
      </c>
      <c r="AI86" s="44">
        <v>4.87</v>
      </c>
      <c r="AJ86" s="41">
        <v>4.0207999999999995</v>
      </c>
      <c r="AK86" s="41">
        <v>4.7328153018529582</v>
      </c>
      <c r="AL86" s="41">
        <v>10.0228</v>
      </c>
      <c r="AM86" s="39">
        <v>144365</v>
      </c>
      <c r="AN86" s="39">
        <v>151429</v>
      </c>
      <c r="AO86" s="40">
        <v>168456</v>
      </c>
      <c r="AP86" s="40">
        <v>247340</v>
      </c>
      <c r="AQ86" s="39">
        <v>55121000</v>
      </c>
      <c r="AR86" s="44">
        <v>959.57732012603799</v>
      </c>
      <c r="AS86" s="39">
        <v>57443</v>
      </c>
      <c r="AT86" s="46">
        <v>61363000</v>
      </c>
      <c r="AU86" s="50">
        <v>1044.369936687317</v>
      </c>
      <c r="AV86" s="39">
        <v>58756</v>
      </c>
      <c r="AW86" s="46">
        <v>61445000</v>
      </c>
      <c r="AX86" s="47">
        <v>1016.75</v>
      </c>
      <c r="AY86" s="39">
        <v>60432</v>
      </c>
      <c r="AZ86" s="41">
        <v>72.599999999999994</v>
      </c>
      <c r="BA86" s="41">
        <v>15.152568175800901</v>
      </c>
      <c r="BB86" s="46">
        <v>470000</v>
      </c>
      <c r="BC86" s="48">
        <v>2974.6835443037976</v>
      </c>
      <c r="BD86" s="40">
        <v>158</v>
      </c>
      <c r="BE86" s="46">
        <v>19184000</v>
      </c>
      <c r="BF86" s="44">
        <v>6025.1256281407032</v>
      </c>
      <c r="BG86" s="40">
        <v>3184</v>
      </c>
      <c r="BH86" s="49" t="s">
        <v>382</v>
      </c>
      <c r="BI86" s="49" t="s">
        <v>382</v>
      </c>
      <c r="BJ86" s="213">
        <v>0</v>
      </c>
      <c r="BK86" s="47">
        <v>206.91688397528466</v>
      </c>
      <c r="BL86" s="55">
        <v>32268000</v>
      </c>
      <c r="BM86" s="41">
        <v>19.155150306311441</v>
      </c>
      <c r="BN86" s="56">
        <v>4625000</v>
      </c>
      <c r="BO86" s="41">
        <v>2.745524053758845</v>
      </c>
      <c r="BP86" s="56">
        <v>32417000</v>
      </c>
      <c r="BQ86" s="41">
        <v>19.24360070285416</v>
      </c>
      <c r="BR86" s="39">
        <v>23711000</v>
      </c>
      <c r="BS86" s="41">
        <v>14.075485586740752</v>
      </c>
      <c r="BT86" s="39">
        <v>33222000</v>
      </c>
      <c r="BU86" s="41">
        <v>19.721470294913807</v>
      </c>
      <c r="BV86" s="56">
        <v>33485000</v>
      </c>
      <c r="BW86" s="41">
        <v>19.877594149214037</v>
      </c>
      <c r="BX86" s="40">
        <v>8728000</v>
      </c>
      <c r="BY86" s="41">
        <v>5.1811749062069614</v>
      </c>
      <c r="BZ86" s="57">
        <v>161.3981033171942</v>
      </c>
      <c r="CA86" s="58">
        <v>162.14337161378097</v>
      </c>
      <c r="CB86" s="43" t="s">
        <v>382</v>
      </c>
      <c r="CC86" s="47">
        <v>118.59769517026129</v>
      </c>
      <c r="CD86" s="58">
        <v>125.96034572446081</v>
      </c>
      <c r="CE86" s="59">
        <v>23.133327998079309</v>
      </c>
      <c r="CF86" s="59">
        <v>43.655716057780801</v>
      </c>
      <c r="CG86" s="59">
        <v>40.209475411148013</v>
      </c>
      <c r="CH86" s="47">
        <v>167.48529470609418</v>
      </c>
      <c r="CI86" s="43" t="s">
        <v>382</v>
      </c>
      <c r="CJ86" s="44">
        <v>371.16097431824198</v>
      </c>
      <c r="CK86" s="60">
        <v>68.425308008213548</v>
      </c>
      <c r="CL86" s="53">
        <v>15549</v>
      </c>
      <c r="CM86" s="41">
        <v>19.955082135523615</v>
      </c>
      <c r="CN86" s="53">
        <v>13861</v>
      </c>
      <c r="CO86" s="41">
        <v>17.788757700205338</v>
      </c>
      <c r="CP86" s="54">
        <v>24603</v>
      </c>
      <c r="CQ86" s="41">
        <v>31.574691991786448</v>
      </c>
      <c r="CR86" s="43">
        <v>49675</v>
      </c>
      <c r="CS86" s="52">
        <v>47.844992450931052</v>
      </c>
      <c r="CT86" s="41">
        <v>875.67</v>
      </c>
      <c r="CU86" s="41">
        <v>4.3799267736385099</v>
      </c>
      <c r="CV86" s="52">
        <v>1597.9</v>
      </c>
      <c r="CW86" s="38">
        <v>3</v>
      </c>
      <c r="CX86" s="38">
        <v>26</v>
      </c>
      <c r="CY86" s="51">
        <v>5</v>
      </c>
      <c r="CZ86" s="41">
        <v>0</v>
      </c>
      <c r="DA86" s="39">
        <v>31765000</v>
      </c>
      <c r="DB86" s="39">
        <v>38439000</v>
      </c>
      <c r="DC86" s="39">
        <v>33251000</v>
      </c>
      <c r="DD86" s="39">
        <v>39345000</v>
      </c>
      <c r="DE86" s="39">
        <v>17670000</v>
      </c>
      <c r="DF86" s="62">
        <v>16021000</v>
      </c>
      <c r="DG86" s="41">
        <v>110.28999999999999</v>
      </c>
      <c r="DH86" s="41">
        <v>96.71</v>
      </c>
      <c r="DI86" s="41">
        <v>3.9800000000000004</v>
      </c>
      <c r="DJ86" s="37" t="s">
        <v>390</v>
      </c>
      <c r="DK86" s="40">
        <v>134000</v>
      </c>
      <c r="DL86" s="40">
        <v>312000</v>
      </c>
      <c r="DM86" s="40">
        <v>47707</v>
      </c>
      <c r="DN86" s="40">
        <v>59280</v>
      </c>
      <c r="DO86" s="40">
        <v>3466</v>
      </c>
      <c r="DP86" s="40">
        <v>391776</v>
      </c>
      <c r="DQ86" s="64">
        <v>5</v>
      </c>
      <c r="DR86" s="40">
        <v>9130</v>
      </c>
      <c r="DS86" s="65">
        <v>0</v>
      </c>
      <c r="DT86" s="38">
        <v>11</v>
      </c>
      <c r="DU86" s="66">
        <v>18175.272727272728</v>
      </c>
      <c r="DV86" s="41">
        <v>27.27272727272727</v>
      </c>
      <c r="DW86" s="41">
        <v>72.727272727272734</v>
      </c>
      <c r="DX86" s="41">
        <v>0</v>
      </c>
      <c r="DY86" s="41">
        <v>45.454545454545453</v>
      </c>
      <c r="DZ86" s="41">
        <v>0</v>
      </c>
      <c r="EA86" s="41">
        <v>81.818181818181827</v>
      </c>
      <c r="EB86" s="41">
        <v>18.181818181818183</v>
      </c>
      <c r="EC86" s="40">
        <v>704</v>
      </c>
      <c r="ED86" s="184">
        <v>283.98863636363637</v>
      </c>
    </row>
    <row r="87" spans="1:134" s="13" customFormat="1">
      <c r="A87" s="156" t="s">
        <v>235</v>
      </c>
      <c r="B87" s="285">
        <v>2014</v>
      </c>
      <c r="C87" s="259">
        <v>10</v>
      </c>
      <c r="D87" s="80" t="s">
        <v>345</v>
      </c>
      <c r="E87" s="56">
        <v>5082.3</v>
      </c>
      <c r="F87" s="56">
        <v>7819</v>
      </c>
      <c r="G87" s="82">
        <v>1.3086291785436641</v>
      </c>
      <c r="H87" s="179">
        <v>1.5</v>
      </c>
      <c r="I87" s="56">
        <v>3962</v>
      </c>
      <c r="J87" s="56">
        <v>50.671441360787824</v>
      </c>
      <c r="K87" s="56">
        <v>3857</v>
      </c>
      <c r="L87" s="84">
        <v>49.328558639212176</v>
      </c>
      <c r="M87" s="160">
        <v>24.504412328942323</v>
      </c>
      <c r="N87" s="160">
        <v>47.231103721703541</v>
      </c>
      <c r="O87" s="160">
        <v>28.264483949354137</v>
      </c>
      <c r="P87" s="160">
        <v>34.569638061133141</v>
      </c>
      <c r="Q87" s="160">
        <v>37.165877989512722</v>
      </c>
      <c r="R87" s="160">
        <v>28.264483949354137</v>
      </c>
      <c r="S87" s="83">
        <v>10.910549538708384</v>
      </c>
      <c r="T87" s="83">
        <v>1.4</v>
      </c>
      <c r="U87" s="80">
        <v>19</v>
      </c>
      <c r="V87" s="84">
        <v>9.1</v>
      </c>
      <c r="W87" s="81">
        <v>39802</v>
      </c>
      <c r="X87" s="84">
        <v>2.4</v>
      </c>
      <c r="Y87" s="85" t="s">
        <v>351</v>
      </c>
      <c r="Z87" s="46">
        <v>982</v>
      </c>
      <c r="AA87" s="91">
        <v>12</v>
      </c>
      <c r="AB87" s="96">
        <v>70</v>
      </c>
      <c r="AC87" s="92">
        <v>13084.415999999999</v>
      </c>
      <c r="AD87" s="46">
        <v>44</v>
      </c>
      <c r="AE87" s="44">
        <v>-3.35</v>
      </c>
      <c r="AF87" s="44">
        <v>2.1133000000000002</v>
      </c>
      <c r="AG87" s="41">
        <v>63.87</v>
      </c>
      <c r="AH87" s="41">
        <v>36.130000000000003</v>
      </c>
      <c r="AI87" s="44">
        <v>8.4499999999999993</v>
      </c>
      <c r="AJ87" s="41">
        <v>2.113</v>
      </c>
      <c r="AK87" s="41">
        <v>12.845867328840013</v>
      </c>
      <c r="AL87" s="41">
        <v>10.332000000000001</v>
      </c>
      <c r="AM87" s="39">
        <v>22484</v>
      </c>
      <c r="AN87" s="39">
        <v>20870</v>
      </c>
      <c r="AO87" s="81">
        <v>23308</v>
      </c>
      <c r="AP87" s="81">
        <v>24034</v>
      </c>
      <c r="AQ87" s="56">
        <v>1493000</v>
      </c>
      <c r="AR87" s="44">
        <v>519.48503827418233</v>
      </c>
      <c r="AS87" s="56">
        <v>2874</v>
      </c>
      <c r="AT87" s="46">
        <v>1634000</v>
      </c>
      <c r="AU87" s="50">
        <v>567.75538568450315</v>
      </c>
      <c r="AV87" s="56">
        <v>2878</v>
      </c>
      <c r="AW87" s="46">
        <v>1770000</v>
      </c>
      <c r="AX87" s="47">
        <v>609.08465244322088</v>
      </c>
      <c r="AY87" s="56">
        <v>2906</v>
      </c>
      <c r="AZ87" s="41">
        <v>60.4</v>
      </c>
      <c r="BA87" s="84">
        <v>30.144528561596694</v>
      </c>
      <c r="BB87" s="74">
        <v>3882000</v>
      </c>
      <c r="BC87" s="48">
        <v>3909.3655589123869</v>
      </c>
      <c r="BD87" s="40">
        <v>993</v>
      </c>
      <c r="BE87" s="46">
        <v>451000</v>
      </c>
      <c r="BF87" s="44">
        <v>1259.7765363128492</v>
      </c>
      <c r="BG87" s="81">
        <v>358</v>
      </c>
      <c r="BH87" s="74">
        <v>272000</v>
      </c>
      <c r="BI87" s="49">
        <v>68000</v>
      </c>
      <c r="BJ87" s="214">
        <v>4</v>
      </c>
      <c r="BK87" s="86">
        <v>221.90984</v>
      </c>
      <c r="BL87" s="55">
        <v>2606000</v>
      </c>
      <c r="BM87" s="84">
        <v>11.180710485670156</v>
      </c>
      <c r="BN87" s="56">
        <v>4235000</v>
      </c>
      <c r="BO87" s="41">
        <v>18.169727132315085</v>
      </c>
      <c r="BP87" s="56">
        <v>2887000</v>
      </c>
      <c r="BQ87" s="41">
        <v>12.386305131285395</v>
      </c>
      <c r="BR87" s="56">
        <v>1260000</v>
      </c>
      <c r="BS87" s="41">
        <v>5.4058692294491157</v>
      </c>
      <c r="BT87" s="56">
        <v>2205000</v>
      </c>
      <c r="BU87" s="41">
        <v>9.4602711515359541</v>
      </c>
      <c r="BV87" s="56">
        <v>9227000</v>
      </c>
      <c r="BW87" s="41">
        <v>39.58726617470397</v>
      </c>
      <c r="BX87" s="81">
        <v>888000</v>
      </c>
      <c r="BY87" s="41">
        <v>3.8098506950403297</v>
      </c>
      <c r="BZ87" s="57">
        <v>333.29070213582298</v>
      </c>
      <c r="CA87" s="58">
        <v>369.22880163703798</v>
      </c>
      <c r="CB87" s="217">
        <v>445.32548919299143</v>
      </c>
      <c r="CC87" s="86">
        <v>161.14592658907787</v>
      </c>
      <c r="CD87" s="58">
        <v>228.16216907532933</v>
      </c>
      <c r="CE87" s="58">
        <v>96.30387517585369</v>
      </c>
      <c r="CF87" s="58">
        <v>113.5695101675406</v>
      </c>
      <c r="CG87" s="58">
        <v>53.843202455556977</v>
      </c>
      <c r="CH87" s="47">
        <v>1180.0741782836681</v>
      </c>
      <c r="CI87" s="43">
        <v>1316</v>
      </c>
      <c r="CJ87" s="50">
        <v>305.57467309015829</v>
      </c>
      <c r="CK87" s="89">
        <v>55.798091260890068</v>
      </c>
      <c r="CL87" s="53">
        <v>1293.6280000000002</v>
      </c>
      <c r="CM87" s="41">
        <v>36.150128210573854</v>
      </c>
      <c r="CN87" s="53">
        <v>696.1</v>
      </c>
      <c r="CO87" s="41">
        <v>19.452349707474216</v>
      </c>
      <c r="CP87" s="54">
        <v>1581.76</v>
      </c>
      <c r="CQ87" s="41">
        <v>44.201908739109925</v>
      </c>
      <c r="CR87" s="46">
        <v>5639</v>
      </c>
      <c r="CS87" s="87">
        <v>38.570668558255008</v>
      </c>
      <c r="CT87" s="84">
        <v>1394.25</v>
      </c>
      <c r="CU87" s="41">
        <v>178.31564138636654</v>
      </c>
      <c r="CV87" s="87">
        <v>90</v>
      </c>
      <c r="CW87" s="80">
        <v>2</v>
      </c>
      <c r="CX87" s="80">
        <v>9</v>
      </c>
      <c r="CY87" s="51">
        <v>3</v>
      </c>
      <c r="CZ87" s="84">
        <v>4.3607878245299911</v>
      </c>
      <c r="DA87" s="56">
        <v>3752000</v>
      </c>
      <c r="DB87" s="56">
        <v>5196000</v>
      </c>
      <c r="DC87" s="56">
        <v>5781000</v>
      </c>
      <c r="DD87" s="56">
        <v>4688000</v>
      </c>
      <c r="DE87" s="56">
        <v>7480000</v>
      </c>
      <c r="DF87" s="55">
        <v>6537000</v>
      </c>
      <c r="DG87" s="41">
        <v>114.43</v>
      </c>
      <c r="DH87" s="41">
        <v>52.14</v>
      </c>
      <c r="DI87" s="41">
        <v>1.5</v>
      </c>
      <c r="DJ87" s="37" t="s">
        <v>390</v>
      </c>
      <c r="DK87" s="81">
        <v>56000</v>
      </c>
      <c r="DL87" s="40">
        <v>98000</v>
      </c>
      <c r="DM87" s="81">
        <v>2026.26</v>
      </c>
      <c r="DN87" s="81">
        <v>21854.54</v>
      </c>
      <c r="DO87" s="81">
        <v>6158</v>
      </c>
      <c r="DP87" s="81">
        <v>224567</v>
      </c>
      <c r="DQ87" s="93">
        <v>0</v>
      </c>
      <c r="DR87" s="40">
        <v>0</v>
      </c>
      <c r="DS87" s="94">
        <v>1</v>
      </c>
      <c r="DT87" s="80">
        <v>7</v>
      </c>
      <c r="DU87" s="66">
        <v>1117</v>
      </c>
      <c r="DV87" s="41">
        <v>14.285714285714285</v>
      </c>
      <c r="DW87" s="41">
        <v>85.714285714285708</v>
      </c>
      <c r="DX87" s="41">
        <v>0</v>
      </c>
      <c r="DY87" s="41">
        <v>0</v>
      </c>
      <c r="DZ87" s="41">
        <v>0</v>
      </c>
      <c r="EA87" s="41">
        <v>42.857142857142854</v>
      </c>
      <c r="EB87" s="41">
        <v>57.142857142857139</v>
      </c>
      <c r="EC87" s="81">
        <v>113</v>
      </c>
      <c r="ED87" s="185">
        <v>69.194690265486727</v>
      </c>
    </row>
    <row r="88" spans="1:134" s="13" customFormat="1">
      <c r="A88" s="156" t="s">
        <v>236</v>
      </c>
      <c r="B88" s="285">
        <v>2014</v>
      </c>
      <c r="C88" s="259">
        <v>9</v>
      </c>
      <c r="D88" s="80" t="s">
        <v>344</v>
      </c>
      <c r="E88" s="56">
        <v>2895.9</v>
      </c>
      <c r="F88" s="56">
        <v>3080</v>
      </c>
      <c r="G88" s="82">
        <v>-2.5007913896802783</v>
      </c>
      <c r="H88" s="179">
        <v>1.1000000000000001</v>
      </c>
      <c r="I88" s="56">
        <v>1592</v>
      </c>
      <c r="J88" s="56">
        <v>51.688311688311686</v>
      </c>
      <c r="K88" s="56">
        <v>1488</v>
      </c>
      <c r="L88" s="84">
        <v>48.311688311688314</v>
      </c>
      <c r="M88" s="160">
        <v>26.331168831168831</v>
      </c>
      <c r="N88" s="160">
        <v>43.214285714285715</v>
      </c>
      <c r="O88" s="160">
        <v>30.454545454545457</v>
      </c>
      <c r="P88" s="160">
        <v>32.922077922077925</v>
      </c>
      <c r="Q88" s="160">
        <v>36.623376623376622</v>
      </c>
      <c r="R88" s="160">
        <v>30.454545454545457</v>
      </c>
      <c r="S88" s="83">
        <v>2.5367156208277701</v>
      </c>
      <c r="T88" s="83">
        <v>1.2</v>
      </c>
      <c r="U88" s="38">
        <v>102</v>
      </c>
      <c r="V88" s="41">
        <v>3.2</v>
      </c>
      <c r="W88" s="40">
        <v>44953</v>
      </c>
      <c r="X88" s="41">
        <v>2.5</v>
      </c>
      <c r="Y88" s="42" t="s">
        <v>351</v>
      </c>
      <c r="Z88" s="38">
        <v>351</v>
      </c>
      <c r="AA88" s="45">
        <v>0</v>
      </c>
      <c r="AB88" s="67">
        <v>47</v>
      </c>
      <c r="AC88" s="63">
        <v>3465.6770000000001</v>
      </c>
      <c r="AD88" s="43">
        <v>18</v>
      </c>
      <c r="AE88" s="44">
        <v>10.99</v>
      </c>
      <c r="AF88" s="44">
        <v>10.439500000000001</v>
      </c>
      <c r="AG88" s="41">
        <v>39</v>
      </c>
      <c r="AH88" s="41">
        <v>61</v>
      </c>
      <c r="AI88" s="44">
        <v>3.95</v>
      </c>
      <c r="AJ88" s="41">
        <v>39.6</v>
      </c>
      <c r="AK88" s="41">
        <v>1.034233116144379</v>
      </c>
      <c r="AL88" s="41">
        <v>13.709899999999999</v>
      </c>
      <c r="AM88" s="39">
        <v>7061</v>
      </c>
      <c r="AN88" s="39">
        <v>7509</v>
      </c>
      <c r="AO88" s="40">
        <v>8606</v>
      </c>
      <c r="AP88" s="40">
        <v>9936</v>
      </c>
      <c r="AQ88" s="39">
        <v>266000</v>
      </c>
      <c r="AR88" s="44">
        <v>231.50565709312446</v>
      </c>
      <c r="AS88" s="39">
        <v>1149</v>
      </c>
      <c r="AT88" s="46">
        <v>289000</v>
      </c>
      <c r="AU88" s="50">
        <v>250.87</v>
      </c>
      <c r="AV88" s="39">
        <v>1152</v>
      </c>
      <c r="AW88" s="46">
        <v>295000</v>
      </c>
      <c r="AX88" s="47">
        <v>258.54513584574931</v>
      </c>
      <c r="AY88" s="39">
        <v>1141</v>
      </c>
      <c r="AZ88" s="41">
        <v>65.7</v>
      </c>
      <c r="BA88" s="41">
        <v>25.416301489921121</v>
      </c>
      <c r="BB88" s="46">
        <v>1786000</v>
      </c>
      <c r="BC88" s="48">
        <v>1562.554680664917</v>
      </c>
      <c r="BD88" s="40">
        <v>1143</v>
      </c>
      <c r="BE88" s="46">
        <v>92000</v>
      </c>
      <c r="BF88" s="44">
        <v>412.55605381165918</v>
      </c>
      <c r="BG88" s="40">
        <v>223</v>
      </c>
      <c r="BH88" s="49" t="s">
        <v>382</v>
      </c>
      <c r="BI88" s="49" t="s">
        <v>382</v>
      </c>
      <c r="BJ88" s="213">
        <v>0</v>
      </c>
      <c r="BK88" s="47">
        <v>287.15477910722501</v>
      </c>
      <c r="BL88" s="55">
        <v>1711000</v>
      </c>
      <c r="BM88" s="41">
        <v>19.881478038577736</v>
      </c>
      <c r="BN88" s="56">
        <v>607000</v>
      </c>
      <c r="BO88" s="41">
        <v>7.0532186846386233</v>
      </c>
      <c r="BP88" s="56">
        <v>918000</v>
      </c>
      <c r="BQ88" s="41">
        <v>10.666976528003719</v>
      </c>
      <c r="BR88" s="39">
        <v>280000</v>
      </c>
      <c r="BS88" s="41">
        <v>3.253544039042529</v>
      </c>
      <c r="BT88" s="39">
        <v>817000</v>
      </c>
      <c r="BU88" s="41">
        <v>9.4933767139205205</v>
      </c>
      <c r="BV88" s="56">
        <v>3141000</v>
      </c>
      <c r="BW88" s="41">
        <v>36.497792237973506</v>
      </c>
      <c r="BX88" s="40">
        <v>1132000</v>
      </c>
      <c r="BY88" s="41">
        <v>13.153613757843367</v>
      </c>
      <c r="BZ88" s="57">
        <v>555.51948051948057</v>
      </c>
      <c r="CA88" s="58">
        <v>298.05194805194805</v>
      </c>
      <c r="CB88" s="59">
        <v>125.97402597402598</v>
      </c>
      <c r="CC88" s="47">
        <v>90.909090909090907</v>
      </c>
      <c r="CD88" s="58">
        <v>230.84415584415584</v>
      </c>
      <c r="CE88" s="59">
        <v>71.103896103896105</v>
      </c>
      <c r="CF88" s="59">
        <v>367.53246753246754</v>
      </c>
      <c r="CG88" s="59">
        <v>34.415584415584412</v>
      </c>
      <c r="CH88" s="47">
        <v>1019.8051948051948</v>
      </c>
      <c r="CI88" s="43" t="s">
        <v>382</v>
      </c>
      <c r="CJ88" s="44">
        <v>298.86064855390009</v>
      </c>
      <c r="CK88" s="60">
        <v>35.242409229244814</v>
      </c>
      <c r="CL88" s="53">
        <v>305.74</v>
      </c>
      <c r="CM88" s="41">
        <v>21.639181824616038</v>
      </c>
      <c r="CN88" s="53">
        <v>192.2</v>
      </c>
      <c r="CO88" s="41">
        <v>13.603227404628775</v>
      </c>
      <c r="CP88" s="54">
        <v>914.7</v>
      </c>
      <c r="CQ88" s="41">
        <v>64.739188902257766</v>
      </c>
      <c r="CR88" s="43">
        <v>1763</v>
      </c>
      <c r="CS88" s="52">
        <v>43.16505955757232</v>
      </c>
      <c r="CT88" s="41">
        <v>1630.44</v>
      </c>
      <c r="CU88" s="41">
        <v>529.36363636363637</v>
      </c>
      <c r="CV88" s="52">
        <v>37</v>
      </c>
      <c r="CW88" s="38">
        <v>2</v>
      </c>
      <c r="CX88" s="38">
        <v>8</v>
      </c>
      <c r="CY88" s="51">
        <v>0</v>
      </c>
      <c r="CZ88" s="41">
        <v>2.4704545454545452</v>
      </c>
      <c r="DA88" s="39">
        <v>1234000</v>
      </c>
      <c r="DB88" s="39">
        <v>1197000</v>
      </c>
      <c r="DC88" s="39">
        <v>1669000</v>
      </c>
      <c r="DD88" s="39">
        <v>1457000</v>
      </c>
      <c r="DE88" s="39">
        <v>1658000</v>
      </c>
      <c r="DF88" s="62">
        <v>1361000</v>
      </c>
      <c r="DG88" s="41">
        <v>121.82</v>
      </c>
      <c r="DH88" s="41">
        <v>89.22</v>
      </c>
      <c r="DI88" s="41">
        <v>0</v>
      </c>
      <c r="DJ88" s="37" t="s">
        <v>390</v>
      </c>
      <c r="DK88" s="40">
        <v>24000</v>
      </c>
      <c r="DL88" s="40">
        <v>96000</v>
      </c>
      <c r="DM88" s="40">
        <v>0</v>
      </c>
      <c r="DN88" s="40">
        <v>13023</v>
      </c>
      <c r="DO88" s="40">
        <v>6732</v>
      </c>
      <c r="DP88" s="40">
        <v>174250</v>
      </c>
      <c r="DQ88" s="64">
        <v>0</v>
      </c>
      <c r="DR88" s="40">
        <v>0</v>
      </c>
      <c r="DS88" s="65">
        <v>0</v>
      </c>
      <c r="DT88" s="38">
        <v>9</v>
      </c>
      <c r="DU88" s="66">
        <v>342.22222222222223</v>
      </c>
      <c r="DV88" s="41">
        <v>11.111111111111111</v>
      </c>
      <c r="DW88" s="41">
        <v>88.888888888888886</v>
      </c>
      <c r="DX88" s="41">
        <v>0</v>
      </c>
      <c r="DY88" s="41">
        <v>0</v>
      </c>
      <c r="DZ88" s="41">
        <v>0</v>
      </c>
      <c r="EA88" s="41">
        <v>55.555555555555557</v>
      </c>
      <c r="EB88" s="41">
        <v>44.444444444444443</v>
      </c>
      <c r="EC88" s="40">
        <v>48</v>
      </c>
      <c r="ED88" s="184">
        <v>64.166666666666671</v>
      </c>
    </row>
    <row r="89" spans="1:134" s="13" customFormat="1">
      <c r="A89" s="156" t="s">
        <v>237</v>
      </c>
      <c r="B89" s="285">
        <v>2014</v>
      </c>
      <c r="C89" s="259">
        <v>5</v>
      </c>
      <c r="D89" s="80" t="s">
        <v>342</v>
      </c>
      <c r="E89" s="56">
        <v>391.5</v>
      </c>
      <c r="F89" s="56">
        <v>75170</v>
      </c>
      <c r="G89" s="82">
        <v>11.747041684010227</v>
      </c>
      <c r="H89" s="179">
        <v>192</v>
      </c>
      <c r="I89" s="56">
        <v>37430</v>
      </c>
      <c r="J89" s="56">
        <v>49.793800718371692</v>
      </c>
      <c r="K89" s="56">
        <v>37740</v>
      </c>
      <c r="L89" s="84">
        <v>50.206199281628308</v>
      </c>
      <c r="M89" s="160">
        <v>28.351736064919514</v>
      </c>
      <c r="N89" s="160">
        <v>53.200744978049755</v>
      </c>
      <c r="O89" s="160">
        <v>18.447518957030731</v>
      </c>
      <c r="P89" s="160">
        <v>41.813223360383134</v>
      </c>
      <c r="Q89" s="160">
        <v>39.739257682586135</v>
      </c>
      <c r="R89" s="160">
        <v>18.447518957030731</v>
      </c>
      <c r="S89" s="83">
        <v>3.4884410195613516</v>
      </c>
      <c r="T89" s="83">
        <v>3.1</v>
      </c>
      <c r="U89" s="38">
        <v>107</v>
      </c>
      <c r="V89" s="41">
        <v>9</v>
      </c>
      <c r="W89" s="40">
        <v>52413</v>
      </c>
      <c r="X89" s="41">
        <v>2.7</v>
      </c>
      <c r="Y89" s="42" t="s">
        <v>95</v>
      </c>
      <c r="Z89" s="43">
        <v>4848</v>
      </c>
      <c r="AA89" s="45">
        <v>41</v>
      </c>
      <c r="AB89" s="63">
        <v>988</v>
      </c>
      <c r="AC89" s="63">
        <v>228566.67</v>
      </c>
      <c r="AD89" s="43">
        <v>56</v>
      </c>
      <c r="AE89" s="44">
        <v>-2.0499999999999998</v>
      </c>
      <c r="AF89" s="44">
        <v>3.1616000000000004</v>
      </c>
      <c r="AG89" s="41">
        <v>55.36</v>
      </c>
      <c r="AH89" s="41">
        <v>44.64</v>
      </c>
      <c r="AI89" s="44">
        <v>2.41</v>
      </c>
      <c r="AJ89" s="41">
        <v>3.7368999999999999</v>
      </c>
      <c r="AK89" s="41">
        <v>5.3974783834228468</v>
      </c>
      <c r="AL89" s="41">
        <v>13.8001</v>
      </c>
      <c r="AM89" s="39">
        <v>71858</v>
      </c>
      <c r="AN89" s="39">
        <v>74571</v>
      </c>
      <c r="AO89" s="40">
        <v>80376</v>
      </c>
      <c r="AP89" s="40">
        <v>121354</v>
      </c>
      <c r="AQ89" s="39">
        <v>25329000</v>
      </c>
      <c r="AR89" s="44">
        <v>939.11979533573094</v>
      </c>
      <c r="AS89" s="39">
        <v>26971</v>
      </c>
      <c r="AT89" s="46">
        <v>26941000</v>
      </c>
      <c r="AU89" s="50">
        <v>980.38573508005823</v>
      </c>
      <c r="AV89" s="39">
        <v>27480</v>
      </c>
      <c r="AW89" s="46">
        <v>29769000</v>
      </c>
      <c r="AX89" s="47">
        <v>1055.7131711468899</v>
      </c>
      <c r="AY89" s="39">
        <v>28198</v>
      </c>
      <c r="AZ89" s="41">
        <v>73.5</v>
      </c>
      <c r="BA89" s="41">
        <v>17.483509468756651</v>
      </c>
      <c r="BB89" s="46">
        <v>1934000</v>
      </c>
      <c r="BC89" s="48">
        <v>2844.1176470588234</v>
      </c>
      <c r="BD89" s="40">
        <v>680</v>
      </c>
      <c r="BE89" s="46">
        <v>10577000</v>
      </c>
      <c r="BF89" s="44">
        <v>5701.8867924528304</v>
      </c>
      <c r="BG89" s="40">
        <v>1855</v>
      </c>
      <c r="BH89" s="46">
        <v>326000</v>
      </c>
      <c r="BI89" s="49">
        <v>163000</v>
      </c>
      <c r="BJ89" s="45">
        <v>2</v>
      </c>
      <c r="BK89" s="47">
        <v>126.69093355395954</v>
      </c>
      <c r="BL89" s="55">
        <v>13896000</v>
      </c>
      <c r="BM89" s="41">
        <v>17.288742908330846</v>
      </c>
      <c r="BN89" s="56">
        <v>2553000</v>
      </c>
      <c r="BO89" s="41">
        <v>3.1763212899372952</v>
      </c>
      <c r="BP89" s="56">
        <v>15656000</v>
      </c>
      <c r="BQ89" s="41">
        <v>19.478451278988754</v>
      </c>
      <c r="BR89" s="39">
        <v>6126000</v>
      </c>
      <c r="BS89" s="41">
        <v>7.6216781128695139</v>
      </c>
      <c r="BT89" s="39">
        <v>17906000</v>
      </c>
      <c r="BU89" s="41">
        <v>22.277794366477554</v>
      </c>
      <c r="BV89" s="56">
        <v>19325000</v>
      </c>
      <c r="BW89" s="41">
        <v>24.043246740320491</v>
      </c>
      <c r="BX89" s="40">
        <v>4914000</v>
      </c>
      <c r="BY89" s="41">
        <v>6.113765303075545</v>
      </c>
      <c r="BZ89" s="57">
        <v>184.86098177464413</v>
      </c>
      <c r="CA89" s="58">
        <v>208.27457762405214</v>
      </c>
      <c r="CB89" s="43" t="s">
        <v>382</v>
      </c>
      <c r="CC89" s="47">
        <v>81.495277371291735</v>
      </c>
      <c r="CD89" s="58">
        <v>198.21737395237463</v>
      </c>
      <c r="CE89" s="59">
        <v>33.963017161101504</v>
      </c>
      <c r="CF89" s="59">
        <v>65.371823865903949</v>
      </c>
      <c r="CG89" s="59">
        <v>39.989357456432089</v>
      </c>
      <c r="CH89" s="47">
        <v>257.08394306239194</v>
      </c>
      <c r="CI89" s="43" t="s">
        <v>382</v>
      </c>
      <c r="CJ89" s="44">
        <v>362.43705227321084</v>
      </c>
      <c r="CK89" s="60">
        <v>29.776573559353814</v>
      </c>
      <c r="CL89" s="53">
        <v>7254.7815840000003</v>
      </c>
      <c r="CM89" s="41">
        <v>17.230728935399213</v>
      </c>
      <c r="CN89" s="53">
        <v>4271.01</v>
      </c>
      <c r="CO89" s="41">
        <v>10.144015328136637</v>
      </c>
      <c r="CP89" s="54">
        <v>29566.690000000002</v>
      </c>
      <c r="CQ89" s="41">
        <v>70.223426440646193</v>
      </c>
      <c r="CR89" s="43">
        <v>36927</v>
      </c>
      <c r="CS89" s="52">
        <v>47.038752132585913</v>
      </c>
      <c r="CT89" s="41">
        <v>687.26</v>
      </c>
      <c r="CU89" s="41">
        <v>9.1427431156046293</v>
      </c>
      <c r="CV89" s="52">
        <v>513</v>
      </c>
      <c r="CW89" s="38">
        <v>2</v>
      </c>
      <c r="CX89" s="38">
        <v>15</v>
      </c>
      <c r="CY89" s="51">
        <v>4</v>
      </c>
      <c r="CZ89" s="41">
        <v>6.2376746042304108</v>
      </c>
      <c r="DA89" s="39">
        <v>4238000</v>
      </c>
      <c r="DB89" s="39">
        <v>11053000</v>
      </c>
      <c r="DC89" s="39">
        <v>8089000</v>
      </c>
      <c r="DD89" s="39">
        <v>10866000</v>
      </c>
      <c r="DE89" s="39">
        <v>5627000</v>
      </c>
      <c r="DF89" s="62">
        <v>8451000</v>
      </c>
      <c r="DG89" s="41">
        <v>66.58</v>
      </c>
      <c r="DH89" s="41">
        <v>185.41</v>
      </c>
      <c r="DI89" s="41">
        <v>12.58</v>
      </c>
      <c r="DJ89" s="37" t="s">
        <v>390</v>
      </c>
      <c r="DK89" s="40">
        <v>113000</v>
      </c>
      <c r="DL89" s="40">
        <v>273000</v>
      </c>
      <c r="DM89" s="40">
        <v>0</v>
      </c>
      <c r="DN89" s="40">
        <v>24446</v>
      </c>
      <c r="DO89" s="40">
        <v>8480</v>
      </c>
      <c r="DP89" s="40">
        <v>430000</v>
      </c>
      <c r="DQ89" s="64">
        <v>0</v>
      </c>
      <c r="DR89" s="40">
        <v>0</v>
      </c>
      <c r="DS89" s="65">
        <v>0</v>
      </c>
      <c r="DT89" s="38">
        <v>13</v>
      </c>
      <c r="DU89" s="66">
        <v>5782.3076923076924</v>
      </c>
      <c r="DV89" s="41">
        <v>15.384615384615385</v>
      </c>
      <c r="DW89" s="41">
        <v>84.615384615384613</v>
      </c>
      <c r="DX89" s="41">
        <v>0</v>
      </c>
      <c r="DY89" s="41">
        <v>0</v>
      </c>
      <c r="DZ89" s="41">
        <v>0</v>
      </c>
      <c r="EA89" s="41">
        <v>46.153846153846153</v>
      </c>
      <c r="EB89" s="41">
        <v>53.846153846153847</v>
      </c>
      <c r="EC89" s="40">
        <v>369</v>
      </c>
      <c r="ED89" s="184">
        <v>203.71273712737127</v>
      </c>
    </row>
    <row r="90" spans="1:134" s="13" customFormat="1">
      <c r="A90" s="156" t="s">
        <v>238</v>
      </c>
      <c r="B90" s="285">
        <v>2014</v>
      </c>
      <c r="C90" s="259">
        <v>2</v>
      </c>
      <c r="D90" s="80" t="s">
        <v>343</v>
      </c>
      <c r="E90" s="56">
        <v>14.4</v>
      </c>
      <c r="F90" s="56">
        <v>44786</v>
      </c>
      <c r="G90" s="82">
        <v>9.3995798524598175</v>
      </c>
      <c r="H90" s="179">
        <v>3119.8</v>
      </c>
      <c r="I90" s="56">
        <v>22058</v>
      </c>
      <c r="J90" s="56">
        <v>49.25199839235475</v>
      </c>
      <c r="K90" s="56">
        <v>22728</v>
      </c>
      <c r="L90" s="84">
        <v>50.748001607645243</v>
      </c>
      <c r="M90" s="160">
        <v>23.485017639440898</v>
      </c>
      <c r="N90" s="160">
        <v>58.16773098736212</v>
      </c>
      <c r="O90" s="160">
        <v>18.347251373196983</v>
      </c>
      <c r="P90" s="160">
        <v>36.417630509534227</v>
      </c>
      <c r="Q90" s="160">
        <v>45.23511811726879</v>
      </c>
      <c r="R90" s="160">
        <v>18.347251373196983</v>
      </c>
      <c r="S90" s="83">
        <v>0.28681409917729639</v>
      </c>
      <c r="T90" s="83">
        <v>12.3</v>
      </c>
      <c r="U90" s="38">
        <v>147</v>
      </c>
      <c r="V90" s="41">
        <v>2</v>
      </c>
      <c r="W90" s="40">
        <v>87682</v>
      </c>
      <c r="X90" s="41">
        <v>2.5</v>
      </c>
      <c r="Y90" s="42" t="s">
        <v>142</v>
      </c>
      <c r="Z90" s="43">
        <v>5242</v>
      </c>
      <c r="AA90" s="45">
        <v>0</v>
      </c>
      <c r="AB90" s="63">
        <v>229</v>
      </c>
      <c r="AC90" s="63">
        <v>136683.935</v>
      </c>
      <c r="AD90" s="43">
        <v>105</v>
      </c>
      <c r="AE90" s="44">
        <v>5.29</v>
      </c>
      <c r="AF90" s="44">
        <v>2.4428000000000001</v>
      </c>
      <c r="AG90" s="41">
        <v>89.8</v>
      </c>
      <c r="AH90" s="41">
        <v>10.200000000000003</v>
      </c>
      <c r="AI90" s="44">
        <v>2.04</v>
      </c>
      <c r="AJ90" s="41">
        <v>3.0394999999999999</v>
      </c>
      <c r="AK90" s="41">
        <v>7.8453361189627628</v>
      </c>
      <c r="AL90" s="41">
        <v>9.6757000000000009</v>
      </c>
      <c r="AM90" s="39">
        <v>59525</v>
      </c>
      <c r="AN90" s="39">
        <v>59681</v>
      </c>
      <c r="AO90" s="40">
        <v>61652</v>
      </c>
      <c r="AP90" s="40">
        <v>67863</v>
      </c>
      <c r="AQ90" s="39">
        <v>20235000</v>
      </c>
      <c r="AR90" s="44">
        <v>1128.6184393998549</v>
      </c>
      <c r="AS90" s="39">
        <v>17929</v>
      </c>
      <c r="AT90" s="46">
        <v>21078000</v>
      </c>
      <c r="AU90" s="50">
        <v>1204.9391185045447</v>
      </c>
      <c r="AV90" s="39">
        <v>17493</v>
      </c>
      <c r="AW90" s="46">
        <v>21523000</v>
      </c>
      <c r="AX90" s="47">
        <v>1228.2714147120928</v>
      </c>
      <c r="AY90" s="39">
        <v>17523</v>
      </c>
      <c r="AZ90" s="41">
        <v>81.3</v>
      </c>
      <c r="BA90" s="41">
        <v>9.2164583690007422</v>
      </c>
      <c r="BB90" s="48" t="s">
        <v>382</v>
      </c>
      <c r="BC90" s="48" t="s">
        <v>382</v>
      </c>
      <c r="BD90" s="40">
        <v>0</v>
      </c>
      <c r="BE90" s="46">
        <v>5846000</v>
      </c>
      <c r="BF90" s="44">
        <v>5096.7741935483873</v>
      </c>
      <c r="BG90" s="40">
        <v>1147</v>
      </c>
      <c r="BH90" s="49" t="s">
        <v>382</v>
      </c>
      <c r="BI90" s="49" t="s">
        <v>382</v>
      </c>
      <c r="BJ90" s="213">
        <v>0</v>
      </c>
      <c r="BK90" s="47">
        <v>416.6630430413972</v>
      </c>
      <c r="BL90" s="55">
        <v>5514250</v>
      </c>
      <c r="BM90" s="41">
        <v>8.9441542853435418</v>
      </c>
      <c r="BN90" s="56">
        <v>5421000</v>
      </c>
      <c r="BO90" s="41">
        <v>8.792902095633556</v>
      </c>
      <c r="BP90" s="56">
        <v>16427000</v>
      </c>
      <c r="BQ90" s="41">
        <v>26.644715499902677</v>
      </c>
      <c r="BR90" s="39">
        <v>9254750</v>
      </c>
      <c r="BS90" s="41">
        <v>15.011272951404658</v>
      </c>
      <c r="BT90" s="39">
        <v>13530000</v>
      </c>
      <c r="BU90" s="41">
        <v>21.945760072665934</v>
      </c>
      <c r="BV90" s="56">
        <v>4565000</v>
      </c>
      <c r="BW90" s="41">
        <v>7.4044637643547659</v>
      </c>
      <c r="BX90" s="40">
        <v>6940000</v>
      </c>
      <c r="BY90" s="41">
        <v>11.256731330694867</v>
      </c>
      <c r="BZ90" s="57">
        <v>123.1244138793373</v>
      </c>
      <c r="CA90" s="58">
        <v>366.78872862055107</v>
      </c>
      <c r="CB90" s="43" t="s">
        <v>382</v>
      </c>
      <c r="CC90" s="47">
        <v>206.64381726432367</v>
      </c>
      <c r="CD90" s="58">
        <v>251.06059929442236</v>
      </c>
      <c r="CE90" s="59">
        <v>121.04229000133971</v>
      </c>
      <c r="CF90" s="59">
        <v>154.95913901665699</v>
      </c>
      <c r="CG90" s="59">
        <v>51.042736569463671</v>
      </c>
      <c r="CH90" s="47">
        <v>101.92917429553879</v>
      </c>
      <c r="CI90" s="43" t="s">
        <v>382</v>
      </c>
      <c r="CJ90" s="44">
        <v>629.4584260685956</v>
      </c>
      <c r="CK90" s="60">
        <v>48.276294437063655</v>
      </c>
      <c r="CL90" s="53">
        <v>5565.85</v>
      </c>
      <c r="CM90" s="41">
        <v>31.017059285083771</v>
      </c>
      <c r="CN90" s="53">
        <v>3097.08</v>
      </c>
      <c r="CO90" s="41">
        <v>17.259235151979883</v>
      </c>
      <c r="CP90" s="54">
        <v>9281.56</v>
      </c>
      <c r="CQ90" s="41">
        <v>51.723761290380097</v>
      </c>
      <c r="CR90" s="43">
        <v>9285</v>
      </c>
      <c r="CS90" s="52">
        <v>71.847065158858371</v>
      </c>
      <c r="CT90" s="41">
        <v>109.3</v>
      </c>
      <c r="CU90" s="41">
        <v>2.4404947974813558</v>
      </c>
      <c r="CV90" s="52">
        <v>121.3</v>
      </c>
      <c r="CW90" s="38">
        <v>8</v>
      </c>
      <c r="CX90" s="38">
        <v>9</v>
      </c>
      <c r="CY90" s="51">
        <v>1</v>
      </c>
      <c r="CZ90" s="41">
        <v>8.113785557986871</v>
      </c>
      <c r="DA90" s="39">
        <v>5907000</v>
      </c>
      <c r="DB90" s="39">
        <v>6442000</v>
      </c>
      <c r="DC90" s="39">
        <v>4670000</v>
      </c>
      <c r="DD90" s="39">
        <v>4140000</v>
      </c>
      <c r="DE90" s="39">
        <v>2702000</v>
      </c>
      <c r="DF90" s="62">
        <v>2474000</v>
      </c>
      <c r="DG90" s="41">
        <v>109.22</v>
      </c>
      <c r="DH90" s="41">
        <v>94.13</v>
      </c>
      <c r="DI90" s="41">
        <v>0.04</v>
      </c>
      <c r="DJ90" s="37" t="s">
        <v>390</v>
      </c>
      <c r="DK90" s="40">
        <v>83000</v>
      </c>
      <c r="DL90" s="40">
        <v>200000</v>
      </c>
      <c r="DM90" s="40">
        <v>0</v>
      </c>
      <c r="DN90" s="40">
        <v>24615</v>
      </c>
      <c r="DO90" s="40">
        <v>10359</v>
      </c>
      <c r="DP90" s="40">
        <v>329000</v>
      </c>
      <c r="DQ90" s="64">
        <v>1</v>
      </c>
      <c r="DR90" s="40">
        <v>0</v>
      </c>
      <c r="DS90" s="65">
        <v>0</v>
      </c>
      <c r="DT90" s="38">
        <v>9</v>
      </c>
      <c r="DU90" s="66">
        <v>4976.2222222222226</v>
      </c>
      <c r="DV90" s="41">
        <v>55.555555555555557</v>
      </c>
      <c r="DW90" s="41">
        <v>44.444444444444443</v>
      </c>
      <c r="DX90" s="41">
        <v>0</v>
      </c>
      <c r="DY90" s="41">
        <v>0</v>
      </c>
      <c r="DZ90" s="41">
        <v>11.111111111111111</v>
      </c>
      <c r="EA90" s="41">
        <v>44.444444444444443</v>
      </c>
      <c r="EB90" s="41">
        <v>44.444444444444443</v>
      </c>
      <c r="EC90" s="40">
        <v>338</v>
      </c>
      <c r="ED90" s="184">
        <v>132.50295857988166</v>
      </c>
    </row>
    <row r="91" spans="1:134" s="13" customFormat="1">
      <c r="A91" s="156" t="s">
        <v>239</v>
      </c>
      <c r="B91" s="285">
        <v>2014</v>
      </c>
      <c r="C91" s="259">
        <v>3</v>
      </c>
      <c r="D91" s="80" t="s">
        <v>343</v>
      </c>
      <c r="E91" s="56">
        <v>16.5</v>
      </c>
      <c r="F91" s="56">
        <v>83356</v>
      </c>
      <c r="G91" s="82">
        <v>5.2142631745029977</v>
      </c>
      <c r="H91" s="179">
        <v>5045.8999999999996</v>
      </c>
      <c r="I91" s="56">
        <v>41226</v>
      </c>
      <c r="J91" s="56">
        <v>49.457747492681989</v>
      </c>
      <c r="K91" s="56">
        <v>42130</v>
      </c>
      <c r="L91" s="84">
        <v>50.542252507318011</v>
      </c>
      <c r="M91" s="160">
        <v>18.040692931522624</v>
      </c>
      <c r="N91" s="160">
        <v>66.545899515331826</v>
      </c>
      <c r="O91" s="160">
        <v>15.413407553145545</v>
      </c>
      <c r="P91" s="160">
        <v>36.126973463218008</v>
      </c>
      <c r="Q91" s="160">
        <v>48.459618983636446</v>
      </c>
      <c r="R91" s="160">
        <v>15.413407553145545</v>
      </c>
      <c r="S91" s="83">
        <v>1.4522496143891663</v>
      </c>
      <c r="T91" s="83">
        <v>30.7</v>
      </c>
      <c r="U91" s="38">
        <v>127</v>
      </c>
      <c r="V91" s="41">
        <v>7.4</v>
      </c>
      <c r="W91" s="40">
        <v>58240</v>
      </c>
      <c r="X91" s="41">
        <v>2.2999999999999998</v>
      </c>
      <c r="Y91" s="42" t="s">
        <v>142</v>
      </c>
      <c r="Z91" s="43">
        <v>7672</v>
      </c>
      <c r="AA91" s="45">
        <v>31</v>
      </c>
      <c r="AB91" s="63">
        <v>613</v>
      </c>
      <c r="AC91" s="63">
        <v>380260.201</v>
      </c>
      <c r="AD91" s="43">
        <v>95</v>
      </c>
      <c r="AE91" s="44">
        <v>-1.21</v>
      </c>
      <c r="AF91" s="44">
        <v>1.9462000000000002</v>
      </c>
      <c r="AG91" s="41">
        <v>86.07</v>
      </c>
      <c r="AH91" s="41">
        <v>13.930000000000007</v>
      </c>
      <c r="AI91" s="44">
        <v>2.16</v>
      </c>
      <c r="AJ91" s="41">
        <v>2.3291999999999997</v>
      </c>
      <c r="AK91" s="41">
        <v>4.4079568647759464</v>
      </c>
      <c r="AL91" s="41">
        <v>3.6208</v>
      </c>
      <c r="AM91" s="39">
        <v>94718</v>
      </c>
      <c r="AN91" s="39">
        <v>94495</v>
      </c>
      <c r="AO91" s="40">
        <v>100458</v>
      </c>
      <c r="AP91" s="40">
        <v>106631</v>
      </c>
      <c r="AQ91" s="39">
        <v>23506000</v>
      </c>
      <c r="AR91" s="44">
        <v>784.23914856704369</v>
      </c>
      <c r="AS91" s="39">
        <v>29973</v>
      </c>
      <c r="AT91" s="46">
        <v>24790000</v>
      </c>
      <c r="AU91" s="50">
        <v>820.39911308203989</v>
      </c>
      <c r="AV91" s="39">
        <v>30217</v>
      </c>
      <c r="AW91" s="46">
        <v>25731000</v>
      </c>
      <c r="AX91" s="47">
        <v>833.23078915838221</v>
      </c>
      <c r="AY91" s="39">
        <v>30881</v>
      </c>
      <c r="AZ91" s="41">
        <v>76.3</v>
      </c>
      <c r="BA91" s="41">
        <v>12.198439169716007</v>
      </c>
      <c r="BB91" s="48" t="s">
        <v>382</v>
      </c>
      <c r="BC91" s="48" t="s">
        <v>382</v>
      </c>
      <c r="BD91" s="40">
        <v>0</v>
      </c>
      <c r="BE91" s="46">
        <v>17062000</v>
      </c>
      <c r="BF91" s="44">
        <v>5264.4245603208883</v>
      </c>
      <c r="BG91" s="40">
        <v>3241</v>
      </c>
      <c r="BH91" s="49" t="s">
        <v>382</v>
      </c>
      <c r="BI91" s="49" t="s">
        <v>382</v>
      </c>
      <c r="BJ91" s="213">
        <v>0</v>
      </c>
      <c r="BK91" s="47">
        <v>288.8339212721707</v>
      </c>
      <c r="BL91" s="55">
        <v>28262000</v>
      </c>
      <c r="BM91" s="41">
        <v>28.139872951390966</v>
      </c>
      <c r="BN91" s="56">
        <v>6667000</v>
      </c>
      <c r="BO91" s="41">
        <v>6.6381902542963545</v>
      </c>
      <c r="BP91" s="56">
        <v>20299000</v>
      </c>
      <c r="BQ91" s="41">
        <v>20.211283031642672</v>
      </c>
      <c r="BR91" s="39">
        <v>18758000</v>
      </c>
      <c r="BS91" s="41">
        <v>18.676942071410078</v>
      </c>
      <c r="BT91" s="39">
        <v>16257000</v>
      </c>
      <c r="BU91" s="41">
        <v>16.186749507139016</v>
      </c>
      <c r="BV91" s="56">
        <v>6238000</v>
      </c>
      <c r="BW91" s="41">
        <v>6.2110440687416615</v>
      </c>
      <c r="BX91" s="40">
        <v>3953000</v>
      </c>
      <c r="BY91" s="41">
        <v>3.9359181153792542</v>
      </c>
      <c r="BZ91" s="57">
        <v>339.05177791640676</v>
      </c>
      <c r="CA91" s="58">
        <v>243.52176208071404</v>
      </c>
      <c r="CB91" s="43" t="s">
        <v>382</v>
      </c>
      <c r="CC91" s="47">
        <v>225.03479053697393</v>
      </c>
      <c r="CD91" s="58">
        <v>145.62838907817073</v>
      </c>
      <c r="CE91" s="59">
        <v>79.982244829406397</v>
      </c>
      <c r="CF91" s="59">
        <v>47.423100916550695</v>
      </c>
      <c r="CG91" s="59">
        <v>49.402562502999182</v>
      </c>
      <c r="CH91" s="47">
        <v>74.835644704640345</v>
      </c>
      <c r="CI91" s="43" t="s">
        <v>382</v>
      </c>
      <c r="CJ91" s="44">
        <v>547.7478060943622</v>
      </c>
      <c r="CK91" s="60">
        <v>38.214150340801098</v>
      </c>
      <c r="CL91" s="53">
        <v>8914.83</v>
      </c>
      <c r="CM91" s="41">
        <v>27.562222556128763</v>
      </c>
      <c r="CN91" s="53">
        <v>3268.21</v>
      </c>
      <c r="CO91" s="41">
        <v>10.104413811611169</v>
      </c>
      <c r="CP91" s="54">
        <v>19984.259999999998</v>
      </c>
      <c r="CQ91" s="41">
        <v>61.785880576471087</v>
      </c>
      <c r="CR91" s="43">
        <v>24167</v>
      </c>
      <c r="CS91" s="52">
        <v>50.299995862126032</v>
      </c>
      <c r="CT91" s="41">
        <v>216.1</v>
      </c>
      <c r="CU91" s="41">
        <v>2.5924948414031386</v>
      </c>
      <c r="CV91" s="52">
        <v>116.84</v>
      </c>
      <c r="CW91" s="38">
        <v>2</v>
      </c>
      <c r="CX91" s="38">
        <v>5</v>
      </c>
      <c r="CY91" s="51">
        <v>4</v>
      </c>
      <c r="CZ91" s="41">
        <v>4.52386150966937</v>
      </c>
      <c r="DA91" s="39">
        <v>12351000</v>
      </c>
      <c r="DB91" s="39">
        <v>13362000</v>
      </c>
      <c r="DC91" s="39">
        <v>11319000</v>
      </c>
      <c r="DD91" s="39">
        <v>14100000</v>
      </c>
      <c r="DE91" s="39">
        <v>4617000</v>
      </c>
      <c r="DF91" s="62">
        <v>5284000</v>
      </c>
      <c r="DG91" s="41">
        <v>87.38</v>
      </c>
      <c r="DH91" s="41">
        <v>123.15</v>
      </c>
      <c r="DI91" s="41">
        <v>1.31</v>
      </c>
      <c r="DJ91" s="37" t="s">
        <v>390</v>
      </c>
      <c r="DK91" s="40">
        <v>46000</v>
      </c>
      <c r="DL91" s="40">
        <v>255000</v>
      </c>
      <c r="DM91" s="40">
        <v>0</v>
      </c>
      <c r="DN91" s="40">
        <v>13010</v>
      </c>
      <c r="DO91" s="40">
        <v>11981</v>
      </c>
      <c r="DP91" s="40">
        <v>307650</v>
      </c>
      <c r="DQ91" s="64">
        <v>1</v>
      </c>
      <c r="DR91" s="40">
        <v>550</v>
      </c>
      <c r="DS91" s="65">
        <v>0</v>
      </c>
      <c r="DT91" s="38">
        <v>12</v>
      </c>
      <c r="DU91" s="66">
        <v>6946.333333333333</v>
      </c>
      <c r="DV91" s="41">
        <v>33.333333333333329</v>
      </c>
      <c r="DW91" s="41">
        <v>66.666666666666657</v>
      </c>
      <c r="DX91" s="41">
        <v>0</v>
      </c>
      <c r="DY91" s="41">
        <v>33.333333333333329</v>
      </c>
      <c r="DZ91" s="41">
        <v>8.3333333333333321</v>
      </c>
      <c r="EA91" s="41">
        <v>66.666666666666657</v>
      </c>
      <c r="EB91" s="41">
        <v>25</v>
      </c>
      <c r="EC91" s="40">
        <v>520.44000000000005</v>
      </c>
      <c r="ED91" s="184">
        <v>160.1644762124356</v>
      </c>
    </row>
    <row r="92" spans="1:134" s="13" customFormat="1">
      <c r="A92" s="156" t="s">
        <v>240</v>
      </c>
      <c r="B92" s="285">
        <v>2014</v>
      </c>
      <c r="C92" s="259">
        <v>4</v>
      </c>
      <c r="D92" s="80" t="s">
        <v>342</v>
      </c>
      <c r="E92" s="56">
        <v>8752.7999999999993</v>
      </c>
      <c r="F92" s="56">
        <v>24017</v>
      </c>
      <c r="G92" s="82">
        <v>6.8894921892385064</v>
      </c>
      <c r="H92" s="179">
        <v>2.7</v>
      </c>
      <c r="I92" s="56">
        <v>12253</v>
      </c>
      <c r="J92" s="56">
        <v>51.01802889619853</v>
      </c>
      <c r="K92" s="56">
        <v>11764</v>
      </c>
      <c r="L92" s="84">
        <v>48.981971103801477</v>
      </c>
      <c r="M92" s="160">
        <v>26.385476953824373</v>
      </c>
      <c r="N92" s="160">
        <v>48.886205604363575</v>
      </c>
      <c r="O92" s="160">
        <v>24.728317441812049</v>
      </c>
      <c r="P92" s="160">
        <v>37.098721738768369</v>
      </c>
      <c r="Q92" s="160">
        <v>38.172960819419579</v>
      </c>
      <c r="R92" s="160">
        <v>24.728317441812049</v>
      </c>
      <c r="S92" s="83">
        <v>3.9023297491039428</v>
      </c>
      <c r="T92" s="83">
        <v>2.7</v>
      </c>
      <c r="U92" s="38">
        <v>72</v>
      </c>
      <c r="V92" s="41">
        <v>7.9</v>
      </c>
      <c r="W92" s="40">
        <v>45261</v>
      </c>
      <c r="X92" s="41">
        <v>2.4</v>
      </c>
      <c r="Y92" s="42" t="s">
        <v>94</v>
      </c>
      <c r="Z92" s="43">
        <v>2471</v>
      </c>
      <c r="AA92" s="45">
        <v>16</v>
      </c>
      <c r="AB92" s="63">
        <v>360</v>
      </c>
      <c r="AC92" s="63">
        <v>57091.514999999999</v>
      </c>
      <c r="AD92" s="43">
        <v>69</v>
      </c>
      <c r="AE92" s="44">
        <v>5.87</v>
      </c>
      <c r="AF92" s="44">
        <v>3.0504000000000002</v>
      </c>
      <c r="AG92" s="41">
        <v>62.7</v>
      </c>
      <c r="AH92" s="41">
        <v>37.299999999999997</v>
      </c>
      <c r="AI92" s="44">
        <v>3.42</v>
      </c>
      <c r="AJ92" s="41">
        <v>7.9802</v>
      </c>
      <c r="AK92" s="41">
        <v>4.2904072502765072</v>
      </c>
      <c r="AL92" s="41">
        <v>12.264100000000001</v>
      </c>
      <c r="AM92" s="39">
        <v>53156</v>
      </c>
      <c r="AN92" s="39">
        <v>56637</v>
      </c>
      <c r="AO92" s="40">
        <v>60251</v>
      </c>
      <c r="AP92" s="40">
        <v>76861</v>
      </c>
      <c r="AQ92" s="39">
        <v>7518000</v>
      </c>
      <c r="AR92" s="44">
        <v>745.38964901844145</v>
      </c>
      <c r="AS92" s="39">
        <v>10086</v>
      </c>
      <c r="AT92" s="46">
        <v>8155000</v>
      </c>
      <c r="AU92" s="50">
        <v>783.83314109957712</v>
      </c>
      <c r="AV92" s="39">
        <v>10404</v>
      </c>
      <c r="AW92" s="46">
        <v>8549000</v>
      </c>
      <c r="AX92" s="47">
        <v>803.47744360902254</v>
      </c>
      <c r="AY92" s="39">
        <v>10640</v>
      </c>
      <c r="AZ92" s="41">
        <v>66.2</v>
      </c>
      <c r="BA92" s="41">
        <v>20.037593984962406</v>
      </c>
      <c r="BB92" s="46">
        <v>4412000</v>
      </c>
      <c r="BC92" s="48">
        <v>2325.7775434897208</v>
      </c>
      <c r="BD92" s="40">
        <v>1897</v>
      </c>
      <c r="BE92" s="46">
        <v>1241000</v>
      </c>
      <c r="BF92" s="44">
        <v>1788.1844380403459</v>
      </c>
      <c r="BG92" s="40">
        <v>694</v>
      </c>
      <c r="BH92" s="46">
        <v>1975000</v>
      </c>
      <c r="BI92" s="49">
        <v>164583.33333333334</v>
      </c>
      <c r="BJ92" s="45">
        <v>12</v>
      </c>
      <c r="BK92" s="47">
        <v>132.28901854484764</v>
      </c>
      <c r="BL92" s="55">
        <v>7843000</v>
      </c>
      <c r="BM92" s="41">
        <v>13.017211332591991</v>
      </c>
      <c r="BN92" s="56">
        <v>11704000</v>
      </c>
      <c r="BO92" s="41">
        <v>19.425403727738956</v>
      </c>
      <c r="BP92" s="56">
        <v>6191000</v>
      </c>
      <c r="BQ92" s="41">
        <v>10.275348127002042</v>
      </c>
      <c r="BR92" s="39">
        <v>4211000</v>
      </c>
      <c r="BS92" s="41">
        <v>6.9890956166702631</v>
      </c>
      <c r="BT92" s="39">
        <v>6109000</v>
      </c>
      <c r="BU92" s="41">
        <v>10.139250800816583</v>
      </c>
      <c r="BV92" s="56">
        <v>14462000</v>
      </c>
      <c r="BW92" s="41">
        <v>24.002921113342516</v>
      </c>
      <c r="BX92" s="40">
        <v>9731000</v>
      </c>
      <c r="BY92" s="41">
        <v>16.150769281837647</v>
      </c>
      <c r="BZ92" s="57">
        <v>326.56035308323271</v>
      </c>
      <c r="CA92" s="58">
        <v>257.77574218262066</v>
      </c>
      <c r="CB92" s="59">
        <v>428.86288878710911</v>
      </c>
      <c r="CC92" s="47">
        <v>175.33413831869092</v>
      </c>
      <c r="CD92" s="58">
        <v>203.0228588083441</v>
      </c>
      <c r="CE92" s="59">
        <v>58.458591830786524</v>
      </c>
      <c r="CF92" s="59">
        <v>405.17133696964652</v>
      </c>
      <c r="CG92" s="59">
        <v>51.338635133447141</v>
      </c>
      <c r="CH92" s="47">
        <v>602.15680559603618</v>
      </c>
      <c r="CI92" s="43">
        <v>1346</v>
      </c>
      <c r="CJ92" s="44">
        <v>104.88721804511279</v>
      </c>
      <c r="CK92" s="60">
        <v>24.903876824430355</v>
      </c>
      <c r="CL92" s="53">
        <v>1658.7460000000001</v>
      </c>
      <c r="CM92" s="41">
        <v>11.437461567623126</v>
      </c>
      <c r="CN92" s="53">
        <v>1953</v>
      </c>
      <c r="CO92" s="41">
        <v>13.466415256807229</v>
      </c>
      <c r="CP92" s="54">
        <v>10891</v>
      </c>
      <c r="CQ92" s="41">
        <v>75.096123175569645</v>
      </c>
      <c r="CR92" s="43">
        <v>15136</v>
      </c>
      <c r="CS92" s="52">
        <v>27.834302325581394</v>
      </c>
      <c r="CT92" s="41">
        <v>2246.9429999999998</v>
      </c>
      <c r="CU92" s="41">
        <v>93.556355914560513</v>
      </c>
      <c r="CV92" s="52">
        <v>473.32</v>
      </c>
      <c r="CW92" s="38">
        <v>3</v>
      </c>
      <c r="CX92" s="38">
        <v>16</v>
      </c>
      <c r="CY92" s="51">
        <v>3</v>
      </c>
      <c r="CZ92" s="41">
        <v>4.1790814839488695</v>
      </c>
      <c r="DA92" s="39">
        <v>7196000</v>
      </c>
      <c r="DB92" s="39">
        <v>7535700</v>
      </c>
      <c r="DC92" s="39">
        <v>7416486.8399999999</v>
      </c>
      <c r="DD92" s="39">
        <v>9037840</v>
      </c>
      <c r="DE92" s="39">
        <v>8689000</v>
      </c>
      <c r="DF92" s="62">
        <v>9778000</v>
      </c>
      <c r="DG92" s="41">
        <v>88.86</v>
      </c>
      <c r="DH92" s="41">
        <v>73.989999999999995</v>
      </c>
      <c r="DI92" s="41">
        <v>10.96</v>
      </c>
      <c r="DJ92" s="37" t="s">
        <v>390</v>
      </c>
      <c r="DK92" s="40">
        <v>31000</v>
      </c>
      <c r="DL92" s="40">
        <v>119000</v>
      </c>
      <c r="DM92" s="40">
        <v>0</v>
      </c>
      <c r="DN92" s="40">
        <v>2618.61</v>
      </c>
      <c r="DO92" s="40">
        <v>0</v>
      </c>
      <c r="DP92" s="40">
        <v>255597</v>
      </c>
      <c r="DQ92" s="64">
        <v>2</v>
      </c>
      <c r="DR92" s="40">
        <v>9893</v>
      </c>
      <c r="DS92" s="65">
        <v>1</v>
      </c>
      <c r="DT92" s="38">
        <v>9</v>
      </c>
      <c r="DU92" s="66">
        <v>2668.5555555555557</v>
      </c>
      <c r="DV92" s="41">
        <v>22.222222222222221</v>
      </c>
      <c r="DW92" s="41">
        <v>77.777777777777786</v>
      </c>
      <c r="DX92" s="41">
        <v>0</v>
      </c>
      <c r="DY92" s="41">
        <v>0</v>
      </c>
      <c r="DZ92" s="41">
        <v>11.111111111111111</v>
      </c>
      <c r="EA92" s="41">
        <v>44.444444444444443</v>
      </c>
      <c r="EB92" s="41">
        <v>44.444444444444443</v>
      </c>
      <c r="EC92" s="40">
        <v>300</v>
      </c>
      <c r="ED92" s="184">
        <v>80.056666666666672</v>
      </c>
    </row>
    <row r="93" spans="1:134" s="13" customFormat="1">
      <c r="A93" s="156" t="s">
        <v>241</v>
      </c>
      <c r="B93" s="285">
        <v>2014</v>
      </c>
      <c r="C93" s="259">
        <v>11</v>
      </c>
      <c r="D93" s="80" t="s">
        <v>345</v>
      </c>
      <c r="E93" s="56">
        <v>17906</v>
      </c>
      <c r="F93" s="56">
        <v>14092</v>
      </c>
      <c r="G93" s="82">
        <v>0.52072187745202936</v>
      </c>
      <c r="H93" s="179">
        <v>0.8</v>
      </c>
      <c r="I93" s="56">
        <v>7221</v>
      </c>
      <c r="J93" s="56">
        <v>51.241839341470339</v>
      </c>
      <c r="K93" s="56">
        <v>6871</v>
      </c>
      <c r="L93" s="84">
        <v>48.758160658529661</v>
      </c>
      <c r="M93" s="160">
        <v>28.796480272495035</v>
      </c>
      <c r="N93" s="160">
        <v>52.47658245813227</v>
      </c>
      <c r="O93" s="160">
        <v>18.726937269372694</v>
      </c>
      <c r="P93" s="160">
        <v>42.790235594663642</v>
      </c>
      <c r="Q93" s="160">
        <v>38.482827135963667</v>
      </c>
      <c r="R93" s="160">
        <v>18.726937269372694</v>
      </c>
      <c r="S93" s="83">
        <v>20.801370373128769</v>
      </c>
      <c r="T93" s="83">
        <v>2.5</v>
      </c>
      <c r="U93" s="38">
        <v>23</v>
      </c>
      <c r="V93" s="41">
        <v>10.4</v>
      </c>
      <c r="W93" s="40">
        <v>48990</v>
      </c>
      <c r="X93" s="41">
        <v>2.5</v>
      </c>
      <c r="Y93" s="42" t="s">
        <v>351</v>
      </c>
      <c r="Z93" s="43">
        <v>1645</v>
      </c>
      <c r="AA93" s="45">
        <v>7</v>
      </c>
      <c r="AB93" s="63">
        <v>116</v>
      </c>
      <c r="AC93" s="63">
        <v>15186.358</v>
      </c>
      <c r="AD93" s="43">
        <v>56</v>
      </c>
      <c r="AE93" s="44">
        <v>4.03</v>
      </c>
      <c r="AF93" s="44">
        <v>1.7838999999999998</v>
      </c>
      <c r="AG93" s="41">
        <v>73.89</v>
      </c>
      <c r="AH93" s="41">
        <v>26.11</v>
      </c>
      <c r="AI93" s="44">
        <v>6.12</v>
      </c>
      <c r="AJ93" s="41">
        <v>4.6265999999999998</v>
      </c>
      <c r="AK93" s="41">
        <v>7.6627781297752602</v>
      </c>
      <c r="AL93" s="41">
        <v>7.4604999999999997</v>
      </c>
      <c r="AM93" s="39">
        <v>74093</v>
      </c>
      <c r="AN93" s="39">
        <v>60916</v>
      </c>
      <c r="AO93" s="40">
        <v>51723</v>
      </c>
      <c r="AP93" s="40">
        <v>57530</v>
      </c>
      <c r="AQ93" s="39">
        <v>3981000</v>
      </c>
      <c r="AR93" s="44">
        <v>918.97506925207756</v>
      </c>
      <c r="AS93" s="39">
        <v>4332</v>
      </c>
      <c r="AT93" s="46">
        <v>4064000</v>
      </c>
      <c r="AU93" s="50">
        <v>938.13481071098795</v>
      </c>
      <c r="AV93" s="39">
        <v>4332</v>
      </c>
      <c r="AW93" s="46">
        <v>4229000</v>
      </c>
      <c r="AX93" s="47">
        <v>972.18390804597698</v>
      </c>
      <c r="AY93" s="39">
        <v>4350</v>
      </c>
      <c r="AZ93" s="41">
        <v>58.5</v>
      </c>
      <c r="BA93" s="41">
        <v>14.206896551724139</v>
      </c>
      <c r="BB93" s="46">
        <v>14137000</v>
      </c>
      <c r="BC93" s="48">
        <v>9481.5560026827625</v>
      </c>
      <c r="BD93" s="40">
        <v>1491</v>
      </c>
      <c r="BE93" s="46">
        <v>2331000</v>
      </c>
      <c r="BF93" s="44">
        <v>3878.5357737104823</v>
      </c>
      <c r="BG93" s="40">
        <v>601</v>
      </c>
      <c r="BH93" s="49" t="s">
        <v>382</v>
      </c>
      <c r="BI93" s="49" t="s">
        <v>382</v>
      </c>
      <c r="BJ93" s="213">
        <v>0</v>
      </c>
      <c r="BK93" s="47">
        <v>160.07790892399865</v>
      </c>
      <c r="BL93" s="55">
        <v>8495000</v>
      </c>
      <c r="BM93" s="41">
        <v>16.424027995282565</v>
      </c>
      <c r="BN93" s="56">
        <v>8970000</v>
      </c>
      <c r="BO93" s="41">
        <v>17.342381532393713</v>
      </c>
      <c r="BP93" s="56">
        <v>3910000</v>
      </c>
      <c r="BQ93" s="41">
        <v>7.5594996423254655</v>
      </c>
      <c r="BR93" s="39">
        <v>3614000</v>
      </c>
      <c r="BS93" s="41">
        <v>6.9872203855151485</v>
      </c>
      <c r="BT93" s="39">
        <v>4824000</v>
      </c>
      <c r="BU93" s="41">
        <v>9.3266051853140777</v>
      </c>
      <c r="BV93" s="56">
        <v>13344000</v>
      </c>
      <c r="BW93" s="41">
        <v>25.798967577286703</v>
      </c>
      <c r="BX93" s="40">
        <v>8566000</v>
      </c>
      <c r="BY93" s="41">
        <v>16.561297681882333</v>
      </c>
      <c r="BZ93" s="57">
        <v>602.82429747374397</v>
      </c>
      <c r="CA93" s="58">
        <v>277.46239000851546</v>
      </c>
      <c r="CB93" s="59">
        <v>499.07749077490774</v>
      </c>
      <c r="CC93" s="47">
        <v>256.45756457564573</v>
      </c>
      <c r="CD93" s="58">
        <v>291.65483962531931</v>
      </c>
      <c r="CE93" s="59">
        <v>137.4538745387454</v>
      </c>
      <c r="CF93" s="59">
        <v>607.8626170877094</v>
      </c>
      <c r="CG93" s="59">
        <v>50.667045131989781</v>
      </c>
      <c r="CH93" s="47">
        <v>946.9202384331536</v>
      </c>
      <c r="CI93" s="43">
        <v>1675</v>
      </c>
      <c r="CJ93" s="44">
        <v>453.56321839080459</v>
      </c>
      <c r="CK93" s="60">
        <v>48.333793535219733</v>
      </c>
      <c r="CL93" s="53">
        <v>1305.8616000000002</v>
      </c>
      <c r="CM93" s="41">
        <v>21.596549054764733</v>
      </c>
      <c r="CN93" s="53">
        <v>1545.7</v>
      </c>
      <c r="CO93" s="41">
        <v>25.563035067383744</v>
      </c>
      <c r="CP93" s="54">
        <v>3124.07</v>
      </c>
      <c r="CQ93" s="41">
        <v>51.66637184638774</v>
      </c>
      <c r="CR93" s="43">
        <v>6796</v>
      </c>
      <c r="CS93" s="52">
        <v>15.685697469099471</v>
      </c>
      <c r="CT93" s="41">
        <v>2899.4</v>
      </c>
      <c r="CU93" s="41">
        <v>205.74794209480555</v>
      </c>
      <c r="CV93" s="52">
        <v>238</v>
      </c>
      <c r="CW93" s="38">
        <v>3</v>
      </c>
      <c r="CX93" s="38">
        <v>10</v>
      </c>
      <c r="CY93" s="51">
        <v>2</v>
      </c>
      <c r="CZ93" s="97">
        <v>2.6</v>
      </c>
      <c r="DA93" s="39">
        <v>19837000</v>
      </c>
      <c r="DB93" s="39">
        <v>29959000</v>
      </c>
      <c r="DC93" s="39">
        <v>7428000</v>
      </c>
      <c r="DD93" s="39">
        <v>9415000</v>
      </c>
      <c r="DE93" s="39">
        <v>7418000</v>
      </c>
      <c r="DF93" s="62">
        <v>8565000</v>
      </c>
      <c r="DG93" s="41">
        <v>86.61</v>
      </c>
      <c r="DH93" s="41">
        <v>142.44</v>
      </c>
      <c r="DI93" s="41">
        <v>1.7999999999999998</v>
      </c>
      <c r="DJ93" s="37" t="s">
        <v>390</v>
      </c>
      <c r="DK93" s="40">
        <v>123000</v>
      </c>
      <c r="DL93" s="40">
        <v>121000</v>
      </c>
      <c r="DM93" s="40">
        <v>0</v>
      </c>
      <c r="DN93" s="40">
        <v>5384.9</v>
      </c>
      <c r="DO93" s="40">
        <v>32744</v>
      </c>
      <c r="DP93" s="40">
        <v>206000</v>
      </c>
      <c r="DQ93" s="64">
        <v>1</v>
      </c>
      <c r="DR93" s="40">
        <v>21564</v>
      </c>
      <c r="DS93" s="65">
        <v>1</v>
      </c>
      <c r="DT93" s="38">
        <v>9</v>
      </c>
      <c r="DU93" s="66">
        <v>1565.7777777777778</v>
      </c>
      <c r="DV93" s="41">
        <v>33.333333333333329</v>
      </c>
      <c r="DW93" s="41">
        <v>66.666666666666657</v>
      </c>
      <c r="DX93" s="41">
        <v>0</v>
      </c>
      <c r="DY93" s="41">
        <v>11.111111111111111</v>
      </c>
      <c r="DZ93" s="41">
        <v>0</v>
      </c>
      <c r="EA93" s="41">
        <v>55.555555555555557</v>
      </c>
      <c r="EB93" s="41">
        <v>44.444444444444443</v>
      </c>
      <c r="EC93" s="40">
        <v>222</v>
      </c>
      <c r="ED93" s="184">
        <v>63.477477477477478</v>
      </c>
    </row>
    <row r="94" spans="1:134" s="13" customFormat="1">
      <c r="A94" s="156" t="s">
        <v>242</v>
      </c>
      <c r="B94" s="285">
        <v>2014</v>
      </c>
      <c r="C94" s="259">
        <v>2</v>
      </c>
      <c r="D94" s="80" t="s">
        <v>343</v>
      </c>
      <c r="E94" s="56">
        <v>8.6999999999999993</v>
      </c>
      <c r="F94" s="56">
        <v>30276</v>
      </c>
      <c r="G94" s="82">
        <v>5.2675498070303535</v>
      </c>
      <c r="H94" s="179">
        <v>3499.7</v>
      </c>
      <c r="I94" s="56">
        <v>14350</v>
      </c>
      <c r="J94" s="56">
        <v>47.397278372308101</v>
      </c>
      <c r="K94" s="56">
        <v>15926</v>
      </c>
      <c r="L94" s="84">
        <v>52.602721627691906</v>
      </c>
      <c r="M94" s="160">
        <v>23.659003831417625</v>
      </c>
      <c r="N94" s="160">
        <v>53.464790593209145</v>
      </c>
      <c r="O94" s="160">
        <v>22.876205575373231</v>
      </c>
      <c r="P94" s="160">
        <v>34.994715286035145</v>
      </c>
      <c r="Q94" s="160">
        <v>42.129079138591621</v>
      </c>
      <c r="R94" s="160">
        <v>22.876205575373231</v>
      </c>
      <c r="S94" s="83">
        <v>0.10199621156928457</v>
      </c>
      <c r="T94" s="83">
        <v>12.7</v>
      </c>
      <c r="U94" s="38">
        <v>152</v>
      </c>
      <c r="V94" s="41">
        <v>3</v>
      </c>
      <c r="W94" s="40">
        <v>142773</v>
      </c>
      <c r="X94" s="41">
        <v>2.4</v>
      </c>
      <c r="Y94" s="42" t="s">
        <v>142</v>
      </c>
      <c r="Z94" s="38">
        <v>4016</v>
      </c>
      <c r="AA94" s="45">
        <v>3</v>
      </c>
      <c r="AB94" s="63">
        <v>207</v>
      </c>
      <c r="AC94" s="63">
        <v>175824.02799999999</v>
      </c>
      <c r="AD94" s="43">
        <v>88</v>
      </c>
      <c r="AE94" s="44">
        <v>1.7</v>
      </c>
      <c r="AF94" s="44">
        <v>1.5537000000000001</v>
      </c>
      <c r="AG94" s="41">
        <v>88.82</v>
      </c>
      <c r="AH94" s="41">
        <v>11.180000000000007</v>
      </c>
      <c r="AI94" s="44">
        <v>2.2000000000000002</v>
      </c>
      <c r="AJ94" s="41">
        <v>2.5893999999999999</v>
      </c>
      <c r="AK94" s="41">
        <v>6.1344723470064064</v>
      </c>
      <c r="AL94" s="41">
        <v>4.2397999999999998</v>
      </c>
      <c r="AM94" s="39">
        <v>38635</v>
      </c>
      <c r="AN94" s="39">
        <v>38972</v>
      </c>
      <c r="AO94" s="40">
        <v>40064</v>
      </c>
      <c r="AP94" s="40">
        <v>45280</v>
      </c>
      <c r="AQ94" s="39">
        <v>14774000</v>
      </c>
      <c r="AR94" s="44">
        <v>1181.4474210315873</v>
      </c>
      <c r="AS94" s="39">
        <v>12505</v>
      </c>
      <c r="AT94" s="46">
        <v>15229000</v>
      </c>
      <c r="AU94" s="50">
        <v>1208.7467259306295</v>
      </c>
      <c r="AV94" s="39">
        <v>12599</v>
      </c>
      <c r="AW94" s="46">
        <v>15666000</v>
      </c>
      <c r="AX94" s="47">
        <v>1242.5444162436547</v>
      </c>
      <c r="AY94" s="39">
        <v>12608</v>
      </c>
      <c r="AZ94" s="41">
        <v>81.699999999999989</v>
      </c>
      <c r="BA94" s="41">
        <v>5.4806472081218276</v>
      </c>
      <c r="BB94" s="48" t="s">
        <v>382</v>
      </c>
      <c r="BC94" s="48" t="s">
        <v>382</v>
      </c>
      <c r="BD94" s="40">
        <v>0</v>
      </c>
      <c r="BE94" s="46">
        <v>1600000</v>
      </c>
      <c r="BF94" s="44">
        <v>2698.1450252951095</v>
      </c>
      <c r="BG94" s="40">
        <v>593</v>
      </c>
      <c r="BH94" s="49" t="s">
        <v>382</v>
      </c>
      <c r="BI94" s="49" t="s">
        <v>382</v>
      </c>
      <c r="BJ94" s="213">
        <v>0</v>
      </c>
      <c r="BK94" s="47">
        <v>650.79783620989224</v>
      </c>
      <c r="BL94" s="55">
        <v>9739000</v>
      </c>
      <c r="BM94" s="41">
        <v>24.308606230031948</v>
      </c>
      <c r="BN94" s="56">
        <v>1396000</v>
      </c>
      <c r="BO94" s="41">
        <v>3.4844249201277955</v>
      </c>
      <c r="BP94" s="56">
        <v>6369000</v>
      </c>
      <c r="BQ94" s="41">
        <v>15.897064696485625</v>
      </c>
      <c r="BR94" s="39">
        <v>5619000</v>
      </c>
      <c r="BS94" s="41">
        <v>14.025059904153355</v>
      </c>
      <c r="BT94" s="39">
        <v>10625000</v>
      </c>
      <c r="BU94" s="41">
        <v>26.520067891373799</v>
      </c>
      <c r="BV94" s="56">
        <v>3751000</v>
      </c>
      <c r="BW94" s="41">
        <v>9.3625199680511173</v>
      </c>
      <c r="BX94" s="40">
        <v>2565000</v>
      </c>
      <c r="BY94" s="41">
        <v>6.4022563897763574</v>
      </c>
      <c r="BZ94" s="57">
        <v>321.67393314836835</v>
      </c>
      <c r="CA94" s="58">
        <v>210.36464526357511</v>
      </c>
      <c r="CB94" s="43" t="s">
        <v>382</v>
      </c>
      <c r="CC94" s="47">
        <v>185.59254855330954</v>
      </c>
      <c r="CD94" s="58">
        <v>277.1171885321707</v>
      </c>
      <c r="CE94" s="59">
        <v>46.109129343374292</v>
      </c>
      <c r="CF94" s="59">
        <v>84.720570749108205</v>
      </c>
      <c r="CG94" s="59">
        <v>73.820848196591356</v>
      </c>
      <c r="CH94" s="47">
        <v>123.89351301360814</v>
      </c>
      <c r="CI94" s="43" t="s">
        <v>382</v>
      </c>
      <c r="CJ94" s="44">
        <v>487.78553299492387</v>
      </c>
      <c r="CK94" s="60">
        <v>42.336399250553562</v>
      </c>
      <c r="CL94" s="53">
        <v>3186.56</v>
      </c>
      <c r="CM94" s="41">
        <v>27.138136603645037</v>
      </c>
      <c r="CN94" s="53">
        <v>1784.58</v>
      </c>
      <c r="CO94" s="41">
        <v>15.198262646908534</v>
      </c>
      <c r="CP94" s="54">
        <v>6770.87</v>
      </c>
      <c r="CQ94" s="41">
        <v>57.663685913813659</v>
      </c>
      <c r="CR94" s="43">
        <v>7041</v>
      </c>
      <c r="CS94" s="52">
        <v>66.141173128816931</v>
      </c>
      <c r="CT94" s="41">
        <v>96.6</v>
      </c>
      <c r="CU94" s="41">
        <v>3.1906460562822034</v>
      </c>
      <c r="CV94" s="52">
        <v>177.4</v>
      </c>
      <c r="CW94" s="38">
        <v>4</v>
      </c>
      <c r="CX94" s="38">
        <v>1</v>
      </c>
      <c r="CY94" s="51">
        <v>1</v>
      </c>
      <c r="CZ94" s="41">
        <v>9.7528075042938305</v>
      </c>
      <c r="DA94" s="39">
        <v>5965000</v>
      </c>
      <c r="DB94" s="39">
        <v>5313000</v>
      </c>
      <c r="DC94" s="39">
        <v>2925000</v>
      </c>
      <c r="DD94" s="39">
        <v>3097000</v>
      </c>
      <c r="DE94" s="39">
        <v>2906000</v>
      </c>
      <c r="DF94" s="62">
        <v>2996000</v>
      </c>
      <c r="DG94" s="41">
        <v>97</v>
      </c>
      <c r="DH94" s="41">
        <v>95.72</v>
      </c>
      <c r="DI94" s="41">
        <v>2.88</v>
      </c>
      <c r="DJ94" s="37" t="s">
        <v>390</v>
      </c>
      <c r="DK94" s="40">
        <v>38000</v>
      </c>
      <c r="DL94" s="40">
        <v>161000</v>
      </c>
      <c r="DM94" s="40">
        <v>0</v>
      </c>
      <c r="DN94" s="40">
        <v>11721</v>
      </c>
      <c r="DO94" s="40">
        <v>5224</v>
      </c>
      <c r="DP94" s="40">
        <v>273165.09000000003</v>
      </c>
      <c r="DQ94" s="64">
        <v>0</v>
      </c>
      <c r="DR94" s="40">
        <v>8917</v>
      </c>
      <c r="DS94" s="65">
        <v>1</v>
      </c>
      <c r="DT94" s="38">
        <v>7</v>
      </c>
      <c r="DU94" s="66">
        <v>4325.1428571428569</v>
      </c>
      <c r="DV94" s="41">
        <v>28.571428571428569</v>
      </c>
      <c r="DW94" s="41">
        <v>71.428571428571431</v>
      </c>
      <c r="DX94" s="41">
        <v>0</v>
      </c>
      <c r="DY94" s="41">
        <v>0</v>
      </c>
      <c r="DZ94" s="41">
        <v>0</v>
      </c>
      <c r="EA94" s="41">
        <v>57.142857142857139</v>
      </c>
      <c r="EB94" s="41">
        <v>42.857142857142854</v>
      </c>
      <c r="EC94" s="40">
        <v>174</v>
      </c>
      <c r="ED94" s="184">
        <v>174</v>
      </c>
    </row>
    <row r="95" spans="1:134" s="13" customFormat="1">
      <c r="A95" s="156" t="s">
        <v>243</v>
      </c>
      <c r="B95" s="285">
        <v>2014</v>
      </c>
      <c r="C95" s="259">
        <v>10</v>
      </c>
      <c r="D95" s="80" t="s">
        <v>345</v>
      </c>
      <c r="E95" s="56">
        <v>4344.5</v>
      </c>
      <c r="F95" s="56">
        <v>7466</v>
      </c>
      <c r="G95" s="82">
        <v>6.3987459028074678</v>
      </c>
      <c r="H95" s="179">
        <v>1.7</v>
      </c>
      <c r="I95" s="56">
        <v>3803</v>
      </c>
      <c r="J95" s="56">
        <v>50.937583712831504</v>
      </c>
      <c r="K95" s="56">
        <v>3663</v>
      </c>
      <c r="L95" s="84">
        <v>49.062416287168496</v>
      </c>
      <c r="M95" s="160">
        <v>22.46182694883472</v>
      </c>
      <c r="N95" s="160">
        <v>42.606482721671583</v>
      </c>
      <c r="O95" s="160">
        <v>34.931690329493705</v>
      </c>
      <c r="P95" s="160">
        <v>30.243771765336191</v>
      </c>
      <c r="Q95" s="160">
        <v>34.824537905170104</v>
      </c>
      <c r="R95" s="160">
        <v>34.931690329493705</v>
      </c>
      <c r="S95" s="83">
        <v>3.2629006755785541</v>
      </c>
      <c r="T95" s="83">
        <v>1.9</v>
      </c>
      <c r="U95" s="38">
        <v>85</v>
      </c>
      <c r="V95" s="41">
        <v>7.1</v>
      </c>
      <c r="W95" s="40">
        <v>40394</v>
      </c>
      <c r="X95" s="41">
        <v>2.2999999999999998</v>
      </c>
      <c r="Y95" s="42" t="s">
        <v>351</v>
      </c>
      <c r="Z95" s="43">
        <v>621</v>
      </c>
      <c r="AA95" s="45">
        <v>22</v>
      </c>
      <c r="AB95" s="63">
        <v>195</v>
      </c>
      <c r="AC95" s="63">
        <v>32890.686999999998</v>
      </c>
      <c r="AD95" s="43">
        <v>56</v>
      </c>
      <c r="AE95" s="44">
        <v>9.76</v>
      </c>
      <c r="AF95" s="44">
        <v>3.802</v>
      </c>
      <c r="AG95" s="41">
        <v>60.46</v>
      </c>
      <c r="AH95" s="41">
        <v>39.54</v>
      </c>
      <c r="AI95" s="44">
        <v>6.22</v>
      </c>
      <c r="AJ95" s="41">
        <v>10.3598</v>
      </c>
      <c r="AK95" s="41">
        <v>3.3325619069659798</v>
      </c>
      <c r="AL95" s="41">
        <v>13.073499999999999</v>
      </c>
      <c r="AM95" s="39">
        <v>19023</v>
      </c>
      <c r="AN95" s="39">
        <v>19106</v>
      </c>
      <c r="AO95" s="40">
        <v>19510</v>
      </c>
      <c r="AP95" s="40">
        <v>22958</v>
      </c>
      <c r="AQ95" s="39">
        <v>1621000</v>
      </c>
      <c r="AR95" s="44">
        <v>577.07369170523316</v>
      </c>
      <c r="AS95" s="39">
        <v>2809</v>
      </c>
      <c r="AT95" s="46">
        <v>1817000</v>
      </c>
      <c r="AU95" s="50">
        <v>633.10104529616729</v>
      </c>
      <c r="AV95" s="39">
        <v>2870</v>
      </c>
      <c r="AW95" s="46">
        <v>1936000</v>
      </c>
      <c r="AX95" s="47">
        <v>659.85003408316288</v>
      </c>
      <c r="AY95" s="39">
        <v>2934</v>
      </c>
      <c r="AZ95" s="41">
        <v>64.600000000000009</v>
      </c>
      <c r="BA95" s="41">
        <v>23.108384458077712</v>
      </c>
      <c r="BB95" s="46">
        <v>2317000</v>
      </c>
      <c r="BC95" s="48">
        <v>2242.9816069699905</v>
      </c>
      <c r="BD95" s="40">
        <v>1033</v>
      </c>
      <c r="BE95" s="46">
        <v>570000</v>
      </c>
      <c r="BF95" s="44">
        <v>780.82191780821915</v>
      </c>
      <c r="BG95" s="40">
        <v>730</v>
      </c>
      <c r="BH95" s="49" t="s">
        <v>382</v>
      </c>
      <c r="BI95" s="49" t="s">
        <v>382</v>
      </c>
      <c r="BJ95" s="213">
        <v>0</v>
      </c>
      <c r="BK95" s="47">
        <v>169.80084905660377</v>
      </c>
      <c r="BL95" s="55">
        <v>1885000</v>
      </c>
      <c r="BM95" s="41">
        <v>9.6686499794829714</v>
      </c>
      <c r="BN95" s="56">
        <v>4045000</v>
      </c>
      <c r="BO95" s="41">
        <v>20.747845711940911</v>
      </c>
      <c r="BP95" s="56">
        <v>1409000</v>
      </c>
      <c r="BQ95" s="41">
        <v>7.2271235125153872</v>
      </c>
      <c r="BR95" s="39">
        <v>2102000</v>
      </c>
      <c r="BS95" s="41">
        <v>10.78169881001231</v>
      </c>
      <c r="BT95" s="39">
        <v>2160000</v>
      </c>
      <c r="BU95" s="41">
        <v>11.07919573245794</v>
      </c>
      <c r="BV95" s="56">
        <v>4608000</v>
      </c>
      <c r="BW95" s="41">
        <v>23.63561756257694</v>
      </c>
      <c r="BX95" s="40">
        <v>3287000</v>
      </c>
      <c r="BY95" s="41">
        <v>16.859868691013542</v>
      </c>
      <c r="BZ95" s="57">
        <v>252.47789981248326</v>
      </c>
      <c r="CA95" s="58">
        <v>188.72220733994106</v>
      </c>
      <c r="CB95" s="59">
        <v>440.79828556121083</v>
      </c>
      <c r="CC95" s="47">
        <v>281.54299491025984</v>
      </c>
      <c r="CD95" s="58">
        <v>257.56763996785429</v>
      </c>
      <c r="CE95" s="59">
        <v>100.9911599249933</v>
      </c>
      <c r="CF95" s="59">
        <v>440.26252343959283</v>
      </c>
      <c r="CG95" s="59">
        <v>31.743905705866595</v>
      </c>
      <c r="CH95" s="47">
        <v>617.19796410393781</v>
      </c>
      <c r="CI95" s="43">
        <v>979</v>
      </c>
      <c r="CJ95" s="44">
        <v>170.75664621676893</v>
      </c>
      <c r="CK95" s="60">
        <v>24.507232550906398</v>
      </c>
      <c r="CL95" s="53">
        <v>881.24440000000004</v>
      </c>
      <c r="CM95" s="41">
        <v>24.507232550906398</v>
      </c>
      <c r="CN95" s="53" t="s">
        <v>382</v>
      </c>
      <c r="CO95" s="41">
        <v>0</v>
      </c>
      <c r="CP95" s="54">
        <v>2714.61</v>
      </c>
      <c r="CQ95" s="41">
        <v>75.492767449093606</v>
      </c>
      <c r="CR95" s="43">
        <v>2841</v>
      </c>
      <c r="CS95" s="52">
        <v>78.951073565645899</v>
      </c>
      <c r="CT95" s="41">
        <v>1422.9530000000002</v>
      </c>
      <c r="CU95" s="41">
        <v>190.59107956067507</v>
      </c>
      <c r="CV95" s="52">
        <v>105</v>
      </c>
      <c r="CW95" s="38">
        <v>2</v>
      </c>
      <c r="CX95" s="38">
        <v>9</v>
      </c>
      <c r="CY95" s="51">
        <v>1</v>
      </c>
      <c r="CZ95" s="41">
        <v>0.72167157781944813</v>
      </c>
      <c r="DA95" s="39">
        <v>4102000</v>
      </c>
      <c r="DB95" s="39">
        <v>4123000</v>
      </c>
      <c r="DC95" s="39">
        <v>2548000</v>
      </c>
      <c r="DD95" s="39">
        <v>2479000</v>
      </c>
      <c r="DE95" s="39">
        <v>5948000</v>
      </c>
      <c r="DF95" s="62">
        <v>5400000</v>
      </c>
      <c r="DG95" s="41">
        <v>110.14999999999999</v>
      </c>
      <c r="DH95" s="41">
        <v>125.25</v>
      </c>
      <c r="DI95" s="41">
        <v>6.9999999999999993E-2</v>
      </c>
      <c r="DJ95" s="37" t="s">
        <v>390</v>
      </c>
      <c r="DK95" s="40">
        <v>221000</v>
      </c>
      <c r="DL95" s="40">
        <v>120000</v>
      </c>
      <c r="DM95" s="40">
        <v>0</v>
      </c>
      <c r="DN95" s="40">
        <v>3913</v>
      </c>
      <c r="DO95" s="40">
        <v>38849</v>
      </c>
      <c r="DP95" s="40">
        <v>207470</v>
      </c>
      <c r="DQ95" s="64">
        <v>111</v>
      </c>
      <c r="DR95" s="40">
        <v>125249</v>
      </c>
      <c r="DS95" s="65">
        <v>28</v>
      </c>
      <c r="DT95" s="38">
        <v>9</v>
      </c>
      <c r="DU95" s="66">
        <v>829.55555555555554</v>
      </c>
      <c r="DV95" s="41">
        <v>28.571428571428569</v>
      </c>
      <c r="DW95" s="41">
        <v>71.428571428571431</v>
      </c>
      <c r="DX95" s="41">
        <v>0</v>
      </c>
      <c r="DY95" s="41">
        <v>0</v>
      </c>
      <c r="DZ95" s="41">
        <v>0</v>
      </c>
      <c r="EA95" s="41">
        <v>42.857142857142854</v>
      </c>
      <c r="EB95" s="41">
        <v>57.142857142857139</v>
      </c>
      <c r="EC95" s="40">
        <v>91</v>
      </c>
      <c r="ED95" s="184">
        <v>82.043956043956044</v>
      </c>
    </row>
    <row r="96" spans="1:134" s="13" customFormat="1">
      <c r="A96" s="156" t="s">
        <v>244</v>
      </c>
      <c r="B96" s="285">
        <v>2014</v>
      </c>
      <c r="C96" s="259">
        <v>9</v>
      </c>
      <c r="D96" s="80" t="s">
        <v>344</v>
      </c>
      <c r="E96" s="56">
        <v>3506.7</v>
      </c>
      <c r="F96" s="56">
        <v>2528</v>
      </c>
      <c r="G96" s="82">
        <v>5.0706566916043219</v>
      </c>
      <c r="H96" s="179">
        <v>0.7</v>
      </c>
      <c r="I96" s="56">
        <v>1366</v>
      </c>
      <c r="J96" s="56">
        <v>54.034810126582279</v>
      </c>
      <c r="K96" s="56">
        <v>1162</v>
      </c>
      <c r="L96" s="84">
        <v>45.965189873417721</v>
      </c>
      <c r="M96" s="160">
        <v>27.8876582278481</v>
      </c>
      <c r="N96" s="160">
        <v>49.802215189873415</v>
      </c>
      <c r="O96" s="160">
        <v>22.310126582278482</v>
      </c>
      <c r="P96" s="160">
        <v>39.121835443037973</v>
      </c>
      <c r="Q96" s="160">
        <v>38.568037974683541</v>
      </c>
      <c r="R96" s="160">
        <v>22.310126582278482</v>
      </c>
      <c r="S96" s="83">
        <v>10.163499779054352</v>
      </c>
      <c r="T96" s="83">
        <v>2.4</v>
      </c>
      <c r="U96" s="38">
        <v>25</v>
      </c>
      <c r="V96" s="41">
        <v>3.2</v>
      </c>
      <c r="W96" s="40">
        <v>34858</v>
      </c>
      <c r="X96" s="41">
        <v>2.5</v>
      </c>
      <c r="Y96" s="42" t="s">
        <v>351</v>
      </c>
      <c r="Z96" s="38">
        <v>400</v>
      </c>
      <c r="AA96" s="45">
        <v>0</v>
      </c>
      <c r="AB96" s="67">
        <v>16</v>
      </c>
      <c r="AC96" s="63">
        <v>25936.52</v>
      </c>
      <c r="AD96" s="43">
        <v>32</v>
      </c>
      <c r="AE96" s="44">
        <v>0.76</v>
      </c>
      <c r="AF96" s="44">
        <v>10.601900000000001</v>
      </c>
      <c r="AG96" s="41">
        <v>52.04</v>
      </c>
      <c r="AH96" s="41">
        <v>47.96</v>
      </c>
      <c r="AI96" s="44">
        <v>8.0500000000000007</v>
      </c>
      <c r="AJ96" s="41">
        <v>0</v>
      </c>
      <c r="AK96" s="41">
        <v>0</v>
      </c>
      <c r="AL96" s="41">
        <v>20.6614</v>
      </c>
      <c r="AM96" s="39">
        <v>8041</v>
      </c>
      <c r="AN96" s="39">
        <v>7041</v>
      </c>
      <c r="AO96" s="40">
        <v>7146</v>
      </c>
      <c r="AP96" s="40">
        <v>9104</v>
      </c>
      <c r="AQ96" s="39">
        <v>185000</v>
      </c>
      <c r="AR96" s="44">
        <v>257.66016713091921</v>
      </c>
      <c r="AS96" s="39">
        <v>718</v>
      </c>
      <c r="AT96" s="46">
        <v>190000</v>
      </c>
      <c r="AU96" s="50">
        <v>264.62395543175489</v>
      </c>
      <c r="AV96" s="39">
        <v>718</v>
      </c>
      <c r="AW96" s="46">
        <v>215000</v>
      </c>
      <c r="AX96" s="47">
        <v>299.44289693593316</v>
      </c>
      <c r="AY96" s="39">
        <v>718</v>
      </c>
      <c r="AZ96" s="41">
        <v>61.8</v>
      </c>
      <c r="BA96" s="41">
        <v>19.916434540389972</v>
      </c>
      <c r="BB96" s="46">
        <v>1636000</v>
      </c>
      <c r="BC96" s="48">
        <v>3164.4100580270792</v>
      </c>
      <c r="BD96" s="40">
        <v>517</v>
      </c>
      <c r="BE96" s="46">
        <v>34000</v>
      </c>
      <c r="BF96" s="44">
        <v>365.59139784946234</v>
      </c>
      <c r="BG96" s="40">
        <v>93</v>
      </c>
      <c r="BH96" s="49" t="s">
        <v>382</v>
      </c>
      <c r="BI96" s="49" t="s">
        <v>382</v>
      </c>
      <c r="BJ96" s="213">
        <v>0</v>
      </c>
      <c r="BK96" s="47">
        <v>86.037853050397871</v>
      </c>
      <c r="BL96" s="55">
        <v>2257000</v>
      </c>
      <c r="BM96" s="41">
        <v>31.58410299468234</v>
      </c>
      <c r="BN96" s="56">
        <v>1012000</v>
      </c>
      <c r="BO96" s="41">
        <v>14.161768821718443</v>
      </c>
      <c r="BP96" s="56">
        <v>452000</v>
      </c>
      <c r="BQ96" s="41">
        <v>6.3252169045619926</v>
      </c>
      <c r="BR96" s="39">
        <v>820000</v>
      </c>
      <c r="BS96" s="41">
        <v>11.474951021550519</v>
      </c>
      <c r="BT96" s="39">
        <v>742000</v>
      </c>
      <c r="BU96" s="41">
        <v>10.383431290232298</v>
      </c>
      <c r="BV96" s="56">
        <v>1197000</v>
      </c>
      <c r="BW96" s="41">
        <v>16.750629722921914</v>
      </c>
      <c r="BX96" s="40">
        <v>666000</v>
      </c>
      <c r="BY96" s="41">
        <v>9.3198992443324933</v>
      </c>
      <c r="BZ96" s="57">
        <v>892.80063291139243</v>
      </c>
      <c r="CA96" s="58">
        <v>178.79746835443038</v>
      </c>
      <c r="CB96" s="59">
        <v>285.6012658227848</v>
      </c>
      <c r="CC96" s="47">
        <v>324.36708860759495</v>
      </c>
      <c r="CD96" s="58">
        <v>261.86708860759495</v>
      </c>
      <c r="CE96" s="59">
        <v>114.71518987341773</v>
      </c>
      <c r="CF96" s="59">
        <v>263.44936708860757</v>
      </c>
      <c r="CG96" s="59">
        <v>31.645569620253166</v>
      </c>
      <c r="CH96" s="47">
        <v>473.49683544303798</v>
      </c>
      <c r="CI96" s="43">
        <v>731</v>
      </c>
      <c r="CJ96" s="44">
        <v>236.76880222841226</v>
      </c>
      <c r="CK96" s="60">
        <v>11.118997306147469</v>
      </c>
      <c r="CL96" s="53">
        <v>137.86000000000001</v>
      </c>
      <c r="CM96" s="41">
        <v>11.118997306147469</v>
      </c>
      <c r="CN96" s="53" t="s">
        <v>382</v>
      </c>
      <c r="CO96" s="41">
        <v>0</v>
      </c>
      <c r="CP96" s="54">
        <v>1102</v>
      </c>
      <c r="CQ96" s="41">
        <v>88.881002693852523</v>
      </c>
      <c r="CR96" s="43">
        <v>1146</v>
      </c>
      <c r="CS96" s="52">
        <v>38.568935427574168</v>
      </c>
      <c r="CT96" s="41">
        <v>613.08999999999992</v>
      </c>
      <c r="CU96" s="41">
        <v>242.51977848101262</v>
      </c>
      <c r="CV96" s="52">
        <v>63.5</v>
      </c>
      <c r="CW96" s="38">
        <v>2</v>
      </c>
      <c r="CX96" s="38">
        <v>6</v>
      </c>
      <c r="CY96" s="51">
        <v>0</v>
      </c>
      <c r="CZ96" s="41">
        <v>14.018196202531646</v>
      </c>
      <c r="DA96" s="39">
        <v>1268000</v>
      </c>
      <c r="DB96" s="39">
        <v>1396000</v>
      </c>
      <c r="DC96" s="39">
        <v>712000</v>
      </c>
      <c r="DD96" s="39">
        <v>652000</v>
      </c>
      <c r="DE96" s="39">
        <v>802000</v>
      </c>
      <c r="DF96" s="62">
        <v>701000</v>
      </c>
      <c r="DG96" s="41">
        <v>114.41</v>
      </c>
      <c r="DH96" s="41">
        <v>163.17999999999998</v>
      </c>
      <c r="DI96" s="41">
        <v>1.34</v>
      </c>
      <c r="DJ96" s="37" t="s">
        <v>390</v>
      </c>
      <c r="DK96" s="40">
        <v>30000</v>
      </c>
      <c r="DL96" s="40">
        <v>87000</v>
      </c>
      <c r="DM96" s="40">
        <v>0</v>
      </c>
      <c r="DN96" s="40">
        <v>7491</v>
      </c>
      <c r="DO96" s="40">
        <v>3196</v>
      </c>
      <c r="DP96" s="40">
        <v>170000</v>
      </c>
      <c r="DQ96" s="64">
        <v>4</v>
      </c>
      <c r="DR96" s="40">
        <v>18034</v>
      </c>
      <c r="DS96" s="65">
        <v>0</v>
      </c>
      <c r="DT96" s="38">
        <v>6</v>
      </c>
      <c r="DU96" s="66">
        <v>421.33333333333331</v>
      </c>
      <c r="DV96" s="41">
        <v>16.666666666666664</v>
      </c>
      <c r="DW96" s="41">
        <v>83.333333333333343</v>
      </c>
      <c r="DX96" s="41">
        <v>0</v>
      </c>
      <c r="DY96" s="41">
        <v>0</v>
      </c>
      <c r="DZ96" s="41">
        <v>0</v>
      </c>
      <c r="EA96" s="41">
        <v>100</v>
      </c>
      <c r="EB96" s="41">
        <v>0</v>
      </c>
      <c r="EC96" s="40">
        <v>39</v>
      </c>
      <c r="ED96" s="184">
        <v>64.820512820512818</v>
      </c>
    </row>
    <row r="97" spans="1:134" s="13" customFormat="1">
      <c r="A97" s="156" t="s">
        <v>245</v>
      </c>
      <c r="B97" s="285">
        <v>2014</v>
      </c>
      <c r="C97" s="259">
        <v>11</v>
      </c>
      <c r="D97" s="80" t="s">
        <v>345</v>
      </c>
      <c r="E97" s="56">
        <v>3405</v>
      </c>
      <c r="F97" s="56">
        <v>17045</v>
      </c>
      <c r="G97" s="82">
        <v>7.3497921652601077</v>
      </c>
      <c r="H97" s="179">
        <v>5</v>
      </c>
      <c r="I97" s="56">
        <v>8959</v>
      </c>
      <c r="J97" s="56">
        <v>52.560868289821059</v>
      </c>
      <c r="K97" s="56">
        <v>8086</v>
      </c>
      <c r="L97" s="84">
        <v>47.439131710178941</v>
      </c>
      <c r="M97" s="160">
        <v>28.71809914931065</v>
      </c>
      <c r="N97" s="160">
        <v>55.488413024347317</v>
      </c>
      <c r="O97" s="160">
        <v>15.793487826342037</v>
      </c>
      <c r="P97" s="160">
        <v>44.059841595775886</v>
      </c>
      <c r="Q97" s="160">
        <v>40.146670577882077</v>
      </c>
      <c r="R97" s="160">
        <v>15.793487826342037</v>
      </c>
      <c r="S97" s="83">
        <v>5.3761398176291797</v>
      </c>
      <c r="T97" s="83">
        <v>2.8</v>
      </c>
      <c r="U97" s="38">
        <v>78</v>
      </c>
      <c r="V97" s="41">
        <v>11.4</v>
      </c>
      <c r="W97" s="40">
        <v>57889</v>
      </c>
      <c r="X97" s="41">
        <v>2.6</v>
      </c>
      <c r="Y97" s="42" t="s">
        <v>94</v>
      </c>
      <c r="Z97" s="43">
        <v>1017</v>
      </c>
      <c r="AA97" s="45">
        <v>7</v>
      </c>
      <c r="AB97" s="63">
        <v>134</v>
      </c>
      <c r="AC97" s="63">
        <v>39341.22</v>
      </c>
      <c r="AD97" s="43">
        <v>47</v>
      </c>
      <c r="AE97" s="44">
        <v>-3.09</v>
      </c>
      <c r="AF97" s="44">
        <v>1.839</v>
      </c>
      <c r="AG97" s="41">
        <v>53.6</v>
      </c>
      <c r="AH97" s="41">
        <v>46.4</v>
      </c>
      <c r="AI97" s="44">
        <v>5.2</v>
      </c>
      <c r="AJ97" s="41">
        <v>4.1802999999999999</v>
      </c>
      <c r="AK97" s="41">
        <v>5.9083719808058337</v>
      </c>
      <c r="AL97" s="41">
        <v>13.988800000000001</v>
      </c>
      <c r="AM97" s="39">
        <v>36546</v>
      </c>
      <c r="AN97" s="39">
        <v>38308</v>
      </c>
      <c r="AO97" s="40">
        <v>39949</v>
      </c>
      <c r="AP97" s="40">
        <v>59909</v>
      </c>
      <c r="AQ97" s="39">
        <v>4165000</v>
      </c>
      <c r="AR97" s="44">
        <v>650.37476577139284</v>
      </c>
      <c r="AS97" s="39">
        <v>6404</v>
      </c>
      <c r="AT97" s="46">
        <v>4450000</v>
      </c>
      <c r="AU97" s="50">
        <v>684.19434194341943</v>
      </c>
      <c r="AV97" s="39">
        <v>6504</v>
      </c>
      <c r="AW97" s="46">
        <v>4653000</v>
      </c>
      <c r="AX97" s="47">
        <v>713.540867965036</v>
      </c>
      <c r="AY97" s="39">
        <v>6521</v>
      </c>
      <c r="AZ97" s="41">
        <v>68.100000000000009</v>
      </c>
      <c r="BA97" s="41">
        <v>12.314062260389511</v>
      </c>
      <c r="BB97" s="46">
        <v>1260000</v>
      </c>
      <c r="BC97" s="48">
        <v>2709.6774193548385</v>
      </c>
      <c r="BD97" s="40">
        <v>465</v>
      </c>
      <c r="BE97" s="46">
        <v>1195000</v>
      </c>
      <c r="BF97" s="44">
        <v>1918.1380417335474</v>
      </c>
      <c r="BG97" s="40">
        <v>623</v>
      </c>
      <c r="BH97" s="46">
        <v>3860000</v>
      </c>
      <c r="BI97" s="49">
        <v>62258.06451612903</v>
      </c>
      <c r="BJ97" s="45">
        <v>62</v>
      </c>
      <c r="BK97" s="47">
        <v>117.8412769876003</v>
      </c>
      <c r="BL97" s="55">
        <v>5004000</v>
      </c>
      <c r="BM97" s="41">
        <v>12.525970612530976</v>
      </c>
      <c r="BN97" s="56">
        <v>9094000</v>
      </c>
      <c r="BO97" s="41">
        <v>22.764024130766728</v>
      </c>
      <c r="BP97" s="56">
        <v>6005000</v>
      </c>
      <c r="BQ97" s="41">
        <v>15.031665373351021</v>
      </c>
      <c r="BR97" s="39">
        <v>2388000</v>
      </c>
      <c r="BS97" s="41">
        <v>5.9776214673708976</v>
      </c>
      <c r="BT97" s="39">
        <v>4990000</v>
      </c>
      <c r="BU97" s="41">
        <v>12.490925930561465</v>
      </c>
      <c r="BV97" s="56">
        <v>3449000</v>
      </c>
      <c r="BW97" s="41">
        <v>8.6335077223459908</v>
      </c>
      <c r="BX97" s="40">
        <v>9019000</v>
      </c>
      <c r="BY97" s="41">
        <v>22.57628476307292</v>
      </c>
      <c r="BZ97" s="57">
        <v>293.57582868876506</v>
      </c>
      <c r="CA97" s="58">
        <v>352.30272807274861</v>
      </c>
      <c r="CB97" s="59">
        <v>465.59108242886475</v>
      </c>
      <c r="CC97" s="47">
        <v>140.09973599295981</v>
      </c>
      <c r="CD97" s="58">
        <v>241.71311234966265</v>
      </c>
      <c r="CE97" s="59">
        <v>67.937811674977993</v>
      </c>
      <c r="CF97" s="59">
        <v>529.12877676738049</v>
      </c>
      <c r="CG97" s="59">
        <v>51.041361102962746</v>
      </c>
      <c r="CH97" s="47">
        <v>202.34672924611323</v>
      </c>
      <c r="CI97" s="43">
        <v>1128</v>
      </c>
      <c r="CJ97" s="44">
        <v>281.70525992945869</v>
      </c>
      <c r="CK97" s="60">
        <v>43.607112524463965</v>
      </c>
      <c r="CL97" s="53">
        <v>2096.86</v>
      </c>
      <c r="CM97" s="41">
        <v>22.773589127030156</v>
      </c>
      <c r="CN97" s="53">
        <v>1918.2299999999998</v>
      </c>
      <c r="CO97" s="41">
        <v>20.833523397433808</v>
      </c>
      <c r="CP97" s="54">
        <v>5192.33</v>
      </c>
      <c r="CQ97" s="41">
        <v>56.392887475536035</v>
      </c>
      <c r="CR97" s="43">
        <v>10007</v>
      </c>
      <c r="CS97" s="52">
        <v>47.216948136304588</v>
      </c>
      <c r="CT97" s="41">
        <v>621.99000000000012</v>
      </c>
      <c r="CU97" s="41">
        <v>36.491053094749198</v>
      </c>
      <c r="CV97" s="52">
        <v>358.16</v>
      </c>
      <c r="CW97" s="38">
        <v>2</v>
      </c>
      <c r="CX97" s="38">
        <v>2</v>
      </c>
      <c r="CY97" s="51">
        <v>2</v>
      </c>
      <c r="CZ97" s="41">
        <v>3.1481959518920504</v>
      </c>
      <c r="DA97" s="39">
        <v>4621000</v>
      </c>
      <c r="DB97" s="39">
        <v>5655000</v>
      </c>
      <c r="DC97" s="39">
        <v>5874000</v>
      </c>
      <c r="DD97" s="39">
        <v>6909000</v>
      </c>
      <c r="DE97" s="39">
        <v>4632000</v>
      </c>
      <c r="DF97" s="62">
        <v>5982000</v>
      </c>
      <c r="DG97" s="41">
        <v>77.429999999999993</v>
      </c>
      <c r="DH97" s="41">
        <v>162.76</v>
      </c>
      <c r="DI97" s="41">
        <v>2.4699999999999998</v>
      </c>
      <c r="DJ97" s="37" t="s">
        <v>390</v>
      </c>
      <c r="DK97" s="40">
        <v>15000</v>
      </c>
      <c r="DL97" s="40">
        <v>152000</v>
      </c>
      <c r="DM97" s="40">
        <v>0</v>
      </c>
      <c r="DN97" s="40">
        <v>4121</v>
      </c>
      <c r="DO97" s="40">
        <v>0</v>
      </c>
      <c r="DP97" s="40">
        <v>222227</v>
      </c>
      <c r="DQ97" s="64">
        <v>2</v>
      </c>
      <c r="DR97" s="40">
        <v>3970</v>
      </c>
      <c r="DS97" s="65">
        <v>1</v>
      </c>
      <c r="DT97" s="38">
        <v>12</v>
      </c>
      <c r="DU97" s="66">
        <v>1420.4166666666667</v>
      </c>
      <c r="DV97" s="41">
        <v>33.333333333333329</v>
      </c>
      <c r="DW97" s="41">
        <v>66.666666666666657</v>
      </c>
      <c r="DX97" s="41">
        <v>8.3333333333333321</v>
      </c>
      <c r="DY97" s="41">
        <v>0</v>
      </c>
      <c r="DZ97" s="41">
        <v>0</v>
      </c>
      <c r="EA97" s="41">
        <v>66.666666666666657</v>
      </c>
      <c r="EB97" s="41">
        <v>33.333333333333329</v>
      </c>
      <c r="EC97" s="40">
        <v>158</v>
      </c>
      <c r="ED97" s="184">
        <v>107.87974683544304</v>
      </c>
    </row>
    <row r="98" spans="1:134" s="13" customFormat="1">
      <c r="A98" s="156" t="s">
        <v>246</v>
      </c>
      <c r="B98" s="285">
        <v>2014</v>
      </c>
      <c r="C98" s="259">
        <v>11</v>
      </c>
      <c r="D98" s="80" t="s">
        <v>345</v>
      </c>
      <c r="E98" s="56">
        <v>1491.4</v>
      </c>
      <c r="F98" s="56">
        <v>19655</v>
      </c>
      <c r="G98" s="82">
        <v>4.0387465593902183</v>
      </c>
      <c r="H98" s="179">
        <v>13.2</v>
      </c>
      <c r="I98" s="56">
        <v>9579</v>
      </c>
      <c r="J98" s="56">
        <v>48.735690663953193</v>
      </c>
      <c r="K98" s="56">
        <v>10076</v>
      </c>
      <c r="L98" s="84">
        <v>51.264309336046807</v>
      </c>
      <c r="M98" s="160">
        <v>23.001780717374714</v>
      </c>
      <c r="N98" s="160">
        <v>42.340371406766728</v>
      </c>
      <c r="O98" s="160">
        <v>34.657847875858558</v>
      </c>
      <c r="P98" s="160">
        <v>30.572373441872298</v>
      </c>
      <c r="Q98" s="160">
        <v>34.769778682269141</v>
      </c>
      <c r="R98" s="160">
        <v>34.657847875858558</v>
      </c>
      <c r="S98" s="83">
        <v>7.305299291997426</v>
      </c>
      <c r="T98" s="83">
        <v>2.2999999999999998</v>
      </c>
      <c r="U98" s="38">
        <v>9</v>
      </c>
      <c r="V98" s="41">
        <v>9.6999999999999993</v>
      </c>
      <c r="W98" s="40">
        <v>34014</v>
      </c>
      <c r="X98" s="41">
        <v>2.2999999999999998</v>
      </c>
      <c r="Y98" s="42" t="s">
        <v>350</v>
      </c>
      <c r="Z98" s="43">
        <v>1444</v>
      </c>
      <c r="AA98" s="45">
        <v>9</v>
      </c>
      <c r="AB98" s="63">
        <v>198</v>
      </c>
      <c r="AC98" s="63">
        <v>53328.49</v>
      </c>
      <c r="AD98" s="43">
        <v>42</v>
      </c>
      <c r="AE98" s="44">
        <v>3.36</v>
      </c>
      <c r="AF98" s="44">
        <v>2.0005999999999999</v>
      </c>
      <c r="AG98" s="41">
        <v>54.18</v>
      </c>
      <c r="AH98" s="41">
        <v>45.82</v>
      </c>
      <c r="AI98" s="44">
        <v>4.4000000000000004</v>
      </c>
      <c r="AJ98" s="41">
        <v>2.4741</v>
      </c>
      <c r="AK98" s="41">
        <v>14.349897152755222</v>
      </c>
      <c r="AL98" s="41">
        <v>11.6074</v>
      </c>
      <c r="AM98" s="39">
        <v>42328</v>
      </c>
      <c r="AN98" s="39">
        <v>35480</v>
      </c>
      <c r="AO98" s="40">
        <v>40485</v>
      </c>
      <c r="AP98" s="40">
        <v>47286</v>
      </c>
      <c r="AQ98" s="39">
        <v>6209000</v>
      </c>
      <c r="AR98" s="44">
        <v>761.65358194308146</v>
      </c>
      <c r="AS98" s="39">
        <v>8152</v>
      </c>
      <c r="AT98" s="46">
        <v>6484000</v>
      </c>
      <c r="AU98" s="50">
        <v>794.90008581586369</v>
      </c>
      <c r="AV98" s="39">
        <v>8157</v>
      </c>
      <c r="AW98" s="46">
        <v>7077000</v>
      </c>
      <c r="AX98" s="47">
        <v>863.8916015625</v>
      </c>
      <c r="AY98" s="39">
        <v>8192</v>
      </c>
      <c r="AZ98" s="41">
        <v>63.3</v>
      </c>
      <c r="BA98" s="41">
        <v>31.1767578125</v>
      </c>
      <c r="BB98" s="46">
        <v>821000</v>
      </c>
      <c r="BC98" s="48">
        <v>1710.4166666666667</v>
      </c>
      <c r="BD98" s="40">
        <v>480</v>
      </c>
      <c r="BE98" s="46">
        <v>1013000</v>
      </c>
      <c r="BF98" s="44">
        <v>1693.9799331103679</v>
      </c>
      <c r="BG98" s="40">
        <v>598</v>
      </c>
      <c r="BH98" s="49" t="s">
        <v>382</v>
      </c>
      <c r="BI98" s="49" t="s">
        <v>382</v>
      </c>
      <c r="BJ98" s="213">
        <v>0</v>
      </c>
      <c r="BK98" s="47">
        <v>152.20752990685671</v>
      </c>
      <c r="BL98" s="55">
        <v>4398000</v>
      </c>
      <c r="BM98" s="41">
        <v>10.863282697295293</v>
      </c>
      <c r="BN98" s="56">
        <v>10907000</v>
      </c>
      <c r="BO98" s="41">
        <v>26.940842287266886</v>
      </c>
      <c r="BP98" s="56">
        <v>6382000</v>
      </c>
      <c r="BQ98" s="41">
        <v>15.763863159194763</v>
      </c>
      <c r="BR98" s="39">
        <v>1899000</v>
      </c>
      <c r="BS98" s="41">
        <v>4.6906261578362356</v>
      </c>
      <c r="BT98" s="39">
        <v>3383000</v>
      </c>
      <c r="BU98" s="41">
        <v>8.3561813017166848</v>
      </c>
      <c r="BV98" s="56">
        <v>12025000</v>
      </c>
      <c r="BW98" s="41">
        <v>29.702358898357417</v>
      </c>
      <c r="BX98" s="40">
        <v>1491000</v>
      </c>
      <c r="BY98" s="41">
        <v>3.6828454983327159</v>
      </c>
      <c r="BZ98" s="57">
        <v>223.75985754261004</v>
      </c>
      <c r="CA98" s="58">
        <v>324.70109386924446</v>
      </c>
      <c r="CB98" s="59">
        <v>483.69371661154923</v>
      </c>
      <c r="CC98" s="47">
        <v>96.616636988043751</v>
      </c>
      <c r="CD98" s="58">
        <v>139.70999745611803</v>
      </c>
      <c r="CE98" s="59">
        <v>71.228694988552533</v>
      </c>
      <c r="CF98" s="59">
        <v>75.858560162808445</v>
      </c>
      <c r="CG98" s="59">
        <v>32.409056219791402</v>
      </c>
      <c r="CH98" s="47">
        <v>611.80361231238874</v>
      </c>
      <c r="CI98" s="43">
        <v>1097</v>
      </c>
      <c r="CJ98" s="44">
        <v>416.1376953125</v>
      </c>
      <c r="CK98" s="60">
        <v>75.288510358013568</v>
      </c>
      <c r="CL98" s="53">
        <v>2143.92</v>
      </c>
      <c r="CM98" s="41">
        <v>24.51617624861062</v>
      </c>
      <c r="CN98" s="53">
        <v>2970</v>
      </c>
      <c r="CO98" s="41">
        <v>33.962574843451968</v>
      </c>
      <c r="CP98" s="54">
        <v>2161</v>
      </c>
      <c r="CQ98" s="41">
        <v>24.711489641986432</v>
      </c>
      <c r="CR98" s="43">
        <v>7608</v>
      </c>
      <c r="CS98" s="52">
        <v>61.15930599369085</v>
      </c>
      <c r="CT98" s="41">
        <v>708.13</v>
      </c>
      <c r="CU98" s="41">
        <v>36.027982701602646</v>
      </c>
      <c r="CV98" s="52">
        <v>515</v>
      </c>
      <c r="CW98" s="38">
        <v>1</v>
      </c>
      <c r="CX98" s="38">
        <v>15</v>
      </c>
      <c r="CY98" s="51">
        <v>2</v>
      </c>
      <c r="CZ98" s="41">
        <v>4.6974306792164846</v>
      </c>
      <c r="DA98" s="39">
        <v>5378000</v>
      </c>
      <c r="DB98" s="39">
        <v>7848000</v>
      </c>
      <c r="DC98" s="39">
        <v>5827000</v>
      </c>
      <c r="DD98" s="39">
        <v>6278000</v>
      </c>
      <c r="DE98" s="39">
        <v>2660000</v>
      </c>
      <c r="DF98" s="62">
        <v>1827000</v>
      </c>
      <c r="DG98" s="41">
        <v>145.59</v>
      </c>
      <c r="DH98" s="41">
        <v>59.57</v>
      </c>
      <c r="DI98" s="41">
        <v>3.44</v>
      </c>
      <c r="DJ98" s="37" t="s">
        <v>390</v>
      </c>
      <c r="DK98" s="40">
        <v>32000</v>
      </c>
      <c r="DL98" s="40">
        <v>122000</v>
      </c>
      <c r="DM98" s="40">
        <v>0</v>
      </c>
      <c r="DN98" s="40">
        <v>1610.46</v>
      </c>
      <c r="DO98" s="40">
        <v>3284</v>
      </c>
      <c r="DP98" s="40">
        <v>221827</v>
      </c>
      <c r="DQ98" s="64">
        <v>0</v>
      </c>
      <c r="DR98" s="40">
        <v>0</v>
      </c>
      <c r="DS98" s="65">
        <v>0</v>
      </c>
      <c r="DT98" s="38">
        <v>9</v>
      </c>
      <c r="DU98" s="66">
        <v>2183.8888888888887</v>
      </c>
      <c r="DV98" s="41">
        <v>55.555555555555557</v>
      </c>
      <c r="DW98" s="41">
        <v>44.444444444444443</v>
      </c>
      <c r="DX98" s="41">
        <v>11.111111111111111</v>
      </c>
      <c r="DY98" s="41">
        <v>0</v>
      </c>
      <c r="DZ98" s="41">
        <v>0</v>
      </c>
      <c r="EA98" s="41">
        <v>44.444444444444443</v>
      </c>
      <c r="EB98" s="41">
        <v>55.555555555555557</v>
      </c>
      <c r="EC98" s="40">
        <v>107.94</v>
      </c>
      <c r="ED98" s="184">
        <v>182.09190290902353</v>
      </c>
    </row>
    <row r="99" spans="1:134" s="13" customFormat="1">
      <c r="A99" s="156" t="s">
        <v>247</v>
      </c>
      <c r="B99" s="285">
        <v>2014</v>
      </c>
      <c r="C99" s="259">
        <v>11</v>
      </c>
      <c r="D99" s="80" t="s">
        <v>345</v>
      </c>
      <c r="E99" s="56">
        <v>13014.1</v>
      </c>
      <c r="F99" s="56">
        <v>13764</v>
      </c>
      <c r="G99" s="82">
        <v>3.1088471046520341</v>
      </c>
      <c r="H99" s="179">
        <v>1.1000000000000001</v>
      </c>
      <c r="I99" s="56">
        <v>7001</v>
      </c>
      <c r="J99" s="56">
        <v>50.864574251671023</v>
      </c>
      <c r="K99" s="56">
        <v>6763</v>
      </c>
      <c r="L99" s="84">
        <v>49.135425748328977</v>
      </c>
      <c r="M99" s="160">
        <v>27.956989247311824</v>
      </c>
      <c r="N99" s="160">
        <v>49.324324324324323</v>
      </c>
      <c r="O99" s="160">
        <v>22.718686428363849</v>
      </c>
      <c r="P99" s="160">
        <v>38.818657367044466</v>
      </c>
      <c r="Q99" s="160">
        <v>38.462656204591688</v>
      </c>
      <c r="R99" s="160">
        <v>22.718686428363849</v>
      </c>
      <c r="S99" s="83">
        <v>10.75268817204301</v>
      </c>
      <c r="T99" s="83">
        <v>1.5</v>
      </c>
      <c r="U99" s="38">
        <v>54</v>
      </c>
      <c r="V99" s="41">
        <v>7.8</v>
      </c>
      <c r="W99" s="40">
        <v>43389</v>
      </c>
      <c r="X99" s="41">
        <v>2.5</v>
      </c>
      <c r="Y99" s="42" t="s">
        <v>351</v>
      </c>
      <c r="Z99" s="43">
        <v>1533</v>
      </c>
      <c r="AA99" s="45">
        <v>6</v>
      </c>
      <c r="AB99" s="63">
        <v>136</v>
      </c>
      <c r="AC99" s="63">
        <v>20984.205000000002</v>
      </c>
      <c r="AD99" s="43">
        <v>40</v>
      </c>
      <c r="AE99" s="44">
        <v>2.14</v>
      </c>
      <c r="AF99" s="44">
        <v>2.0672999999999999</v>
      </c>
      <c r="AG99" s="41">
        <v>56.14</v>
      </c>
      <c r="AH99" s="41">
        <v>43.86</v>
      </c>
      <c r="AI99" s="44">
        <v>7.12</v>
      </c>
      <c r="AJ99" s="41">
        <v>2.9430999999999998</v>
      </c>
      <c r="AK99" s="41">
        <v>9.1136534771308515</v>
      </c>
      <c r="AL99" s="41">
        <v>17.100999999999999</v>
      </c>
      <c r="AM99" s="39">
        <v>42804</v>
      </c>
      <c r="AN99" s="39">
        <v>46691</v>
      </c>
      <c r="AO99" s="40">
        <v>40897</v>
      </c>
      <c r="AP99" s="40">
        <v>53324</v>
      </c>
      <c r="AQ99" s="39">
        <v>3468000</v>
      </c>
      <c r="AR99" s="44">
        <v>759.85977212971079</v>
      </c>
      <c r="AS99" s="39">
        <v>4564</v>
      </c>
      <c r="AT99" s="46">
        <v>3721000</v>
      </c>
      <c r="AU99" s="50">
        <v>822.50221043324495</v>
      </c>
      <c r="AV99" s="39">
        <v>4524</v>
      </c>
      <c r="AW99" s="46">
        <v>3878000</v>
      </c>
      <c r="AX99" s="47">
        <v>856.25965996908815</v>
      </c>
      <c r="AY99" s="39">
        <v>4529</v>
      </c>
      <c r="AZ99" s="41">
        <v>60.9</v>
      </c>
      <c r="BA99" s="41">
        <v>20.534334290130271</v>
      </c>
      <c r="BB99" s="46">
        <v>5858000</v>
      </c>
      <c r="BC99" s="48">
        <v>3533.1724969843185</v>
      </c>
      <c r="BD99" s="40">
        <v>1658</v>
      </c>
      <c r="BE99" s="46">
        <v>1103000</v>
      </c>
      <c r="BF99" s="47">
        <v>1905.0086355785838</v>
      </c>
      <c r="BG99" s="40">
        <v>579</v>
      </c>
      <c r="BH99" s="46">
        <v>831000</v>
      </c>
      <c r="BI99" s="49">
        <v>118714.28571428571</v>
      </c>
      <c r="BJ99" s="45">
        <v>7</v>
      </c>
      <c r="BK99" s="47">
        <v>135.10817823479007</v>
      </c>
      <c r="BL99" s="55">
        <v>6770000</v>
      </c>
      <c r="BM99" s="41">
        <v>16.553781450962173</v>
      </c>
      <c r="BN99" s="56">
        <v>6611000</v>
      </c>
      <c r="BO99" s="41">
        <v>16.164999877741643</v>
      </c>
      <c r="BP99" s="56">
        <v>3128000</v>
      </c>
      <c r="BQ99" s="41">
        <v>7.6484827737975891</v>
      </c>
      <c r="BR99" s="39">
        <v>972000</v>
      </c>
      <c r="BS99" s="41">
        <v>2.3767024476122947</v>
      </c>
      <c r="BT99" s="39">
        <v>6175000</v>
      </c>
      <c r="BU99" s="41">
        <v>15.098907010294155</v>
      </c>
      <c r="BV99" s="56">
        <v>11661000</v>
      </c>
      <c r="BW99" s="41">
        <v>28.51309386996601</v>
      </c>
      <c r="BX99" s="40">
        <v>5580000</v>
      </c>
      <c r="BY99" s="41">
        <v>13.644032569626132</v>
      </c>
      <c r="BZ99" s="57">
        <v>491.86283057250802</v>
      </c>
      <c r="CA99" s="58">
        <v>227.25951758209823</v>
      </c>
      <c r="CB99" s="59">
        <v>408.82011043301367</v>
      </c>
      <c r="CC99" s="47">
        <v>70.619006102877066</v>
      </c>
      <c r="CD99" s="58">
        <v>401.84539378087766</v>
      </c>
      <c r="CE99" s="59">
        <v>71.490845684394074</v>
      </c>
      <c r="CF99" s="59">
        <v>405.40540540540542</v>
      </c>
      <c r="CG99" s="59">
        <v>46.788724208079046</v>
      </c>
      <c r="CH99" s="47">
        <v>847.21011333914555</v>
      </c>
      <c r="CI99" s="43">
        <v>1268</v>
      </c>
      <c r="CJ99" s="44">
        <v>472.06888937955398</v>
      </c>
      <c r="CK99" s="60">
        <v>25.404995810287978</v>
      </c>
      <c r="CL99" s="53">
        <v>1615.74</v>
      </c>
      <c r="CM99" s="41">
        <v>18.778045211699581</v>
      </c>
      <c r="CN99" s="53">
        <v>551.21</v>
      </c>
      <c r="CO99" s="41">
        <v>6.4061335989335708</v>
      </c>
      <c r="CP99" s="54">
        <v>6418.46</v>
      </c>
      <c r="CQ99" s="41">
        <v>74.595004189712029</v>
      </c>
      <c r="CR99" s="43">
        <v>6539</v>
      </c>
      <c r="CS99" s="52">
        <v>36.580516898608352</v>
      </c>
      <c r="CT99" s="41">
        <v>2316.58</v>
      </c>
      <c r="CU99" s="41">
        <v>168.30717814588783</v>
      </c>
      <c r="CV99" s="52">
        <v>349.4</v>
      </c>
      <c r="CW99" s="38">
        <v>4</v>
      </c>
      <c r="CX99" s="38">
        <v>3</v>
      </c>
      <c r="CY99" s="51">
        <v>3</v>
      </c>
      <c r="CZ99" s="41">
        <v>4.0387242080790466</v>
      </c>
      <c r="DA99" s="39">
        <v>11415000</v>
      </c>
      <c r="DB99" s="39">
        <v>14590000</v>
      </c>
      <c r="DC99" s="39">
        <v>9069000</v>
      </c>
      <c r="DD99" s="39">
        <v>7952000</v>
      </c>
      <c r="DE99" s="39">
        <v>7311000</v>
      </c>
      <c r="DF99" s="62">
        <v>6345000</v>
      </c>
      <c r="DG99" s="41">
        <v>115.21999999999998</v>
      </c>
      <c r="DH99" s="41">
        <v>100.49999999999999</v>
      </c>
      <c r="DI99" s="41">
        <v>3.74</v>
      </c>
      <c r="DJ99" s="37" t="s">
        <v>390</v>
      </c>
      <c r="DK99" s="40">
        <v>108000</v>
      </c>
      <c r="DL99" s="40">
        <v>141000</v>
      </c>
      <c r="DM99" s="40">
        <v>0</v>
      </c>
      <c r="DN99" s="40">
        <v>21824.73</v>
      </c>
      <c r="DO99" s="40">
        <v>4319</v>
      </c>
      <c r="DP99" s="40">
        <v>209000</v>
      </c>
      <c r="DQ99" s="64">
        <v>0</v>
      </c>
      <c r="DR99" s="40">
        <v>0</v>
      </c>
      <c r="DS99" s="65">
        <v>0</v>
      </c>
      <c r="DT99" s="38">
        <v>12</v>
      </c>
      <c r="DU99" s="66">
        <v>1147</v>
      </c>
      <c r="DV99" s="41">
        <v>33.333333333333329</v>
      </c>
      <c r="DW99" s="41">
        <v>66.666666666666657</v>
      </c>
      <c r="DX99" s="41">
        <v>8.3333333333333321</v>
      </c>
      <c r="DY99" s="41">
        <v>8.3333333333333321</v>
      </c>
      <c r="DZ99" s="41">
        <v>0</v>
      </c>
      <c r="EA99" s="41">
        <v>50</v>
      </c>
      <c r="EB99" s="41">
        <v>50</v>
      </c>
      <c r="EC99" s="40">
        <v>162</v>
      </c>
      <c r="ED99" s="184">
        <v>84.962962962962962</v>
      </c>
    </row>
    <row r="100" spans="1:134" s="13" customFormat="1">
      <c r="A100" s="156" t="s">
        <v>248</v>
      </c>
      <c r="B100" s="285">
        <v>2014</v>
      </c>
      <c r="C100" s="259">
        <v>10</v>
      </c>
      <c r="D100" s="80" t="s">
        <v>345</v>
      </c>
      <c r="E100" s="56">
        <v>4116.2</v>
      </c>
      <c r="F100" s="56">
        <v>5961</v>
      </c>
      <c r="G100" s="82">
        <v>-2.1664204825209259</v>
      </c>
      <c r="H100" s="179">
        <v>1.4</v>
      </c>
      <c r="I100" s="56">
        <v>2996</v>
      </c>
      <c r="J100" s="56">
        <v>50.260023485992278</v>
      </c>
      <c r="K100" s="56">
        <v>2965</v>
      </c>
      <c r="L100" s="84">
        <v>49.739976514007715</v>
      </c>
      <c r="M100" s="160">
        <v>26.37141419224962</v>
      </c>
      <c r="N100" s="160">
        <v>46.552591847005537</v>
      </c>
      <c r="O100" s="160">
        <v>27.075993960744842</v>
      </c>
      <c r="P100" s="160">
        <v>34.792819996644859</v>
      </c>
      <c r="Q100" s="160">
        <v>38.131186042610295</v>
      </c>
      <c r="R100" s="160">
        <v>27.075993960744842</v>
      </c>
      <c r="S100" s="83">
        <v>10.030498136225008</v>
      </c>
      <c r="T100" s="83">
        <v>2.2999999999999998</v>
      </c>
      <c r="U100" s="38">
        <v>17</v>
      </c>
      <c r="V100" s="41">
        <v>5.5</v>
      </c>
      <c r="W100" s="40">
        <v>42102</v>
      </c>
      <c r="X100" s="41">
        <v>2.4</v>
      </c>
      <c r="Y100" s="42" t="s">
        <v>351</v>
      </c>
      <c r="Z100" s="43">
        <v>577</v>
      </c>
      <c r="AA100" s="45">
        <v>0</v>
      </c>
      <c r="AB100" s="67">
        <v>45</v>
      </c>
      <c r="AC100" s="63">
        <v>3897.5889999999999</v>
      </c>
      <c r="AD100" s="43">
        <v>56</v>
      </c>
      <c r="AE100" s="44">
        <v>1.76</v>
      </c>
      <c r="AF100" s="44">
        <v>4.7682000000000002</v>
      </c>
      <c r="AG100" s="41">
        <v>68.650000000000006</v>
      </c>
      <c r="AH100" s="41">
        <v>31.349999999999994</v>
      </c>
      <c r="AI100" s="44">
        <v>8.06</v>
      </c>
      <c r="AJ100" s="41">
        <v>469.6</v>
      </c>
      <c r="AK100" s="41">
        <v>5.0218450258625022E-2</v>
      </c>
      <c r="AL100" s="41">
        <v>18.180699999999998</v>
      </c>
      <c r="AM100" s="39">
        <v>19100</v>
      </c>
      <c r="AN100" s="39">
        <v>19507</v>
      </c>
      <c r="AO100" s="40">
        <v>19563</v>
      </c>
      <c r="AP100" s="40">
        <v>20607</v>
      </c>
      <c r="AQ100" s="39">
        <v>1209000</v>
      </c>
      <c r="AR100" s="44">
        <v>511.63774862462969</v>
      </c>
      <c r="AS100" s="39">
        <v>2363</v>
      </c>
      <c r="AT100" s="46">
        <v>1264000</v>
      </c>
      <c r="AU100" s="50">
        <v>529.76</v>
      </c>
      <c r="AV100" s="39">
        <v>2386</v>
      </c>
      <c r="AW100" s="46">
        <v>1302000</v>
      </c>
      <c r="AX100" s="47">
        <v>545.68315171835707</v>
      </c>
      <c r="AY100" s="39">
        <v>2386</v>
      </c>
      <c r="AZ100" s="41">
        <v>56.8</v>
      </c>
      <c r="BA100" s="41">
        <v>26.781223805532271</v>
      </c>
      <c r="BB100" s="46">
        <v>2642000</v>
      </c>
      <c r="BC100" s="48">
        <v>3111.8963486454654</v>
      </c>
      <c r="BD100" s="40">
        <v>849</v>
      </c>
      <c r="BE100" s="46">
        <v>382000</v>
      </c>
      <c r="BF100" s="47">
        <v>1073.0337078651685</v>
      </c>
      <c r="BG100" s="40">
        <v>356</v>
      </c>
      <c r="BH100" s="49" t="s">
        <v>382</v>
      </c>
      <c r="BI100" s="49" t="s">
        <v>382</v>
      </c>
      <c r="BJ100" s="213">
        <v>0</v>
      </c>
      <c r="BK100" s="47">
        <v>131.96064493758669</v>
      </c>
      <c r="BL100" s="55">
        <v>3495000</v>
      </c>
      <c r="BM100" s="41">
        <v>17.865358073915043</v>
      </c>
      <c r="BN100" s="56">
        <v>3027000</v>
      </c>
      <c r="BO100" s="41">
        <v>15.473086949854316</v>
      </c>
      <c r="BP100" s="56">
        <v>988000</v>
      </c>
      <c r="BQ100" s="41">
        <v>5.0503501507948672</v>
      </c>
      <c r="BR100" s="39">
        <v>4356000</v>
      </c>
      <c r="BS100" s="41">
        <v>22.266523539334457</v>
      </c>
      <c r="BT100" s="39">
        <v>2598000</v>
      </c>
      <c r="BU100" s="41">
        <v>13.280171752798649</v>
      </c>
      <c r="BV100" s="56">
        <v>3217000</v>
      </c>
      <c r="BW100" s="41">
        <v>16.444308132699483</v>
      </c>
      <c r="BX100" s="40">
        <v>1882000</v>
      </c>
      <c r="BY100" s="41">
        <v>9.6202014006031789</v>
      </c>
      <c r="BZ100" s="57">
        <v>586.31102164066431</v>
      </c>
      <c r="CA100" s="58">
        <v>165.74400268411341</v>
      </c>
      <c r="CB100" s="59">
        <v>424.25767488676399</v>
      </c>
      <c r="CC100" s="47">
        <v>730.74987418218416</v>
      </c>
      <c r="CD100" s="58">
        <v>367.89129340714646</v>
      </c>
      <c r="CE100" s="59">
        <v>83.543029693004527</v>
      </c>
      <c r="CF100" s="59">
        <v>315.71883912095285</v>
      </c>
      <c r="CG100" s="59">
        <v>67.941620533467542</v>
      </c>
      <c r="CH100" s="47">
        <v>539.67455124979028</v>
      </c>
      <c r="CI100" s="43">
        <v>1462</v>
      </c>
      <c r="CJ100" s="44">
        <v>271.16512992455995</v>
      </c>
      <c r="CK100" s="60">
        <v>16.728624535315987</v>
      </c>
      <c r="CL100" s="53">
        <v>450</v>
      </c>
      <c r="CM100" s="41">
        <v>16.728624535315987</v>
      </c>
      <c r="CN100" s="53" t="s">
        <v>382</v>
      </c>
      <c r="CO100" s="41">
        <v>0</v>
      </c>
      <c r="CP100" s="54">
        <v>2240</v>
      </c>
      <c r="CQ100" s="41">
        <v>83.271375464684013</v>
      </c>
      <c r="CR100" s="43">
        <v>3324</v>
      </c>
      <c r="CS100" s="52">
        <v>46.419975932611315</v>
      </c>
      <c r="CT100" s="41">
        <v>1555.5909999999999</v>
      </c>
      <c r="CU100" s="41">
        <v>260.96141586982048</v>
      </c>
      <c r="CV100" s="52">
        <v>14.4</v>
      </c>
      <c r="CW100" s="38">
        <v>2</v>
      </c>
      <c r="CX100" s="38">
        <v>2</v>
      </c>
      <c r="CY100" s="51">
        <v>1</v>
      </c>
      <c r="CZ100" s="41">
        <v>7.2900520046971984</v>
      </c>
      <c r="DA100" s="39">
        <v>2586000</v>
      </c>
      <c r="DB100" s="39">
        <v>3009000</v>
      </c>
      <c r="DC100" s="39">
        <v>3251000</v>
      </c>
      <c r="DD100" s="39">
        <v>3292000</v>
      </c>
      <c r="DE100" s="39">
        <v>2161000</v>
      </c>
      <c r="DF100" s="62">
        <v>2348000</v>
      </c>
      <c r="DG100" s="41">
        <v>92.04</v>
      </c>
      <c r="DH100" s="41">
        <v>76.69</v>
      </c>
      <c r="DI100" s="41">
        <v>6.5500000000000007</v>
      </c>
      <c r="DJ100" s="37" t="s">
        <v>390</v>
      </c>
      <c r="DK100" s="40">
        <v>0</v>
      </c>
      <c r="DL100" s="40">
        <v>120000</v>
      </c>
      <c r="DM100" s="40">
        <v>0</v>
      </c>
      <c r="DN100" s="40">
        <v>12291</v>
      </c>
      <c r="DO100" s="40">
        <v>1824</v>
      </c>
      <c r="DP100" s="40">
        <v>240434</v>
      </c>
      <c r="DQ100" s="64">
        <v>0</v>
      </c>
      <c r="DR100" s="40">
        <v>0</v>
      </c>
      <c r="DS100" s="65">
        <v>0</v>
      </c>
      <c r="DT100" s="38">
        <v>9</v>
      </c>
      <c r="DU100" s="66">
        <v>662.33333333333337</v>
      </c>
      <c r="DV100" s="41">
        <v>33.333333333333329</v>
      </c>
      <c r="DW100" s="41">
        <v>66.666666666666657</v>
      </c>
      <c r="DX100" s="41">
        <v>0</v>
      </c>
      <c r="DY100" s="41">
        <v>0</v>
      </c>
      <c r="DZ100" s="41">
        <v>0</v>
      </c>
      <c r="EA100" s="41">
        <v>55.555555555555557</v>
      </c>
      <c r="EB100" s="41">
        <v>44.444444444444443</v>
      </c>
      <c r="EC100" s="40">
        <v>119</v>
      </c>
      <c r="ED100" s="184">
        <v>50.092436974789919</v>
      </c>
    </row>
    <row r="101" spans="1:134" s="13" customFormat="1">
      <c r="A101" s="156" t="s">
        <v>249</v>
      </c>
      <c r="B101" s="285">
        <v>2014</v>
      </c>
      <c r="C101" s="259">
        <v>10</v>
      </c>
      <c r="D101" s="80" t="s">
        <v>345</v>
      </c>
      <c r="E101" s="56">
        <v>5260.4</v>
      </c>
      <c r="F101" s="56">
        <v>6854</v>
      </c>
      <c r="G101" s="82">
        <v>1.5708358032009484</v>
      </c>
      <c r="H101" s="179">
        <v>1.3</v>
      </c>
      <c r="I101" s="56">
        <v>3483</v>
      </c>
      <c r="J101" s="56">
        <v>50.817041143857601</v>
      </c>
      <c r="K101" s="56">
        <v>3371</v>
      </c>
      <c r="L101" s="84">
        <v>49.182958856142399</v>
      </c>
      <c r="M101" s="160">
        <v>29.603151444412024</v>
      </c>
      <c r="N101" s="160">
        <v>44.981032973446162</v>
      </c>
      <c r="O101" s="160">
        <v>25.415815582141814</v>
      </c>
      <c r="P101" s="160">
        <v>39.247154946016927</v>
      </c>
      <c r="Q101" s="160">
        <v>35.337029471841255</v>
      </c>
      <c r="R101" s="160">
        <v>25.415815582141814</v>
      </c>
      <c r="S101" s="83">
        <v>19.62631019292116</v>
      </c>
      <c r="T101" s="83">
        <v>1.4</v>
      </c>
      <c r="U101" s="38">
        <v>29</v>
      </c>
      <c r="V101" s="41">
        <v>4.5999999999999996</v>
      </c>
      <c r="W101" s="40">
        <v>42839</v>
      </c>
      <c r="X101" s="41">
        <v>2.5</v>
      </c>
      <c r="Y101" s="42" t="s">
        <v>351</v>
      </c>
      <c r="Z101" s="43">
        <v>919</v>
      </c>
      <c r="AA101" s="45">
        <v>2</v>
      </c>
      <c r="AB101" s="67">
        <v>76</v>
      </c>
      <c r="AC101" s="63">
        <v>4591.4870000000001</v>
      </c>
      <c r="AD101" s="43">
        <v>21</v>
      </c>
      <c r="AE101" s="44">
        <v>4.5599999999999996</v>
      </c>
      <c r="AF101" s="44">
        <v>4.2023999999999999</v>
      </c>
      <c r="AG101" s="41">
        <v>57.86</v>
      </c>
      <c r="AH101" s="41">
        <v>42.14</v>
      </c>
      <c r="AI101" s="44">
        <v>8.4499999999999993</v>
      </c>
      <c r="AJ101" s="41">
        <v>18.614000000000001</v>
      </c>
      <c r="AK101" s="41">
        <v>1.7985021592959054</v>
      </c>
      <c r="AL101" s="41">
        <v>19.201800000000002</v>
      </c>
      <c r="AM101" s="39">
        <v>17643</v>
      </c>
      <c r="AN101" s="39">
        <v>17998</v>
      </c>
      <c r="AO101" s="40">
        <v>17707</v>
      </c>
      <c r="AP101" s="40">
        <v>19112</v>
      </c>
      <c r="AQ101" s="39">
        <v>1116000</v>
      </c>
      <c r="AR101" s="44">
        <v>510.28806584362138</v>
      </c>
      <c r="AS101" s="39">
        <v>2187</v>
      </c>
      <c r="AT101" s="46">
        <v>1148000</v>
      </c>
      <c r="AU101" s="50">
        <v>525.16010978957001</v>
      </c>
      <c r="AV101" s="39">
        <v>2186</v>
      </c>
      <c r="AW101" s="46">
        <v>1177000</v>
      </c>
      <c r="AX101" s="47">
        <v>537.44292237442926</v>
      </c>
      <c r="AY101" s="39">
        <v>2190</v>
      </c>
      <c r="AZ101" s="41">
        <v>60.9</v>
      </c>
      <c r="BA101" s="41">
        <v>23.515981735159816</v>
      </c>
      <c r="BB101" s="46">
        <v>2797000</v>
      </c>
      <c r="BC101" s="48">
        <v>3248.548199767712</v>
      </c>
      <c r="BD101" s="40">
        <v>861</v>
      </c>
      <c r="BE101" s="46">
        <v>486000</v>
      </c>
      <c r="BF101" s="47">
        <v>1670.1030927835052</v>
      </c>
      <c r="BG101" s="40">
        <v>291</v>
      </c>
      <c r="BH101" s="46">
        <v>234000</v>
      </c>
      <c r="BI101" s="49">
        <v>234000</v>
      </c>
      <c r="BJ101" s="45">
        <v>1</v>
      </c>
      <c r="BK101" s="47">
        <v>122.44757136770345</v>
      </c>
      <c r="BL101" s="55">
        <v>3188000</v>
      </c>
      <c r="BM101" s="41">
        <v>18.004179138193933</v>
      </c>
      <c r="BN101" s="56">
        <v>2784000</v>
      </c>
      <c r="BO101" s="41">
        <v>15.722595583667475</v>
      </c>
      <c r="BP101" s="56">
        <v>1820000</v>
      </c>
      <c r="BQ101" s="41">
        <v>10.278420963460778</v>
      </c>
      <c r="BR101" s="39">
        <v>1419000</v>
      </c>
      <c r="BS101" s="41">
        <v>8.0137798610718924</v>
      </c>
      <c r="BT101" s="39">
        <v>2012000</v>
      </c>
      <c r="BU101" s="41">
        <v>11.362737900265433</v>
      </c>
      <c r="BV101" s="56">
        <v>4784000</v>
      </c>
      <c r="BW101" s="41">
        <v>27.017563675382618</v>
      </c>
      <c r="BX101" s="40">
        <v>1700000</v>
      </c>
      <c r="BY101" s="41">
        <v>9.6007228779578693</v>
      </c>
      <c r="BZ101" s="57">
        <v>465.12985118179165</v>
      </c>
      <c r="CA101" s="58">
        <v>265.53837175372047</v>
      </c>
      <c r="CB101" s="59">
        <v>311.93463670849138</v>
      </c>
      <c r="CC101" s="47">
        <v>207.03238984534579</v>
      </c>
      <c r="CD101" s="58">
        <v>229.6469215056901</v>
      </c>
      <c r="CE101" s="59">
        <v>94.251531952144731</v>
      </c>
      <c r="CF101" s="59">
        <v>248.03034724248613</v>
      </c>
      <c r="CG101" s="59">
        <v>63.904289466005253</v>
      </c>
      <c r="CH101" s="47">
        <v>697.98657718120808</v>
      </c>
      <c r="CI101" s="43">
        <v>1238</v>
      </c>
      <c r="CJ101" s="44">
        <v>379.45205479452056</v>
      </c>
      <c r="CK101" s="60">
        <v>36.414130193290376</v>
      </c>
      <c r="CL101" s="53">
        <v>579</v>
      </c>
      <c r="CM101" s="41">
        <v>12.863808042657187</v>
      </c>
      <c r="CN101" s="53">
        <v>1060</v>
      </c>
      <c r="CO101" s="41">
        <v>23.550322150633193</v>
      </c>
      <c r="CP101" s="54">
        <v>2862</v>
      </c>
      <c r="CQ101" s="41">
        <v>63.585869806709617</v>
      </c>
      <c r="CR101" s="43">
        <v>4205</v>
      </c>
      <c r="CS101" s="52">
        <v>73.008323424494648</v>
      </c>
      <c r="CT101" s="41">
        <v>1571.7900000000002</v>
      </c>
      <c r="CU101" s="41">
        <v>229.32448205427491</v>
      </c>
      <c r="CV101" s="52">
        <v>44.5</v>
      </c>
      <c r="CW101" s="38">
        <v>2</v>
      </c>
      <c r="CX101" s="38">
        <v>5</v>
      </c>
      <c r="CY101" s="51">
        <v>2</v>
      </c>
      <c r="CZ101" s="41">
        <v>3.0728042019258828</v>
      </c>
      <c r="DA101" s="39">
        <v>6574000</v>
      </c>
      <c r="DB101" s="39">
        <v>7061000</v>
      </c>
      <c r="DC101" s="39">
        <v>3118000</v>
      </c>
      <c r="DD101" s="39">
        <v>3125000</v>
      </c>
      <c r="DE101" s="39">
        <v>2820000</v>
      </c>
      <c r="DF101" s="62">
        <v>2780000</v>
      </c>
      <c r="DG101" s="41">
        <v>101.44</v>
      </c>
      <c r="DH101" s="41">
        <v>130.47999999999999</v>
      </c>
      <c r="DI101" s="41">
        <v>1.34</v>
      </c>
      <c r="DJ101" s="37" t="s">
        <v>390</v>
      </c>
      <c r="DK101" s="40">
        <v>20000</v>
      </c>
      <c r="DL101" s="40">
        <v>110000</v>
      </c>
      <c r="DM101" s="40">
        <v>0</v>
      </c>
      <c r="DN101" s="40">
        <v>4669</v>
      </c>
      <c r="DO101" s="40">
        <v>0</v>
      </c>
      <c r="DP101" s="40">
        <v>238310</v>
      </c>
      <c r="DQ101" s="64">
        <v>0</v>
      </c>
      <c r="DR101" s="40">
        <v>9320</v>
      </c>
      <c r="DS101" s="65">
        <v>1</v>
      </c>
      <c r="DT101" s="38">
        <v>9</v>
      </c>
      <c r="DU101" s="66">
        <v>761.55555555555554</v>
      </c>
      <c r="DV101" s="41">
        <v>33.333333333333329</v>
      </c>
      <c r="DW101" s="41">
        <v>66.666666666666657</v>
      </c>
      <c r="DX101" s="41">
        <v>11.111111111111111</v>
      </c>
      <c r="DY101" s="41">
        <v>0</v>
      </c>
      <c r="DZ101" s="41">
        <v>0</v>
      </c>
      <c r="EA101" s="41">
        <v>55.555555555555557</v>
      </c>
      <c r="EB101" s="41">
        <v>44.444444444444443</v>
      </c>
      <c r="EC101" s="40">
        <v>80</v>
      </c>
      <c r="ED101" s="184">
        <v>85.674999999999997</v>
      </c>
    </row>
    <row r="102" spans="1:134" s="13" customFormat="1">
      <c r="A102" s="156" t="s">
        <v>250</v>
      </c>
      <c r="B102" s="285">
        <v>2014</v>
      </c>
      <c r="C102" s="259">
        <v>5</v>
      </c>
      <c r="D102" s="80" t="s">
        <v>342</v>
      </c>
      <c r="E102" s="56">
        <v>186.8</v>
      </c>
      <c r="F102" s="56">
        <v>160021</v>
      </c>
      <c r="G102" s="82">
        <v>5.3497481813094572</v>
      </c>
      <c r="H102" s="179">
        <v>856.8</v>
      </c>
      <c r="I102" s="56">
        <v>80025</v>
      </c>
      <c r="J102" s="56">
        <v>50.009061310702975</v>
      </c>
      <c r="K102" s="56">
        <v>79996</v>
      </c>
      <c r="L102" s="84">
        <v>49.990938689297032</v>
      </c>
      <c r="M102" s="160">
        <v>22.603908237043889</v>
      </c>
      <c r="N102" s="160">
        <v>56.502584035845295</v>
      </c>
      <c r="O102" s="160">
        <v>20.893507727110816</v>
      </c>
      <c r="P102" s="160">
        <v>40.118484448916078</v>
      </c>
      <c r="Q102" s="160">
        <v>38.988007823973106</v>
      </c>
      <c r="R102" s="160">
        <v>20.893507727110816</v>
      </c>
      <c r="S102" s="83">
        <v>2.6438569206842923</v>
      </c>
      <c r="T102" s="83">
        <v>8.3000000000000007</v>
      </c>
      <c r="U102" s="38">
        <v>110</v>
      </c>
      <c r="V102" s="41">
        <v>8.3000000000000007</v>
      </c>
      <c r="W102" s="40">
        <v>52957</v>
      </c>
      <c r="X102" s="41">
        <v>2.4</v>
      </c>
      <c r="Y102" s="42" t="s">
        <v>350</v>
      </c>
      <c r="Z102" s="43">
        <v>11625</v>
      </c>
      <c r="AA102" s="45">
        <v>12</v>
      </c>
      <c r="AB102" s="63">
        <v>1387</v>
      </c>
      <c r="AC102" s="63">
        <v>454425.83799999999</v>
      </c>
      <c r="AD102" s="43">
        <v>78</v>
      </c>
      <c r="AE102" s="44">
        <v>5.81</v>
      </c>
      <c r="AF102" s="44">
        <v>3.7181999999999999</v>
      </c>
      <c r="AG102" s="41">
        <v>82.94</v>
      </c>
      <c r="AH102" s="41">
        <v>17.060000000000002</v>
      </c>
      <c r="AI102" s="44">
        <v>4.3099999999999996</v>
      </c>
      <c r="AJ102" s="41">
        <v>8.3115000000000006</v>
      </c>
      <c r="AK102" s="41">
        <v>2.8978778146005673</v>
      </c>
      <c r="AL102" s="41">
        <v>9.5927000000000007</v>
      </c>
      <c r="AM102" s="39">
        <v>230911</v>
      </c>
      <c r="AN102" s="39">
        <v>223072</v>
      </c>
      <c r="AO102" s="40">
        <v>222482</v>
      </c>
      <c r="AP102" s="40">
        <v>259058</v>
      </c>
      <c r="AQ102" s="39">
        <v>59230000</v>
      </c>
      <c r="AR102" s="44">
        <v>975.39687767604244</v>
      </c>
      <c r="AS102" s="39">
        <v>60724</v>
      </c>
      <c r="AT102" s="46">
        <v>61663000</v>
      </c>
      <c r="AU102" s="50">
        <v>1008.64</v>
      </c>
      <c r="AV102" s="39">
        <v>61135</v>
      </c>
      <c r="AW102" s="46">
        <v>64868000</v>
      </c>
      <c r="AX102" s="47">
        <v>1050.5960093288418</v>
      </c>
      <c r="AY102" s="39">
        <v>61744</v>
      </c>
      <c r="AZ102" s="41">
        <v>70.5</v>
      </c>
      <c r="BA102" s="41">
        <v>19.605143819642397</v>
      </c>
      <c r="BB102" s="46">
        <v>35000</v>
      </c>
      <c r="BC102" s="48">
        <v>1944.4444444444443</v>
      </c>
      <c r="BD102" s="40">
        <v>18</v>
      </c>
      <c r="BE102" s="46">
        <v>40491000</v>
      </c>
      <c r="BF102" s="47">
        <v>8635.3166986564302</v>
      </c>
      <c r="BG102" s="40">
        <v>4689</v>
      </c>
      <c r="BH102" s="49" t="s">
        <v>382</v>
      </c>
      <c r="BI102" s="49" t="s">
        <v>382</v>
      </c>
      <c r="BJ102" s="213">
        <v>0</v>
      </c>
      <c r="BK102" s="47">
        <v>159.83994276714046</v>
      </c>
      <c r="BL102" s="55">
        <v>42013000</v>
      </c>
      <c r="BM102" s="41">
        <v>18.883774867180268</v>
      </c>
      <c r="BN102" s="56">
        <v>8063000</v>
      </c>
      <c r="BO102" s="41">
        <v>3.6241134114220475</v>
      </c>
      <c r="BP102" s="56">
        <v>50888000</v>
      </c>
      <c r="BQ102" s="41">
        <v>22.872861624760652</v>
      </c>
      <c r="BR102" s="39">
        <v>9387000</v>
      </c>
      <c r="BS102" s="41">
        <v>4.2192177344684065</v>
      </c>
      <c r="BT102" s="39">
        <v>38549000</v>
      </c>
      <c r="BU102" s="41">
        <v>17.326794976672268</v>
      </c>
      <c r="BV102" s="56">
        <v>36091000</v>
      </c>
      <c r="BW102" s="41">
        <v>16.221986497784091</v>
      </c>
      <c r="BX102" s="40">
        <v>37491000</v>
      </c>
      <c r="BY102" s="41">
        <v>16.851250887712261</v>
      </c>
      <c r="BZ102" s="57">
        <v>262.54679073371619</v>
      </c>
      <c r="CA102" s="58">
        <v>318.00826141568922</v>
      </c>
      <c r="CB102" s="43" t="s">
        <v>382</v>
      </c>
      <c r="CC102" s="47">
        <v>58.661050737090754</v>
      </c>
      <c r="CD102" s="58">
        <v>196.26174064654015</v>
      </c>
      <c r="CE102" s="59">
        <v>50.38713668830966</v>
      </c>
      <c r="CF102" s="59">
        <v>234.28799970003936</v>
      </c>
      <c r="CG102" s="59">
        <v>44.637891276769921</v>
      </c>
      <c r="CH102" s="47">
        <v>225.53914798682672</v>
      </c>
      <c r="CI102" s="43" t="s">
        <v>382</v>
      </c>
      <c r="CJ102" s="44">
        <v>317.31018398548849</v>
      </c>
      <c r="CK102" s="60">
        <v>41.18375707707547</v>
      </c>
      <c r="CL102" s="53">
        <v>15765.428400000001</v>
      </c>
      <c r="CM102" s="41">
        <v>21.6135257725428</v>
      </c>
      <c r="CN102" s="53">
        <v>14275</v>
      </c>
      <c r="CO102" s="41">
        <v>19.570231304532673</v>
      </c>
      <c r="CP102" s="54">
        <v>42901.99</v>
      </c>
      <c r="CQ102" s="41">
        <v>58.81624292292453</v>
      </c>
      <c r="CR102" s="43">
        <v>60720</v>
      </c>
      <c r="CS102" s="52">
        <v>57.061923583662711</v>
      </c>
      <c r="CT102" s="41">
        <v>874.96</v>
      </c>
      <c r="CU102" s="41">
        <v>5.4677823535660952</v>
      </c>
      <c r="CV102" s="52">
        <v>10395</v>
      </c>
      <c r="CW102" s="38">
        <v>8</v>
      </c>
      <c r="CX102" s="38">
        <v>17</v>
      </c>
      <c r="CY102" s="51">
        <v>9</v>
      </c>
      <c r="CZ102" s="41">
        <v>8.4703257697427219</v>
      </c>
      <c r="DA102" s="39">
        <v>23549000</v>
      </c>
      <c r="DB102" s="39">
        <v>47253000</v>
      </c>
      <c r="DC102" s="39">
        <v>12466000</v>
      </c>
      <c r="DD102" s="39">
        <v>14731000</v>
      </c>
      <c r="DE102" s="39">
        <v>10923000</v>
      </c>
      <c r="DF102" s="62">
        <v>15898000</v>
      </c>
      <c r="DG102" s="41">
        <v>68.710000000000008</v>
      </c>
      <c r="DH102" s="41">
        <v>71.33</v>
      </c>
      <c r="DI102" s="41">
        <v>9.65</v>
      </c>
      <c r="DJ102" s="37" t="s">
        <v>390</v>
      </c>
      <c r="DK102" s="40">
        <v>96000</v>
      </c>
      <c r="DL102" s="40">
        <v>392000</v>
      </c>
      <c r="DM102" s="40">
        <v>21297.45</v>
      </c>
      <c r="DN102" s="40">
        <v>1109.0899999999999</v>
      </c>
      <c r="DO102" s="40">
        <v>0</v>
      </c>
      <c r="DP102" s="40">
        <v>382000</v>
      </c>
      <c r="DQ102" s="64">
        <v>3</v>
      </c>
      <c r="DR102" s="40">
        <v>8440</v>
      </c>
      <c r="DS102" s="65">
        <v>0</v>
      </c>
      <c r="DT102" s="38">
        <v>13</v>
      </c>
      <c r="DU102" s="66">
        <v>12309.307692307691</v>
      </c>
      <c r="DV102" s="41">
        <v>53.846153846153847</v>
      </c>
      <c r="DW102" s="41">
        <v>46.153846153846153</v>
      </c>
      <c r="DX102" s="41">
        <v>0</v>
      </c>
      <c r="DY102" s="41">
        <v>7.6923076923076925</v>
      </c>
      <c r="DZ102" s="41">
        <v>0</v>
      </c>
      <c r="EA102" s="41">
        <v>92.307692307692307</v>
      </c>
      <c r="EB102" s="41">
        <v>7.6923076923076925</v>
      </c>
      <c r="EC102" s="40">
        <v>867</v>
      </c>
      <c r="ED102" s="184">
        <v>184.56862745098039</v>
      </c>
    </row>
    <row r="103" spans="1:134" s="13" customFormat="1">
      <c r="A103" s="156" t="s">
        <v>251</v>
      </c>
      <c r="B103" s="285">
        <v>2014</v>
      </c>
      <c r="C103" s="259">
        <v>3</v>
      </c>
      <c r="D103" s="80" t="s">
        <v>343</v>
      </c>
      <c r="E103" s="56">
        <v>10.5</v>
      </c>
      <c r="F103" s="56">
        <v>71025</v>
      </c>
      <c r="G103" s="82">
        <v>9.6707946017726449</v>
      </c>
      <c r="H103" s="179">
        <v>6782</v>
      </c>
      <c r="I103" s="56">
        <v>34058</v>
      </c>
      <c r="J103" s="56">
        <v>47.952129531854979</v>
      </c>
      <c r="K103" s="56">
        <v>36967</v>
      </c>
      <c r="L103" s="84">
        <v>52.047870468145021</v>
      </c>
      <c r="M103" s="160">
        <v>14.23442449841605</v>
      </c>
      <c r="N103" s="160">
        <v>67.350932770151346</v>
      </c>
      <c r="O103" s="160">
        <v>18.414642731432593</v>
      </c>
      <c r="P103" s="160">
        <v>32.560366068285816</v>
      </c>
      <c r="Q103" s="160">
        <v>49.02499120028159</v>
      </c>
      <c r="R103" s="160">
        <v>18.414642731432593</v>
      </c>
      <c r="S103" s="83">
        <v>0.2135105631541771</v>
      </c>
      <c r="T103" s="83">
        <v>19.600000000000001</v>
      </c>
      <c r="U103" s="38">
        <v>148</v>
      </c>
      <c r="V103" s="41">
        <v>3</v>
      </c>
      <c r="W103" s="40">
        <v>95653</v>
      </c>
      <c r="X103" s="41">
        <v>2</v>
      </c>
      <c r="Y103" s="42" t="s">
        <v>142</v>
      </c>
      <c r="Z103" s="43">
        <v>14312</v>
      </c>
      <c r="AA103" s="45">
        <v>4</v>
      </c>
      <c r="AB103" s="63">
        <v>358</v>
      </c>
      <c r="AC103" s="63">
        <v>354075.03399999999</v>
      </c>
      <c r="AD103" s="43">
        <v>102</v>
      </c>
      <c r="AE103" s="44">
        <v>1.96</v>
      </c>
      <c r="AF103" s="44">
        <v>4.9451999999999998</v>
      </c>
      <c r="AG103" s="41">
        <v>81.81</v>
      </c>
      <c r="AH103" s="41">
        <v>18.189999999999998</v>
      </c>
      <c r="AI103" s="44">
        <v>0.74</v>
      </c>
      <c r="AJ103" s="41">
        <v>0</v>
      </c>
      <c r="AK103" s="41">
        <v>0</v>
      </c>
      <c r="AL103" s="41">
        <v>12.271600000000001</v>
      </c>
      <c r="AM103" s="39">
        <v>86324</v>
      </c>
      <c r="AN103" s="39">
        <v>93414</v>
      </c>
      <c r="AO103" s="40">
        <v>93644</v>
      </c>
      <c r="AP103" s="40">
        <v>116219</v>
      </c>
      <c r="AQ103" s="39">
        <v>20051000</v>
      </c>
      <c r="AR103" s="44">
        <v>605.14878976278146</v>
      </c>
      <c r="AS103" s="39">
        <v>33134</v>
      </c>
      <c r="AT103" s="46">
        <v>21238000</v>
      </c>
      <c r="AU103" s="50">
        <v>631.9</v>
      </c>
      <c r="AV103" s="39">
        <v>33610</v>
      </c>
      <c r="AW103" s="46">
        <v>22424000</v>
      </c>
      <c r="AX103" s="47">
        <v>661.27985844883517</v>
      </c>
      <c r="AY103" s="39">
        <v>33910</v>
      </c>
      <c r="AZ103" s="41">
        <v>82</v>
      </c>
      <c r="BA103" s="41">
        <v>5.089943969330581</v>
      </c>
      <c r="BB103" s="48" t="s">
        <v>382</v>
      </c>
      <c r="BC103" s="48" t="s">
        <v>382</v>
      </c>
      <c r="BD103" s="40">
        <v>0</v>
      </c>
      <c r="BE103" s="46">
        <v>13605000</v>
      </c>
      <c r="BF103" s="47">
        <v>3555.0039195192057</v>
      </c>
      <c r="BG103" s="40">
        <v>3827</v>
      </c>
      <c r="BH103" s="49" t="s">
        <v>382</v>
      </c>
      <c r="BI103" s="49" t="s">
        <v>382</v>
      </c>
      <c r="BJ103" s="213">
        <v>0</v>
      </c>
      <c r="BK103" s="47">
        <v>439.59488556440647</v>
      </c>
      <c r="BL103" s="55">
        <v>18690000</v>
      </c>
      <c r="BM103" s="41">
        <v>19.959632204530166</v>
      </c>
      <c r="BN103" s="56">
        <v>8438000</v>
      </c>
      <c r="BO103" s="41">
        <v>9.0112025972084293</v>
      </c>
      <c r="BP103" s="56">
        <v>17619000</v>
      </c>
      <c r="BQ103" s="41">
        <v>18.815877999551471</v>
      </c>
      <c r="BR103" s="39">
        <v>8690000</v>
      </c>
      <c r="BS103" s="41">
        <v>9.2803212336740035</v>
      </c>
      <c r="BT103" s="39">
        <v>20412000</v>
      </c>
      <c r="BU103" s="41">
        <v>21.798609553711596</v>
      </c>
      <c r="BV103" s="56">
        <v>2637000</v>
      </c>
      <c r="BW103" s="41">
        <v>2.8161343030147696</v>
      </c>
      <c r="BX103" s="40">
        <v>17153000</v>
      </c>
      <c r="BY103" s="41">
        <v>18.318222108309573</v>
      </c>
      <c r="BZ103" s="57">
        <v>263.14677930306232</v>
      </c>
      <c r="CA103" s="58">
        <v>248.0675818373812</v>
      </c>
      <c r="CB103" s="43" t="s">
        <v>382</v>
      </c>
      <c r="CC103" s="47">
        <v>122.35128475888772</v>
      </c>
      <c r="CD103" s="58">
        <v>242.15417106652586</v>
      </c>
      <c r="CE103" s="59">
        <v>118.80323829637452</v>
      </c>
      <c r="CF103" s="59">
        <v>241.50651179162267</v>
      </c>
      <c r="CG103" s="59">
        <v>45.237592397043294</v>
      </c>
      <c r="CH103" s="47">
        <v>37.127771911298836</v>
      </c>
      <c r="CI103" s="43" t="s">
        <v>382</v>
      </c>
      <c r="CJ103" s="44">
        <v>286.08080212326746</v>
      </c>
      <c r="CK103" s="60">
        <v>66.610536933770987</v>
      </c>
      <c r="CL103" s="53">
        <v>6853.8</v>
      </c>
      <c r="CM103" s="41">
        <v>27.876953863799979</v>
      </c>
      <c r="CN103" s="53">
        <v>1750</v>
      </c>
      <c r="CO103" s="41">
        <v>7.1179009106845781</v>
      </c>
      <c r="CP103" s="54">
        <v>8209.1</v>
      </c>
      <c r="CQ103" s="41">
        <v>33.38946306622902</v>
      </c>
      <c r="CR103" s="43">
        <v>11524</v>
      </c>
      <c r="CS103" s="52">
        <v>70.643873654980908</v>
      </c>
      <c r="CT103" s="41">
        <v>152.5</v>
      </c>
      <c r="CU103" s="41">
        <v>2.1471312917986625</v>
      </c>
      <c r="CV103" s="52">
        <v>130.97</v>
      </c>
      <c r="CW103" s="38">
        <v>1</v>
      </c>
      <c r="CX103" s="38">
        <v>12</v>
      </c>
      <c r="CY103" s="51">
        <v>1</v>
      </c>
      <c r="CZ103" s="41">
        <v>8.4557550158394932</v>
      </c>
      <c r="DA103" s="39">
        <v>14262000</v>
      </c>
      <c r="DB103" s="39">
        <v>21285000</v>
      </c>
      <c r="DC103" s="39">
        <v>12898000</v>
      </c>
      <c r="DD103" s="39">
        <v>12363000</v>
      </c>
      <c r="DE103" s="39">
        <v>5111000</v>
      </c>
      <c r="DF103" s="62">
        <v>4598000</v>
      </c>
      <c r="DG103" s="41">
        <v>111.16</v>
      </c>
      <c r="DH103" s="41">
        <v>172.78</v>
      </c>
      <c r="DI103" s="41">
        <v>0</v>
      </c>
      <c r="DJ103" s="37" t="s">
        <v>390</v>
      </c>
      <c r="DK103" s="40">
        <v>76000</v>
      </c>
      <c r="DL103" s="40">
        <v>310000</v>
      </c>
      <c r="DM103" s="40">
        <v>0</v>
      </c>
      <c r="DN103" s="40">
        <v>24642</v>
      </c>
      <c r="DO103" s="40">
        <v>0</v>
      </c>
      <c r="DP103" s="40">
        <v>331000</v>
      </c>
      <c r="DQ103" s="64">
        <v>28</v>
      </c>
      <c r="DR103" s="40">
        <v>145572</v>
      </c>
      <c r="DS103" s="65">
        <v>5</v>
      </c>
      <c r="DT103" s="38">
        <v>13</v>
      </c>
      <c r="DU103" s="66">
        <v>5463.4615384615381</v>
      </c>
      <c r="DV103" s="41">
        <v>61.53846153846154</v>
      </c>
      <c r="DW103" s="41">
        <v>38.461538461538467</v>
      </c>
      <c r="DX103" s="41">
        <v>0</v>
      </c>
      <c r="DY103" s="41">
        <v>7.6923076923076925</v>
      </c>
      <c r="DZ103" s="41">
        <v>0</v>
      </c>
      <c r="EA103" s="41">
        <v>84.615384615384613</v>
      </c>
      <c r="EB103" s="41">
        <v>15.384615384615385</v>
      </c>
      <c r="EC103" s="40">
        <v>391</v>
      </c>
      <c r="ED103" s="184">
        <v>181.64961636828644</v>
      </c>
    </row>
    <row r="104" spans="1:134" s="13" customFormat="1">
      <c r="A104" s="156" t="s">
        <v>252</v>
      </c>
      <c r="B104" s="285">
        <v>2014</v>
      </c>
      <c r="C104" s="259">
        <v>10</v>
      </c>
      <c r="D104" s="80" t="s">
        <v>345</v>
      </c>
      <c r="E104" s="56">
        <v>3626.9</v>
      </c>
      <c r="F104" s="56">
        <v>5327</v>
      </c>
      <c r="G104" s="82">
        <v>2.6001540832049308</v>
      </c>
      <c r="H104" s="179">
        <v>1.5</v>
      </c>
      <c r="I104" s="56">
        <v>2771</v>
      </c>
      <c r="J104" s="56">
        <v>52.018021400412998</v>
      </c>
      <c r="K104" s="56">
        <v>2556</v>
      </c>
      <c r="L104" s="84">
        <v>47.981978599587009</v>
      </c>
      <c r="M104" s="160">
        <v>24.723108691571241</v>
      </c>
      <c r="N104" s="160">
        <v>47.60653275764971</v>
      </c>
      <c r="O104" s="160">
        <v>27.670358550779049</v>
      </c>
      <c r="P104" s="160">
        <v>36.399474375821292</v>
      </c>
      <c r="Q104" s="160">
        <v>35.930167073399659</v>
      </c>
      <c r="R104" s="160">
        <v>27.670358550779049</v>
      </c>
      <c r="S104" s="83">
        <v>3.1535105117017057</v>
      </c>
      <c r="T104" s="83">
        <v>2.9</v>
      </c>
      <c r="U104" s="38">
        <v>79</v>
      </c>
      <c r="V104" s="41">
        <v>5.8</v>
      </c>
      <c r="W104" s="40">
        <v>44687</v>
      </c>
      <c r="X104" s="41">
        <v>2.5</v>
      </c>
      <c r="Y104" s="42" t="s">
        <v>95</v>
      </c>
      <c r="Z104" s="43">
        <v>671</v>
      </c>
      <c r="AA104" s="45">
        <v>8</v>
      </c>
      <c r="AB104" s="67">
        <v>96</v>
      </c>
      <c r="AC104" s="63">
        <v>7088.0429999999997</v>
      </c>
      <c r="AD104" s="43">
        <v>58</v>
      </c>
      <c r="AE104" s="44">
        <v>-0.27</v>
      </c>
      <c r="AF104" s="44">
        <v>4.4374000000000002</v>
      </c>
      <c r="AG104" s="41">
        <v>63.99</v>
      </c>
      <c r="AH104" s="41">
        <v>36.01</v>
      </c>
      <c r="AI104" s="44">
        <v>7.48</v>
      </c>
      <c r="AJ104" s="41">
        <v>24.06</v>
      </c>
      <c r="AK104" s="41">
        <v>1.0867104369481548</v>
      </c>
      <c r="AL104" s="41">
        <v>9.1747999999999994</v>
      </c>
      <c r="AM104" s="39">
        <v>12965</v>
      </c>
      <c r="AN104" s="39">
        <v>13846</v>
      </c>
      <c r="AO104" s="40">
        <v>13287</v>
      </c>
      <c r="AP104" s="40">
        <v>14114</v>
      </c>
      <c r="AQ104" s="39">
        <v>1220485</v>
      </c>
      <c r="AR104" s="44">
        <v>563.99491682070243</v>
      </c>
      <c r="AS104" s="39">
        <v>2164</v>
      </c>
      <c r="AT104" s="46">
        <v>1415000</v>
      </c>
      <c r="AU104" s="50">
        <v>649.0825688073395</v>
      </c>
      <c r="AV104" s="39">
        <v>2180</v>
      </c>
      <c r="AW104" s="46">
        <v>1461000</v>
      </c>
      <c r="AX104" s="47">
        <v>664.09090909090912</v>
      </c>
      <c r="AY104" s="39">
        <v>2200</v>
      </c>
      <c r="AZ104" s="41">
        <v>66.100000000000009</v>
      </c>
      <c r="BA104" s="41">
        <v>17.909090909090907</v>
      </c>
      <c r="BB104" s="46">
        <v>1567000</v>
      </c>
      <c r="BC104" s="48">
        <v>1366.1726242371403</v>
      </c>
      <c r="BD104" s="40">
        <v>1147</v>
      </c>
      <c r="BE104" s="46">
        <v>168000</v>
      </c>
      <c r="BF104" s="47">
        <v>736.84210526315792</v>
      </c>
      <c r="BG104" s="40">
        <v>228</v>
      </c>
      <c r="BH104" s="49" t="s">
        <v>382</v>
      </c>
      <c r="BI104" s="49" t="s">
        <v>382</v>
      </c>
      <c r="BJ104" s="213">
        <v>0</v>
      </c>
      <c r="BK104" s="47">
        <v>239.71043679599498</v>
      </c>
      <c r="BL104" s="55">
        <v>1601000</v>
      </c>
      <c r="BM104" s="41">
        <v>12.049371566192519</v>
      </c>
      <c r="BN104" s="56">
        <v>2387000</v>
      </c>
      <c r="BO104" s="41">
        <v>17.96492812523519</v>
      </c>
      <c r="BP104" s="56">
        <v>779000</v>
      </c>
      <c r="BQ104" s="41">
        <v>5.8628734853616322</v>
      </c>
      <c r="BR104" s="39">
        <v>1424000</v>
      </c>
      <c r="BS104" s="41">
        <v>10.717242417400467</v>
      </c>
      <c r="BT104" s="39">
        <v>895000</v>
      </c>
      <c r="BU104" s="41">
        <v>6.7359072777903224</v>
      </c>
      <c r="BV104" s="56">
        <v>3794000</v>
      </c>
      <c r="BW104" s="41">
        <v>28.554225935124556</v>
      </c>
      <c r="BX104" s="40">
        <v>2407000</v>
      </c>
      <c r="BY104" s="41">
        <v>18.115451192895311</v>
      </c>
      <c r="BZ104" s="57">
        <v>300.54439647080909</v>
      </c>
      <c r="CA104" s="58">
        <v>146.23615543457856</v>
      </c>
      <c r="CB104" s="59">
        <v>326.82560540642015</v>
      </c>
      <c r="CC104" s="47">
        <v>267.31743945935801</v>
      </c>
      <c r="CD104" s="58">
        <v>131.21832175708653</v>
      </c>
      <c r="CE104" s="59">
        <v>121.26900694574807</v>
      </c>
      <c r="CF104" s="59">
        <v>451.84907077154122</v>
      </c>
      <c r="CG104" s="59">
        <v>36.793692509855454</v>
      </c>
      <c r="CH104" s="47">
        <v>712.22076215505911</v>
      </c>
      <c r="CI104" s="43">
        <v>1119</v>
      </c>
      <c r="CJ104" s="44">
        <v>95.909090909090907</v>
      </c>
      <c r="CK104" s="60">
        <v>17.956656346749224</v>
      </c>
      <c r="CL104" s="53">
        <v>58</v>
      </c>
      <c r="CM104" s="41">
        <v>17.956656346749224</v>
      </c>
      <c r="CN104" s="53" t="s">
        <v>382</v>
      </c>
      <c r="CO104" s="41">
        <v>0</v>
      </c>
      <c r="CP104" s="54">
        <v>265</v>
      </c>
      <c r="CQ104" s="41">
        <v>82.043343653250773</v>
      </c>
      <c r="CR104" s="43">
        <v>3539</v>
      </c>
      <c r="CS104" s="52">
        <v>38.400678157671656</v>
      </c>
      <c r="CT104" s="41">
        <v>951.66</v>
      </c>
      <c r="CU104" s="41">
        <v>178.6483949690257</v>
      </c>
      <c r="CV104" s="52">
        <v>29.5</v>
      </c>
      <c r="CW104" s="38">
        <v>1</v>
      </c>
      <c r="CX104" s="38">
        <v>1</v>
      </c>
      <c r="CY104" s="51">
        <v>1</v>
      </c>
      <c r="CZ104" s="41">
        <v>2.9031349727801765</v>
      </c>
      <c r="DA104" s="39">
        <v>1779000</v>
      </c>
      <c r="DB104" s="39">
        <v>1931925</v>
      </c>
      <c r="DC104" s="39">
        <v>2019609.82</v>
      </c>
      <c r="DD104" s="39">
        <v>1985660</v>
      </c>
      <c r="DE104" s="39">
        <v>1762000</v>
      </c>
      <c r="DF104" s="62">
        <v>2064000</v>
      </c>
      <c r="DG104" s="41">
        <v>85.37</v>
      </c>
      <c r="DH104" s="41">
        <v>165.91</v>
      </c>
      <c r="DI104" s="41">
        <v>3.58</v>
      </c>
      <c r="DJ104" s="37" t="s">
        <v>390</v>
      </c>
      <c r="DK104" s="40">
        <v>28000</v>
      </c>
      <c r="DL104" s="40">
        <v>120000</v>
      </c>
      <c r="DM104" s="40">
        <v>0</v>
      </c>
      <c r="DN104" s="40">
        <v>0</v>
      </c>
      <c r="DO104" s="40">
        <v>0</v>
      </c>
      <c r="DP104" s="40">
        <v>182521</v>
      </c>
      <c r="DQ104" s="64">
        <v>5</v>
      </c>
      <c r="DR104" s="40">
        <v>154400</v>
      </c>
      <c r="DS104" s="65">
        <v>0</v>
      </c>
      <c r="DT104" s="38">
        <v>9</v>
      </c>
      <c r="DU104" s="66">
        <v>591.88888888888891</v>
      </c>
      <c r="DV104" s="41">
        <v>33.333333333333329</v>
      </c>
      <c r="DW104" s="41">
        <v>66.666666666666657</v>
      </c>
      <c r="DX104" s="41">
        <v>11.111111111111111</v>
      </c>
      <c r="DY104" s="41">
        <v>0</v>
      </c>
      <c r="DZ104" s="41">
        <v>0</v>
      </c>
      <c r="EA104" s="41">
        <v>22.222222222222221</v>
      </c>
      <c r="EB104" s="41">
        <v>77.777777777777786</v>
      </c>
      <c r="EC104" s="40">
        <v>72</v>
      </c>
      <c r="ED104" s="184">
        <v>73.986111111111114</v>
      </c>
    </row>
    <row r="105" spans="1:134" s="13" customFormat="1">
      <c r="A105" s="156" t="s">
        <v>253</v>
      </c>
      <c r="B105" s="285">
        <v>2014</v>
      </c>
      <c r="C105" s="259">
        <v>4</v>
      </c>
      <c r="D105" s="80" t="s">
        <v>342</v>
      </c>
      <c r="E105" s="56">
        <v>283.89999999999998</v>
      </c>
      <c r="F105" s="56">
        <v>41431</v>
      </c>
      <c r="G105" s="82">
        <v>9.3050865344027009</v>
      </c>
      <c r="H105" s="179">
        <v>145.9</v>
      </c>
      <c r="I105" s="56">
        <v>20490</v>
      </c>
      <c r="J105" s="56">
        <v>49.455721561149865</v>
      </c>
      <c r="K105" s="56">
        <v>20941</v>
      </c>
      <c r="L105" s="84">
        <v>50.544278438850135</v>
      </c>
      <c r="M105" s="160">
        <v>28.736936110641793</v>
      </c>
      <c r="N105" s="160">
        <v>51.321474258405544</v>
      </c>
      <c r="O105" s="160">
        <v>19.94158963095267</v>
      </c>
      <c r="P105" s="160">
        <v>42.550264294851679</v>
      </c>
      <c r="Q105" s="160">
        <v>37.50814607419565</v>
      </c>
      <c r="R105" s="160">
        <v>19.94158963095267</v>
      </c>
      <c r="S105" s="83">
        <v>5.3815429892789579</v>
      </c>
      <c r="T105" s="83">
        <v>4.9000000000000004</v>
      </c>
      <c r="U105" s="38">
        <v>90</v>
      </c>
      <c r="V105" s="41">
        <v>6.6</v>
      </c>
      <c r="W105" s="40">
        <v>50126</v>
      </c>
      <c r="X105" s="41">
        <v>2.5</v>
      </c>
      <c r="Y105" s="42" t="s">
        <v>350</v>
      </c>
      <c r="Z105" s="43">
        <v>2935</v>
      </c>
      <c r="AA105" s="45">
        <v>32</v>
      </c>
      <c r="AB105" s="63">
        <v>429</v>
      </c>
      <c r="AC105" s="63">
        <v>141951.76999999999</v>
      </c>
      <c r="AD105" s="43">
        <v>40</v>
      </c>
      <c r="AE105" s="44">
        <v>4.9400000000000004</v>
      </c>
      <c r="AF105" s="44">
        <v>2.9533999999999998</v>
      </c>
      <c r="AG105" s="41">
        <v>58.9</v>
      </c>
      <c r="AH105" s="41">
        <v>41.1</v>
      </c>
      <c r="AI105" s="44">
        <v>7.1</v>
      </c>
      <c r="AJ105" s="41">
        <v>4.5872000000000002</v>
      </c>
      <c r="AK105" s="41">
        <v>5.3864475407883772</v>
      </c>
      <c r="AL105" s="41">
        <v>13.7689</v>
      </c>
      <c r="AM105" s="39">
        <v>72350</v>
      </c>
      <c r="AN105" s="39">
        <v>81551</v>
      </c>
      <c r="AO105" s="40">
        <v>79818</v>
      </c>
      <c r="AP105" s="40">
        <v>122593</v>
      </c>
      <c r="AQ105" s="39">
        <v>17465000</v>
      </c>
      <c r="AR105" s="44">
        <v>1112.7747690347244</v>
      </c>
      <c r="AS105" s="39">
        <v>15695</v>
      </c>
      <c r="AT105" s="46">
        <v>18901000</v>
      </c>
      <c r="AU105" s="50">
        <v>1184.4216067176337</v>
      </c>
      <c r="AV105" s="39">
        <v>15958</v>
      </c>
      <c r="AW105" s="46">
        <v>19583000</v>
      </c>
      <c r="AX105" s="47">
        <v>1205.1818573450673</v>
      </c>
      <c r="AY105" s="39">
        <v>16249</v>
      </c>
      <c r="AZ105" s="41">
        <v>67.800000000000011</v>
      </c>
      <c r="BA105" s="41">
        <v>17.63800849283033</v>
      </c>
      <c r="BB105" s="46">
        <v>656000</v>
      </c>
      <c r="BC105" s="48">
        <v>1749.3333333333333</v>
      </c>
      <c r="BD105" s="40">
        <v>375</v>
      </c>
      <c r="BE105" s="46">
        <v>7015000</v>
      </c>
      <c r="BF105" s="47">
        <v>5489.0453834115806</v>
      </c>
      <c r="BG105" s="40">
        <v>1278</v>
      </c>
      <c r="BH105" s="49" t="s">
        <v>382</v>
      </c>
      <c r="BI105" s="49" t="s">
        <v>382</v>
      </c>
      <c r="BJ105" s="213">
        <v>0</v>
      </c>
      <c r="BK105" s="47">
        <v>97.161196411535926</v>
      </c>
      <c r="BL105" s="55">
        <v>7535000</v>
      </c>
      <c r="BM105" s="41">
        <v>9.4402265153223581</v>
      </c>
      <c r="BN105" s="56">
        <v>21391000</v>
      </c>
      <c r="BO105" s="41">
        <v>26.79971936154752</v>
      </c>
      <c r="BP105" s="56">
        <v>10286000</v>
      </c>
      <c r="BQ105" s="41">
        <v>12.886817509834875</v>
      </c>
      <c r="BR105" s="39">
        <v>10662000</v>
      </c>
      <c r="BS105" s="41">
        <v>13.35788919792528</v>
      </c>
      <c r="BT105" s="39">
        <v>14546000</v>
      </c>
      <c r="BU105" s="41">
        <v>18.223959507880426</v>
      </c>
      <c r="BV105" s="56">
        <v>6635000</v>
      </c>
      <c r="BW105" s="41">
        <v>8.3126613044676638</v>
      </c>
      <c r="BX105" s="40">
        <v>8763000</v>
      </c>
      <c r="BY105" s="41">
        <v>10.978726603021876</v>
      </c>
      <c r="BZ105" s="57">
        <v>181.8686490791919</v>
      </c>
      <c r="CA105" s="58">
        <v>248.26820496729502</v>
      </c>
      <c r="CB105" s="59">
        <v>452.70449663295602</v>
      </c>
      <c r="CC105" s="47">
        <v>257.34353503415315</v>
      </c>
      <c r="CD105" s="58">
        <v>301.24785788419297</v>
      </c>
      <c r="CE105" s="59">
        <v>63.599720016412832</v>
      </c>
      <c r="CF105" s="59">
        <v>211.50829089329247</v>
      </c>
      <c r="CG105" s="59">
        <v>49.841905819314043</v>
      </c>
      <c r="CH105" s="47">
        <v>160.14578455745698</v>
      </c>
      <c r="CI105" s="43">
        <v>987</v>
      </c>
      <c r="CJ105" s="44">
        <v>358.66822573696845</v>
      </c>
      <c r="CK105" s="60">
        <v>52.630461680060669</v>
      </c>
      <c r="CL105" s="53">
        <v>3624.8399999999997</v>
      </c>
      <c r="CM105" s="41">
        <v>13.889600961930851</v>
      </c>
      <c r="CN105" s="53">
        <v>10110.4</v>
      </c>
      <c r="CO105" s="41">
        <v>38.740860718129817</v>
      </c>
      <c r="CP105" s="54">
        <v>12362.269999999999</v>
      </c>
      <c r="CQ105" s="41">
        <v>47.369538319939331</v>
      </c>
      <c r="CR105" s="43">
        <v>23155</v>
      </c>
      <c r="CS105" s="52">
        <v>58.38479809976247</v>
      </c>
      <c r="CT105" s="41">
        <v>484.01900000000001</v>
      </c>
      <c r="CU105" s="41">
        <v>11.682532403272912</v>
      </c>
      <c r="CV105" s="52">
        <v>602.9</v>
      </c>
      <c r="CW105" s="38">
        <v>1</v>
      </c>
      <c r="CX105" s="38">
        <v>3</v>
      </c>
      <c r="CY105" s="51">
        <v>1</v>
      </c>
      <c r="CZ105" s="41">
        <v>4.8216794187926917</v>
      </c>
      <c r="DA105" s="49">
        <v>6538000</v>
      </c>
      <c r="DB105" s="49">
        <v>5239000</v>
      </c>
      <c r="DC105" s="49">
        <v>4446000</v>
      </c>
      <c r="DD105" s="49">
        <v>5269000</v>
      </c>
      <c r="DE105" s="39">
        <v>5780000</v>
      </c>
      <c r="DF105" s="62">
        <v>7903000</v>
      </c>
      <c r="DG105" s="41">
        <v>73.14</v>
      </c>
      <c r="DH105" s="41">
        <v>19.71</v>
      </c>
      <c r="DI105" s="41">
        <v>1.03</v>
      </c>
      <c r="DJ105" s="37" t="s">
        <v>390</v>
      </c>
      <c r="DK105" s="40">
        <v>156000</v>
      </c>
      <c r="DL105" s="40">
        <v>254000</v>
      </c>
      <c r="DM105" s="40">
        <v>0</v>
      </c>
      <c r="DN105" s="40">
        <v>29094.639999999999</v>
      </c>
      <c r="DO105" s="40">
        <v>215160</v>
      </c>
      <c r="DP105" s="40">
        <v>321869</v>
      </c>
      <c r="DQ105" s="64">
        <v>2</v>
      </c>
      <c r="DR105" s="40">
        <v>86450</v>
      </c>
      <c r="DS105" s="65">
        <v>1</v>
      </c>
      <c r="DT105" s="38">
        <v>12</v>
      </c>
      <c r="DU105" s="66">
        <v>3452.5833333333335</v>
      </c>
      <c r="DV105" s="41">
        <v>0</v>
      </c>
      <c r="DW105" s="41">
        <v>100</v>
      </c>
      <c r="DX105" s="41">
        <v>0</v>
      </c>
      <c r="DY105" s="41">
        <v>8.3333333333333321</v>
      </c>
      <c r="DZ105" s="41">
        <v>0</v>
      </c>
      <c r="EA105" s="41">
        <v>50</v>
      </c>
      <c r="EB105" s="41">
        <v>50</v>
      </c>
      <c r="EC105" s="40">
        <v>377</v>
      </c>
      <c r="ED105" s="184">
        <v>109.89655172413794</v>
      </c>
    </row>
    <row r="106" spans="1:134" s="13" customFormat="1">
      <c r="A106" s="156" t="s">
        <v>254</v>
      </c>
      <c r="B106" s="285">
        <v>2014</v>
      </c>
      <c r="C106" s="259">
        <v>11</v>
      </c>
      <c r="D106" s="80" t="s">
        <v>345</v>
      </c>
      <c r="E106" s="56">
        <v>5146.8</v>
      </c>
      <c r="F106" s="56">
        <v>15510</v>
      </c>
      <c r="G106" s="82">
        <v>8.9797639123102879</v>
      </c>
      <c r="H106" s="179">
        <v>3</v>
      </c>
      <c r="I106" s="56">
        <v>7757</v>
      </c>
      <c r="J106" s="56">
        <v>50.012894906511931</v>
      </c>
      <c r="K106" s="56">
        <v>7753</v>
      </c>
      <c r="L106" s="84">
        <v>49.987105093488069</v>
      </c>
      <c r="M106" s="160">
        <v>27.446808510638299</v>
      </c>
      <c r="N106" s="160">
        <v>52.224371373307541</v>
      </c>
      <c r="O106" s="160">
        <v>20.328820116054157</v>
      </c>
      <c r="P106" s="160">
        <v>35.931656995486783</v>
      </c>
      <c r="Q106" s="160">
        <v>43.739522888459057</v>
      </c>
      <c r="R106" s="160">
        <v>20.328820116054157</v>
      </c>
      <c r="S106" s="83">
        <v>1.5679442508710801</v>
      </c>
      <c r="T106" s="83">
        <v>4</v>
      </c>
      <c r="U106" s="38">
        <v>139</v>
      </c>
      <c r="V106" s="41">
        <v>1.3</v>
      </c>
      <c r="W106" s="40">
        <v>54806</v>
      </c>
      <c r="X106" s="41">
        <v>2.7</v>
      </c>
      <c r="Y106" s="42" t="s">
        <v>352</v>
      </c>
      <c r="Z106" s="43">
        <v>1712</v>
      </c>
      <c r="AA106" s="45">
        <v>14</v>
      </c>
      <c r="AB106" s="63">
        <v>268</v>
      </c>
      <c r="AC106" s="63">
        <v>28511.005000000001</v>
      </c>
      <c r="AD106" s="43">
        <v>75</v>
      </c>
      <c r="AE106" s="44">
        <v>3.87</v>
      </c>
      <c r="AF106" s="44">
        <v>3.3933</v>
      </c>
      <c r="AG106" s="41">
        <v>70.17</v>
      </c>
      <c r="AH106" s="41">
        <v>29.83</v>
      </c>
      <c r="AI106" s="44">
        <v>6.91</v>
      </c>
      <c r="AJ106" s="41">
        <v>4.1043000000000003</v>
      </c>
      <c r="AK106" s="41">
        <v>6.6746304315365084</v>
      </c>
      <c r="AL106" s="41">
        <v>15.6591</v>
      </c>
      <c r="AM106" s="39">
        <v>29623</v>
      </c>
      <c r="AN106" s="39">
        <v>32869</v>
      </c>
      <c r="AO106" s="40">
        <v>32190</v>
      </c>
      <c r="AP106" s="40">
        <v>39526</v>
      </c>
      <c r="AQ106" s="39">
        <v>5200000</v>
      </c>
      <c r="AR106" s="44">
        <v>814.53634085213037</v>
      </c>
      <c r="AS106" s="39">
        <v>6384</v>
      </c>
      <c r="AT106" s="46">
        <v>5688000</v>
      </c>
      <c r="AU106" s="50">
        <v>881.04089219330854</v>
      </c>
      <c r="AV106" s="39">
        <v>6456</v>
      </c>
      <c r="AW106" s="46">
        <v>5906000</v>
      </c>
      <c r="AX106" s="47">
        <v>913.81711279591525</v>
      </c>
      <c r="AY106" s="39">
        <v>6463</v>
      </c>
      <c r="AZ106" s="41">
        <v>79.5</v>
      </c>
      <c r="BA106" s="41">
        <v>10.397648151013462</v>
      </c>
      <c r="BB106" s="46">
        <v>2149000</v>
      </c>
      <c r="BC106" s="48">
        <v>2172.9019211324571</v>
      </c>
      <c r="BD106" s="40">
        <v>989</v>
      </c>
      <c r="BE106" s="46">
        <v>186000</v>
      </c>
      <c r="BF106" s="47">
        <v>759.18367346938771</v>
      </c>
      <c r="BG106" s="40">
        <v>245</v>
      </c>
      <c r="BH106" s="46">
        <v>16000</v>
      </c>
      <c r="BI106" s="49">
        <v>8000</v>
      </c>
      <c r="BJ106" s="45">
        <v>2</v>
      </c>
      <c r="BK106" s="47">
        <v>292.30890214363569</v>
      </c>
      <c r="BL106" s="55">
        <v>4423000</v>
      </c>
      <c r="BM106" s="41">
        <v>13.740292016154084</v>
      </c>
      <c r="BN106" s="56">
        <v>5391000</v>
      </c>
      <c r="BO106" s="41">
        <v>16.747437092264679</v>
      </c>
      <c r="BP106" s="56">
        <v>4432000</v>
      </c>
      <c r="BQ106" s="41">
        <v>13.768251009630319</v>
      </c>
      <c r="BR106" s="39">
        <v>1664000</v>
      </c>
      <c r="BS106" s="41">
        <v>5.1693072382727561</v>
      </c>
      <c r="BT106" s="39">
        <v>1407000</v>
      </c>
      <c r="BU106" s="41">
        <v>4.3709226467847158</v>
      </c>
      <c r="BV106" s="56">
        <v>6662000</v>
      </c>
      <c r="BW106" s="41">
        <v>20.695868282075178</v>
      </c>
      <c r="BX106" s="40">
        <v>8211000</v>
      </c>
      <c r="BY106" s="41">
        <v>25.507921714818266</v>
      </c>
      <c r="BZ106" s="57">
        <v>285.17085751128303</v>
      </c>
      <c r="CA106" s="58">
        <v>285.75112830431982</v>
      </c>
      <c r="CB106" s="59">
        <v>298.32366215344939</v>
      </c>
      <c r="CC106" s="47">
        <v>107.2856221792392</v>
      </c>
      <c r="CD106" s="58">
        <v>68.98774983881367</v>
      </c>
      <c r="CE106" s="59">
        <v>49.258542875564153</v>
      </c>
      <c r="CF106" s="59">
        <v>529.40038684719536</v>
      </c>
      <c r="CG106" s="59">
        <v>21.727917472598325</v>
      </c>
      <c r="CH106" s="47">
        <v>429.52933591231465</v>
      </c>
      <c r="CI106" s="43">
        <v>1691</v>
      </c>
      <c r="CJ106" s="44">
        <v>116.50936097787405</v>
      </c>
      <c r="CK106" s="60">
        <v>41.532789043982092</v>
      </c>
      <c r="CL106" s="53">
        <v>1752.46</v>
      </c>
      <c r="CM106" s="41">
        <v>26.990529611712542</v>
      </c>
      <c r="CN106" s="53">
        <v>944.21</v>
      </c>
      <c r="CO106" s="41">
        <v>14.542259432269553</v>
      </c>
      <c r="CP106" s="54">
        <v>3796.2099999999996</v>
      </c>
      <c r="CQ106" s="41">
        <v>58.467364971114463</v>
      </c>
      <c r="CR106" s="43">
        <v>8138</v>
      </c>
      <c r="CS106" s="52">
        <v>42.578028999754238</v>
      </c>
      <c r="CT106" s="41">
        <v>1301.43</v>
      </c>
      <c r="CU106" s="41">
        <v>83.909090909090921</v>
      </c>
      <c r="CV106" s="52">
        <v>101.8</v>
      </c>
      <c r="CW106" s="38">
        <v>3</v>
      </c>
      <c r="CX106" s="38">
        <v>12</v>
      </c>
      <c r="CY106" s="51">
        <v>2</v>
      </c>
      <c r="CZ106" s="41">
        <v>4.3457769181173438</v>
      </c>
      <c r="DA106" s="39">
        <v>4140000</v>
      </c>
      <c r="DB106" s="39">
        <v>5505000</v>
      </c>
      <c r="DC106" s="39">
        <v>4626500</v>
      </c>
      <c r="DD106" s="39">
        <v>7799000</v>
      </c>
      <c r="DE106" s="39">
        <v>3010000</v>
      </c>
      <c r="DF106" s="62">
        <v>2520000</v>
      </c>
      <c r="DG106" s="41">
        <v>119.44</v>
      </c>
      <c r="DH106" s="41">
        <v>128.15</v>
      </c>
      <c r="DI106" s="41">
        <v>7.23</v>
      </c>
      <c r="DJ106" s="37" t="s">
        <v>390</v>
      </c>
      <c r="DK106" s="40">
        <v>31000</v>
      </c>
      <c r="DL106" s="40">
        <v>130000</v>
      </c>
      <c r="DM106" s="40">
        <v>0</v>
      </c>
      <c r="DN106" s="40">
        <v>10146</v>
      </c>
      <c r="DO106" s="40">
        <v>6959</v>
      </c>
      <c r="DP106" s="40">
        <v>259807</v>
      </c>
      <c r="DQ106" s="64">
        <v>4</v>
      </c>
      <c r="DR106" s="40">
        <v>16350</v>
      </c>
      <c r="DS106" s="65">
        <v>2</v>
      </c>
      <c r="DT106" s="38">
        <v>9</v>
      </c>
      <c r="DU106" s="66">
        <v>1723.3333333333333</v>
      </c>
      <c r="DV106" s="41">
        <v>11.111111111111111</v>
      </c>
      <c r="DW106" s="41">
        <v>88.888888888888886</v>
      </c>
      <c r="DX106" s="41">
        <v>0</v>
      </c>
      <c r="DY106" s="41">
        <v>0</v>
      </c>
      <c r="DZ106" s="41">
        <v>0</v>
      </c>
      <c r="EA106" s="41">
        <v>77.777777777777786</v>
      </c>
      <c r="EB106" s="41">
        <v>22.222222222222221</v>
      </c>
      <c r="EC106" s="40">
        <v>120</v>
      </c>
      <c r="ED106" s="184">
        <v>129.25</v>
      </c>
    </row>
    <row r="107" spans="1:134" s="13" customFormat="1">
      <c r="A107" s="156" t="s">
        <v>255</v>
      </c>
      <c r="B107" s="285">
        <v>2014</v>
      </c>
      <c r="C107" s="259">
        <v>11</v>
      </c>
      <c r="D107" s="80" t="s">
        <v>345</v>
      </c>
      <c r="E107" s="56">
        <v>5954.9</v>
      </c>
      <c r="F107" s="56">
        <v>15217</v>
      </c>
      <c r="G107" s="82">
        <v>2.5749915739804519</v>
      </c>
      <c r="H107" s="179">
        <v>2.6</v>
      </c>
      <c r="I107" s="56">
        <v>7579</v>
      </c>
      <c r="J107" s="56">
        <v>49.806137872116715</v>
      </c>
      <c r="K107" s="56">
        <v>7638</v>
      </c>
      <c r="L107" s="84">
        <v>50.193862127883293</v>
      </c>
      <c r="M107" s="160">
        <v>28.632450548728393</v>
      </c>
      <c r="N107" s="160">
        <v>47.177498849970426</v>
      </c>
      <c r="O107" s="160">
        <v>24.190050601301177</v>
      </c>
      <c r="P107" s="160">
        <v>39.087862259315237</v>
      </c>
      <c r="Q107" s="160">
        <v>36.722087139383589</v>
      </c>
      <c r="R107" s="160">
        <v>24.190050601301177</v>
      </c>
      <c r="S107" s="83">
        <v>8.2990679824561404</v>
      </c>
      <c r="T107" s="83">
        <v>2.2000000000000002</v>
      </c>
      <c r="U107" s="38">
        <v>36</v>
      </c>
      <c r="V107" s="41">
        <v>9.5</v>
      </c>
      <c r="W107" s="40">
        <v>44797</v>
      </c>
      <c r="X107" s="41">
        <v>2.5</v>
      </c>
      <c r="Y107" s="42" t="s">
        <v>139</v>
      </c>
      <c r="Z107" s="43">
        <v>1329</v>
      </c>
      <c r="AA107" s="45">
        <v>13</v>
      </c>
      <c r="AB107" s="67">
        <v>117</v>
      </c>
      <c r="AC107" s="63">
        <v>41063.883999999998</v>
      </c>
      <c r="AD107" s="43">
        <v>63</v>
      </c>
      <c r="AE107" s="44">
        <v>0.44</v>
      </c>
      <c r="AF107" s="44">
        <v>2.4965999999999999</v>
      </c>
      <c r="AG107" s="41">
        <v>62.68</v>
      </c>
      <c r="AH107" s="41">
        <v>37.32</v>
      </c>
      <c r="AI107" s="44">
        <v>5.24</v>
      </c>
      <c r="AJ107" s="41">
        <v>11.708299999999999</v>
      </c>
      <c r="AK107" s="41">
        <v>2.5824435912270549</v>
      </c>
      <c r="AL107" s="41">
        <v>21.990400000000001</v>
      </c>
      <c r="AM107" s="39">
        <v>32924</v>
      </c>
      <c r="AN107" s="39">
        <v>33722</v>
      </c>
      <c r="AO107" s="40">
        <v>37877</v>
      </c>
      <c r="AP107" s="40">
        <v>44872</v>
      </c>
      <c r="AQ107" s="39">
        <v>2982000</v>
      </c>
      <c r="AR107" s="44">
        <v>517.43883394065585</v>
      </c>
      <c r="AS107" s="39">
        <v>5763</v>
      </c>
      <c r="AT107" s="46">
        <v>3572000</v>
      </c>
      <c r="AU107" s="50">
        <v>616.2870945479641</v>
      </c>
      <c r="AV107" s="39">
        <v>5796</v>
      </c>
      <c r="AW107" s="46">
        <v>4041000</v>
      </c>
      <c r="AX107" s="47">
        <v>695.1660072251849</v>
      </c>
      <c r="AY107" s="39">
        <v>5813</v>
      </c>
      <c r="AZ107" s="41">
        <v>60.9</v>
      </c>
      <c r="BA107" s="41">
        <v>23.516256666093238</v>
      </c>
      <c r="BB107" s="46">
        <v>2854000</v>
      </c>
      <c r="BC107" s="48">
        <v>2004.2134831460673</v>
      </c>
      <c r="BD107" s="40">
        <v>1424</v>
      </c>
      <c r="BE107" s="46">
        <v>2035000</v>
      </c>
      <c r="BF107" s="47">
        <v>3145.2859350850076</v>
      </c>
      <c r="BG107" s="40">
        <v>647</v>
      </c>
      <c r="BH107" s="46">
        <v>1042000</v>
      </c>
      <c r="BI107" s="49">
        <v>521000</v>
      </c>
      <c r="BJ107" s="45">
        <v>2</v>
      </c>
      <c r="BK107" s="47">
        <v>89.058125350982749</v>
      </c>
      <c r="BL107" s="55">
        <v>6568000</v>
      </c>
      <c r="BM107" s="41">
        <v>17.340338463975499</v>
      </c>
      <c r="BN107" s="56">
        <v>10354000</v>
      </c>
      <c r="BO107" s="41">
        <v>27.335850252131898</v>
      </c>
      <c r="BP107" s="56">
        <v>2668000</v>
      </c>
      <c r="BQ107" s="41">
        <v>7.0438524698365761</v>
      </c>
      <c r="BR107" s="39">
        <v>2383000</v>
      </c>
      <c r="BS107" s="41">
        <v>6.2914169548802708</v>
      </c>
      <c r="BT107" s="39">
        <v>5070000</v>
      </c>
      <c r="BU107" s="41">
        <v>13.385431792380601</v>
      </c>
      <c r="BV107" s="56">
        <v>7094000</v>
      </c>
      <c r="BW107" s="41">
        <v>18.729044010877313</v>
      </c>
      <c r="BX107" s="40">
        <v>3740000</v>
      </c>
      <c r="BY107" s="41">
        <v>9.8740660559178384</v>
      </c>
      <c r="BZ107" s="57">
        <v>431.62252743641977</v>
      </c>
      <c r="CA107" s="58">
        <v>175.33022277715713</v>
      </c>
      <c r="CB107" s="59">
        <v>567.72031280804367</v>
      </c>
      <c r="CC107" s="47">
        <v>156.60116974436485</v>
      </c>
      <c r="CD107" s="58">
        <v>276.72997305645004</v>
      </c>
      <c r="CE107" s="59">
        <v>112.70289807452191</v>
      </c>
      <c r="CF107" s="59">
        <v>245.77774857067755</v>
      </c>
      <c r="CG107" s="59">
        <v>56.450023000591443</v>
      </c>
      <c r="CH107" s="47">
        <v>466.18913057764343</v>
      </c>
      <c r="CI107" s="43">
        <v>1094</v>
      </c>
      <c r="CJ107" s="44">
        <v>254.25769826251505</v>
      </c>
      <c r="CK107" s="60">
        <v>7.8532939106267614</v>
      </c>
      <c r="CL107" s="53">
        <v>831.89</v>
      </c>
      <c r="CM107" s="41">
        <v>7.8532939106267614</v>
      </c>
      <c r="CN107" s="53" t="s">
        <v>382</v>
      </c>
      <c r="CO107" s="41">
        <v>0</v>
      </c>
      <c r="CP107" s="54">
        <v>9760.99</v>
      </c>
      <c r="CQ107" s="41">
        <v>92.146706089373239</v>
      </c>
      <c r="CR107" s="43">
        <v>7097</v>
      </c>
      <c r="CS107" s="52">
        <v>36.367479216570381</v>
      </c>
      <c r="CT107" s="41">
        <v>2127.38</v>
      </c>
      <c r="CU107" s="41">
        <v>139.80285207333904</v>
      </c>
      <c r="CV107" s="52">
        <v>208.25</v>
      </c>
      <c r="CW107" s="38">
        <v>4</v>
      </c>
      <c r="CX107" s="38">
        <v>14</v>
      </c>
      <c r="CY107" s="51">
        <v>4</v>
      </c>
      <c r="CZ107" s="41">
        <v>5.139186436222646</v>
      </c>
      <c r="DA107" s="39">
        <v>6914000</v>
      </c>
      <c r="DB107" s="39">
        <v>6238000</v>
      </c>
      <c r="DC107" s="39">
        <v>6832000</v>
      </c>
      <c r="DD107" s="39">
        <v>6740435</v>
      </c>
      <c r="DE107" s="39">
        <v>5889000</v>
      </c>
      <c r="DF107" s="62">
        <v>5460000</v>
      </c>
      <c r="DG107" s="41">
        <v>107.86</v>
      </c>
      <c r="DH107" s="41">
        <v>207.12</v>
      </c>
      <c r="DI107" s="41">
        <v>2.13</v>
      </c>
      <c r="DJ107" s="37" t="s">
        <v>390</v>
      </c>
      <c r="DK107" s="40">
        <v>86000</v>
      </c>
      <c r="DL107" s="40">
        <v>130000</v>
      </c>
      <c r="DM107" s="40">
        <v>0</v>
      </c>
      <c r="DN107" s="40">
        <v>6286</v>
      </c>
      <c r="DO107" s="40">
        <v>30174</v>
      </c>
      <c r="DP107" s="40">
        <v>218755</v>
      </c>
      <c r="DQ107" s="64">
        <v>0</v>
      </c>
      <c r="DR107" s="40">
        <v>0</v>
      </c>
      <c r="DS107" s="65">
        <v>0</v>
      </c>
      <c r="DT107" s="38">
        <v>10</v>
      </c>
      <c r="DU107" s="66">
        <v>1521.7</v>
      </c>
      <c r="DV107" s="41">
        <v>40</v>
      </c>
      <c r="DW107" s="41">
        <v>60</v>
      </c>
      <c r="DX107" s="41">
        <v>0</v>
      </c>
      <c r="DY107" s="41">
        <v>0</v>
      </c>
      <c r="DZ107" s="41">
        <v>0</v>
      </c>
      <c r="EA107" s="41">
        <v>50</v>
      </c>
      <c r="EB107" s="41">
        <v>50</v>
      </c>
      <c r="EC107" s="40">
        <v>165</v>
      </c>
      <c r="ED107" s="184">
        <v>92.224242424242419</v>
      </c>
    </row>
    <row r="108" spans="1:134" s="13" customFormat="1">
      <c r="A108" s="156" t="s">
        <v>256</v>
      </c>
      <c r="B108" s="285">
        <v>2014</v>
      </c>
      <c r="C108" s="259">
        <v>3</v>
      </c>
      <c r="D108" s="80" t="s">
        <v>343</v>
      </c>
      <c r="E108" s="56">
        <v>61.4</v>
      </c>
      <c r="F108" s="56">
        <v>189932</v>
      </c>
      <c r="G108" s="82">
        <v>13.857183963169001</v>
      </c>
      <c r="H108" s="179">
        <v>3095.5</v>
      </c>
      <c r="I108" s="56">
        <v>96093</v>
      </c>
      <c r="J108" s="56">
        <v>50.593370258829474</v>
      </c>
      <c r="K108" s="56">
        <v>93839</v>
      </c>
      <c r="L108" s="84">
        <v>49.406629741170526</v>
      </c>
      <c r="M108" s="160">
        <v>24.408209253838216</v>
      </c>
      <c r="N108" s="160">
        <v>59.507086746835711</v>
      </c>
      <c r="O108" s="160">
        <v>16.084703999326074</v>
      </c>
      <c r="P108" s="160">
        <v>42.455720994882377</v>
      </c>
      <c r="Q108" s="160">
        <v>41.45957500579155</v>
      </c>
      <c r="R108" s="160">
        <v>16.084703999326074</v>
      </c>
      <c r="S108" s="83">
        <v>0.84322186263933829</v>
      </c>
      <c r="T108" s="83">
        <v>50.2</v>
      </c>
      <c r="U108" s="38">
        <v>112</v>
      </c>
      <c r="V108" s="41">
        <v>5.6</v>
      </c>
      <c r="W108" s="40">
        <v>47905</v>
      </c>
      <c r="X108" s="41">
        <v>2.7</v>
      </c>
      <c r="Y108" s="42" t="s">
        <v>350</v>
      </c>
      <c r="Z108" s="43">
        <v>15981</v>
      </c>
      <c r="AA108" s="45">
        <v>87</v>
      </c>
      <c r="AB108" s="63">
        <v>766</v>
      </c>
      <c r="AC108" s="63">
        <v>1464798.2379999999</v>
      </c>
      <c r="AD108" s="43">
        <v>116</v>
      </c>
      <c r="AE108" s="44">
        <v>-0.94</v>
      </c>
      <c r="AF108" s="44">
        <v>6.2859000000000007</v>
      </c>
      <c r="AG108" s="41">
        <v>80.11</v>
      </c>
      <c r="AH108" s="41">
        <v>19.89</v>
      </c>
      <c r="AI108" s="44">
        <v>3</v>
      </c>
      <c r="AJ108" s="41">
        <v>1.5747</v>
      </c>
      <c r="AK108" s="41">
        <v>12.060889929742387</v>
      </c>
      <c r="AL108" s="41">
        <v>10.9749</v>
      </c>
      <c r="AM108" s="39">
        <v>172349</v>
      </c>
      <c r="AN108" s="39">
        <v>181021</v>
      </c>
      <c r="AO108" s="40">
        <v>198272</v>
      </c>
      <c r="AP108" s="40">
        <v>221548</v>
      </c>
      <c r="AQ108" s="39">
        <v>45072000</v>
      </c>
      <c r="AR108" s="44">
        <v>767.83645655877342</v>
      </c>
      <c r="AS108" s="39">
        <v>58700</v>
      </c>
      <c r="AT108" s="46">
        <v>53983000</v>
      </c>
      <c r="AU108" s="50">
        <v>906.27203438203003</v>
      </c>
      <c r="AV108" s="39">
        <v>59566</v>
      </c>
      <c r="AW108" s="46">
        <v>56893000</v>
      </c>
      <c r="AX108" s="47">
        <v>929.35084452285275</v>
      </c>
      <c r="AY108" s="39">
        <v>61218</v>
      </c>
      <c r="AZ108" s="41">
        <v>75.099999999999994</v>
      </c>
      <c r="BA108" s="41">
        <v>12.413015779672646</v>
      </c>
      <c r="BB108" s="48" t="s">
        <v>382</v>
      </c>
      <c r="BC108" s="48" t="s">
        <v>382</v>
      </c>
      <c r="BD108" s="40">
        <v>0</v>
      </c>
      <c r="BE108" s="46">
        <v>46076000</v>
      </c>
      <c r="BF108" s="47">
        <v>10289.414917373828</v>
      </c>
      <c r="BG108" s="40">
        <v>4478</v>
      </c>
      <c r="BH108" s="49" t="s">
        <v>382</v>
      </c>
      <c r="BI108" s="49" t="s">
        <v>382</v>
      </c>
      <c r="BJ108" s="213">
        <v>0</v>
      </c>
      <c r="BK108" s="47">
        <v>191.47266181083626</v>
      </c>
      <c r="BL108" s="55">
        <v>81028000</v>
      </c>
      <c r="BM108" s="41">
        <v>40.866885556782819</v>
      </c>
      <c r="BN108" s="56">
        <v>6478000</v>
      </c>
      <c r="BO108" s="41">
        <v>3.2672123788917302</v>
      </c>
      <c r="BP108" s="56">
        <v>30717000</v>
      </c>
      <c r="BQ108" s="41">
        <v>15.492275801546354</v>
      </c>
      <c r="BR108" s="39">
        <v>16179000</v>
      </c>
      <c r="BS108" s="41">
        <v>8.1599612655278335</v>
      </c>
      <c r="BT108" s="39">
        <v>31821000</v>
      </c>
      <c r="BU108" s="41">
        <v>16.049083838949326</v>
      </c>
      <c r="BV108" s="56">
        <v>17954000</v>
      </c>
      <c r="BW108" s="41">
        <v>9.0551915792871451</v>
      </c>
      <c r="BX108" s="40">
        <v>14096000</v>
      </c>
      <c r="BY108" s="41">
        <v>7.1093895790147927</v>
      </c>
      <c r="BZ108" s="57">
        <v>426.61584145904851</v>
      </c>
      <c r="CA108" s="58">
        <v>161.7263020449424</v>
      </c>
      <c r="CB108" s="43" t="s">
        <v>382</v>
      </c>
      <c r="CC108" s="47">
        <v>85.183118168607706</v>
      </c>
      <c r="CD108" s="58">
        <v>130.48880652022828</v>
      </c>
      <c r="CE108" s="59">
        <v>34.106943537687172</v>
      </c>
      <c r="CF108" s="59">
        <v>74.216035212602407</v>
      </c>
      <c r="CG108" s="59">
        <v>37.050102141819174</v>
      </c>
      <c r="CH108" s="47">
        <v>94.528568119116315</v>
      </c>
      <c r="CI108" s="43" t="s">
        <v>382</v>
      </c>
      <c r="CJ108" s="44">
        <v>348.70462935737856</v>
      </c>
      <c r="CK108" s="60">
        <v>38.508466603951085</v>
      </c>
      <c r="CL108" s="53">
        <v>12160.12</v>
      </c>
      <c r="CM108" s="41">
        <v>17.874118062088428</v>
      </c>
      <c r="CN108" s="53">
        <v>10951.960000000001</v>
      </c>
      <c r="CO108" s="41">
        <v>16.098247883349011</v>
      </c>
      <c r="CP108" s="54">
        <v>41833.93</v>
      </c>
      <c r="CQ108" s="41">
        <v>61.491548095014117</v>
      </c>
      <c r="CR108" s="43">
        <v>32307</v>
      </c>
      <c r="CS108" s="52">
        <v>45.445259541275881</v>
      </c>
      <c r="CT108" s="41">
        <v>558.56899999999996</v>
      </c>
      <c r="CU108" s="41">
        <v>2.940889370932755</v>
      </c>
      <c r="CV108" s="52">
        <v>996.26</v>
      </c>
      <c r="CW108" s="38">
        <v>3</v>
      </c>
      <c r="CX108" s="38">
        <v>6</v>
      </c>
      <c r="CY108" s="51">
        <v>7</v>
      </c>
      <c r="CZ108" s="41">
        <v>4.1685761219804984</v>
      </c>
      <c r="DA108" s="39">
        <v>7638000</v>
      </c>
      <c r="DB108" s="39">
        <v>8638000</v>
      </c>
      <c r="DC108" s="39">
        <v>9822621</v>
      </c>
      <c r="DD108" s="39">
        <v>10800000</v>
      </c>
      <c r="DE108" s="39">
        <v>10018000</v>
      </c>
      <c r="DF108" s="62">
        <v>10348000</v>
      </c>
      <c r="DG108" s="41">
        <v>96.81</v>
      </c>
      <c r="DH108" s="41">
        <v>83.22</v>
      </c>
      <c r="DI108" s="41">
        <v>0.73</v>
      </c>
      <c r="DJ108" s="37" t="s">
        <v>390</v>
      </c>
      <c r="DK108" s="40">
        <v>117000</v>
      </c>
      <c r="DL108" s="40">
        <v>482000</v>
      </c>
      <c r="DM108" s="40">
        <v>0</v>
      </c>
      <c r="DN108" s="40">
        <v>54051</v>
      </c>
      <c r="DO108" s="40">
        <v>23225</v>
      </c>
      <c r="DP108" s="40">
        <v>494763</v>
      </c>
      <c r="DQ108" s="64">
        <v>5</v>
      </c>
      <c r="DR108" s="40">
        <v>10455</v>
      </c>
      <c r="DS108" s="65">
        <v>0</v>
      </c>
      <c r="DT108" s="38">
        <v>15</v>
      </c>
      <c r="DU108" s="66">
        <v>12662.133333333333</v>
      </c>
      <c r="DV108" s="41">
        <v>13.333333333333334</v>
      </c>
      <c r="DW108" s="41">
        <v>86.666666666666671</v>
      </c>
      <c r="DX108" s="41">
        <v>6.666666666666667</v>
      </c>
      <c r="DY108" s="41">
        <v>20</v>
      </c>
      <c r="DZ108" s="41">
        <v>0</v>
      </c>
      <c r="EA108" s="41">
        <v>80</v>
      </c>
      <c r="EB108" s="41">
        <v>20</v>
      </c>
      <c r="EC108" s="40">
        <v>790.5</v>
      </c>
      <c r="ED108" s="184">
        <v>240.26818469323214</v>
      </c>
    </row>
    <row r="109" spans="1:134" s="13" customFormat="1">
      <c r="A109" s="156" t="s">
        <v>257</v>
      </c>
      <c r="B109" s="285">
        <v>2014</v>
      </c>
      <c r="C109" s="259">
        <v>7</v>
      </c>
      <c r="D109" s="80" t="s">
        <v>346</v>
      </c>
      <c r="E109" s="56">
        <v>404.6</v>
      </c>
      <c r="F109" s="56">
        <v>194134</v>
      </c>
      <c r="G109" s="82">
        <v>6.7250867229976752</v>
      </c>
      <c r="H109" s="179">
        <v>479.8</v>
      </c>
      <c r="I109" s="56">
        <v>96575</v>
      </c>
      <c r="J109" s="56">
        <v>49.746566804372236</v>
      </c>
      <c r="K109" s="56">
        <v>97559</v>
      </c>
      <c r="L109" s="84">
        <v>50.253433195627764</v>
      </c>
      <c r="M109" s="160">
        <v>27.656670135061351</v>
      </c>
      <c r="N109" s="160">
        <v>56.168419751305798</v>
      </c>
      <c r="O109" s="160">
        <v>16.174910113632851</v>
      </c>
      <c r="P109" s="160">
        <v>43.433916779131941</v>
      </c>
      <c r="Q109" s="160">
        <v>40.391173107235204</v>
      </c>
      <c r="R109" s="160">
        <v>16.174910113632851</v>
      </c>
      <c r="S109" s="83">
        <v>3.0185190373462585</v>
      </c>
      <c r="T109" s="83">
        <v>14.6</v>
      </c>
      <c r="U109" s="38">
        <v>109</v>
      </c>
      <c r="V109" s="41">
        <v>5.4</v>
      </c>
      <c r="W109" s="40">
        <v>49046</v>
      </c>
      <c r="X109" s="41">
        <v>2.9</v>
      </c>
      <c r="Y109" s="85" t="s">
        <v>95</v>
      </c>
      <c r="Z109" s="43">
        <v>12291</v>
      </c>
      <c r="AA109" s="45">
        <v>13</v>
      </c>
      <c r="AB109" s="63">
        <v>1448</v>
      </c>
      <c r="AC109" s="63">
        <v>640456.29</v>
      </c>
      <c r="AD109" s="43">
        <v>85</v>
      </c>
      <c r="AE109" s="44">
        <v>6.23</v>
      </c>
      <c r="AF109" s="44">
        <v>1.6383000000000001</v>
      </c>
      <c r="AG109" s="41">
        <v>68.290000000000006</v>
      </c>
      <c r="AH109" s="41">
        <v>31.709999999999994</v>
      </c>
      <c r="AI109" s="44">
        <v>3.36</v>
      </c>
      <c r="AJ109" s="41">
        <v>2.6770999999999998</v>
      </c>
      <c r="AK109" s="41">
        <v>7.1651169919280679</v>
      </c>
      <c r="AL109" s="41">
        <v>4.6052999999999997</v>
      </c>
      <c r="AM109" s="39">
        <v>171051</v>
      </c>
      <c r="AN109" s="39">
        <v>192573</v>
      </c>
      <c r="AO109" s="40">
        <v>183543</v>
      </c>
      <c r="AP109" s="40">
        <v>244956</v>
      </c>
      <c r="AQ109" s="39">
        <v>61687000</v>
      </c>
      <c r="AR109" s="44">
        <v>969.41838354313018</v>
      </c>
      <c r="AS109" s="39">
        <v>63633</v>
      </c>
      <c r="AT109" s="46">
        <v>66628000</v>
      </c>
      <c r="AU109" s="50">
        <v>1028.2098765432099</v>
      </c>
      <c r="AV109" s="39">
        <v>64800</v>
      </c>
      <c r="AW109" s="46">
        <v>71138000</v>
      </c>
      <c r="AX109" s="47">
        <v>1078.0935060998711</v>
      </c>
      <c r="AY109" s="39">
        <v>65985</v>
      </c>
      <c r="AZ109" s="41">
        <v>76.099999999999994</v>
      </c>
      <c r="BA109" s="41">
        <v>15.159505948321589</v>
      </c>
      <c r="BB109" s="46">
        <v>1261000</v>
      </c>
      <c r="BC109" s="48">
        <v>3176.3224181360201</v>
      </c>
      <c r="BD109" s="40">
        <v>397</v>
      </c>
      <c r="BE109" s="46">
        <v>21288000</v>
      </c>
      <c r="BF109" s="47">
        <v>6490.2439024390242</v>
      </c>
      <c r="BG109" s="40">
        <v>3280</v>
      </c>
      <c r="BH109" s="49" t="s">
        <v>382</v>
      </c>
      <c r="BI109" s="49" t="s">
        <v>382</v>
      </c>
      <c r="BJ109" s="213">
        <v>0</v>
      </c>
      <c r="BK109" s="47">
        <v>196.5374064704815</v>
      </c>
      <c r="BL109" s="55">
        <v>34857000</v>
      </c>
      <c r="BM109" s="41">
        <v>18.99119007535019</v>
      </c>
      <c r="BN109" s="56">
        <v>9831000</v>
      </c>
      <c r="BO109" s="41">
        <v>5.3562380477599252</v>
      </c>
      <c r="BP109" s="56">
        <v>34908000</v>
      </c>
      <c r="BQ109" s="41">
        <v>19.018976479626026</v>
      </c>
      <c r="BR109" s="39">
        <v>32393000</v>
      </c>
      <c r="BS109" s="41">
        <v>17.648725366807778</v>
      </c>
      <c r="BT109" s="39">
        <v>33875000</v>
      </c>
      <c r="BU109" s="41">
        <v>18.456165585176226</v>
      </c>
      <c r="BV109" s="56">
        <v>26240000</v>
      </c>
      <c r="BW109" s="41">
        <v>14.29637741564647</v>
      </c>
      <c r="BX109" s="40">
        <v>11439000</v>
      </c>
      <c r="BY109" s="41">
        <v>6.2323270296333835</v>
      </c>
      <c r="BZ109" s="57">
        <v>179.55123780481523</v>
      </c>
      <c r="CA109" s="58">
        <v>179.81394294662451</v>
      </c>
      <c r="CB109" s="43" t="s">
        <v>382</v>
      </c>
      <c r="CC109" s="47">
        <v>166.85897369857932</v>
      </c>
      <c r="CD109" s="58">
        <v>134.93257234693561</v>
      </c>
      <c r="CE109" s="59">
        <v>50.640279394644935</v>
      </c>
      <c r="CF109" s="59">
        <v>58.923217983454727</v>
      </c>
      <c r="CG109" s="59">
        <v>39.560303707748254</v>
      </c>
      <c r="CH109" s="47">
        <v>135.1643710014732</v>
      </c>
      <c r="CI109" s="43" t="s">
        <v>382</v>
      </c>
      <c r="CJ109" s="44">
        <v>366.15897552474047</v>
      </c>
      <c r="CK109" s="60">
        <v>59.54253759253433</v>
      </c>
      <c r="CL109" s="53">
        <v>18947</v>
      </c>
      <c r="CM109" s="41">
        <v>22.495562507791583</v>
      </c>
      <c r="CN109" s="53">
        <v>27569</v>
      </c>
      <c r="CO109" s="41">
        <v>32.732367275943744</v>
      </c>
      <c r="CP109" s="54">
        <v>34075.5</v>
      </c>
      <c r="CQ109" s="41">
        <v>40.45746240746567</v>
      </c>
      <c r="CR109" s="43">
        <v>82020</v>
      </c>
      <c r="CS109" s="52">
        <v>48.347963911241159</v>
      </c>
      <c r="CT109" s="41">
        <v>1071.98</v>
      </c>
      <c r="CU109" s="41">
        <v>5.5218560375822889</v>
      </c>
      <c r="CV109" s="52">
        <v>880</v>
      </c>
      <c r="CW109" s="38">
        <v>2</v>
      </c>
      <c r="CX109" s="38">
        <v>51</v>
      </c>
      <c r="CY109" s="51">
        <v>3</v>
      </c>
      <c r="CZ109" s="41">
        <v>3.6766614812449134</v>
      </c>
      <c r="DA109" s="39">
        <v>21328000</v>
      </c>
      <c r="DB109" s="39">
        <v>18204000</v>
      </c>
      <c r="DC109" s="39">
        <v>22181000</v>
      </c>
      <c r="DD109" s="39">
        <v>18565000</v>
      </c>
      <c r="DE109" s="39">
        <v>20522000</v>
      </c>
      <c r="DF109" s="62">
        <v>18046700</v>
      </c>
      <c r="DG109" s="41">
        <v>113.72</v>
      </c>
      <c r="DH109" s="41">
        <v>39.160000000000004</v>
      </c>
      <c r="DI109" s="41">
        <v>1.34</v>
      </c>
      <c r="DJ109" s="37" t="s">
        <v>390</v>
      </c>
      <c r="DK109" s="40">
        <v>172199</v>
      </c>
      <c r="DL109" s="40">
        <v>481000</v>
      </c>
      <c r="DM109" s="40">
        <v>33721</v>
      </c>
      <c r="DN109" s="40">
        <v>45580</v>
      </c>
      <c r="DO109" s="40">
        <v>23010</v>
      </c>
      <c r="DP109" s="40">
        <v>343330</v>
      </c>
      <c r="DQ109" s="64">
        <v>5</v>
      </c>
      <c r="DR109" s="40">
        <v>79500</v>
      </c>
      <c r="DS109" s="65">
        <v>0</v>
      </c>
      <c r="DT109" s="38">
        <v>15</v>
      </c>
      <c r="DU109" s="66">
        <v>12942.266666666666</v>
      </c>
      <c r="DV109" s="41">
        <v>33.333333333333329</v>
      </c>
      <c r="DW109" s="41">
        <v>66.666666666666657</v>
      </c>
      <c r="DX109" s="41">
        <v>0</v>
      </c>
      <c r="DY109" s="41">
        <v>6.666666666666667</v>
      </c>
      <c r="DZ109" s="41">
        <v>20</v>
      </c>
      <c r="EA109" s="41">
        <v>46.666666666666664</v>
      </c>
      <c r="EB109" s="41">
        <v>33.333333333333329</v>
      </c>
      <c r="EC109" s="40">
        <v>1055.5</v>
      </c>
      <c r="ED109" s="184">
        <v>183.92610137375652</v>
      </c>
    </row>
    <row r="110" spans="1:134" s="13" customFormat="1">
      <c r="A110" s="156" t="s">
        <v>258</v>
      </c>
      <c r="B110" s="285">
        <v>2014</v>
      </c>
      <c r="C110" s="259">
        <v>2</v>
      </c>
      <c r="D110" s="80" t="s">
        <v>343</v>
      </c>
      <c r="E110" s="56">
        <v>90.3</v>
      </c>
      <c r="F110" s="56">
        <v>63338</v>
      </c>
      <c r="G110" s="82">
        <v>7.9526861194436878</v>
      </c>
      <c r="H110" s="179">
        <v>701.2</v>
      </c>
      <c r="I110" s="56">
        <v>31186</v>
      </c>
      <c r="J110" s="56">
        <v>49.237424610818145</v>
      </c>
      <c r="K110" s="56">
        <v>32152</v>
      </c>
      <c r="L110" s="84">
        <v>50.762575389181855</v>
      </c>
      <c r="M110" s="160">
        <v>25.332343932552337</v>
      </c>
      <c r="N110" s="160">
        <v>49.799488458745145</v>
      </c>
      <c r="O110" s="160">
        <v>24.868167608702514</v>
      </c>
      <c r="P110" s="160">
        <v>34.855852726641196</v>
      </c>
      <c r="Q110" s="160">
        <v>40.275979664656283</v>
      </c>
      <c r="R110" s="160">
        <v>24.868167608702514</v>
      </c>
      <c r="S110" s="83">
        <v>0.44617080468216891</v>
      </c>
      <c r="T110" s="83">
        <v>7.5</v>
      </c>
      <c r="U110" s="38">
        <v>145</v>
      </c>
      <c r="V110" s="41">
        <v>2.4</v>
      </c>
      <c r="W110" s="40">
        <v>70747</v>
      </c>
      <c r="X110" s="41">
        <v>2.7</v>
      </c>
      <c r="Y110" s="85" t="s">
        <v>142</v>
      </c>
      <c r="Z110" s="43">
        <v>8629</v>
      </c>
      <c r="AA110" s="45">
        <v>12</v>
      </c>
      <c r="AB110" s="63">
        <v>982</v>
      </c>
      <c r="AC110" s="63">
        <v>183878.72700000001</v>
      </c>
      <c r="AD110" s="43">
        <v>44</v>
      </c>
      <c r="AE110" s="44">
        <v>0.12</v>
      </c>
      <c r="AF110" s="44">
        <v>2.1219999999999999</v>
      </c>
      <c r="AG110" s="41">
        <v>81</v>
      </c>
      <c r="AH110" s="41">
        <v>19</v>
      </c>
      <c r="AI110" s="44">
        <v>4.45</v>
      </c>
      <c r="AJ110" s="41">
        <v>4.5069999999999997</v>
      </c>
      <c r="AK110" s="41">
        <v>2.8488894594941581</v>
      </c>
      <c r="AL110" s="41">
        <v>5.9135999999999997</v>
      </c>
      <c r="AM110" s="39">
        <v>69551</v>
      </c>
      <c r="AN110" s="39">
        <v>72339</v>
      </c>
      <c r="AO110" s="40">
        <v>77799</v>
      </c>
      <c r="AP110" s="40">
        <v>92340</v>
      </c>
      <c r="AQ110" s="39">
        <v>30812000</v>
      </c>
      <c r="AR110" s="44">
        <v>1351.818540780064</v>
      </c>
      <c r="AS110" s="39">
        <v>22793</v>
      </c>
      <c r="AT110" s="46">
        <v>32830000</v>
      </c>
      <c r="AU110" s="50">
        <v>1424.295010845987</v>
      </c>
      <c r="AV110" s="39">
        <v>23050</v>
      </c>
      <c r="AW110" s="46">
        <v>33833000</v>
      </c>
      <c r="AX110" s="47">
        <v>1457.8790882061446</v>
      </c>
      <c r="AY110" s="39">
        <v>23207</v>
      </c>
      <c r="AZ110" s="41">
        <v>83.399999999999991</v>
      </c>
      <c r="BA110" s="41">
        <v>12.164433145171715</v>
      </c>
      <c r="BB110" s="46">
        <v>35000</v>
      </c>
      <c r="BC110" s="48">
        <v>2692.3076923076924</v>
      </c>
      <c r="BD110" s="40">
        <v>13</v>
      </c>
      <c r="BE110" s="46">
        <v>4159000</v>
      </c>
      <c r="BF110" s="47">
        <v>2224.0641711229946</v>
      </c>
      <c r="BG110" s="40">
        <v>1870</v>
      </c>
      <c r="BH110" s="49" t="s">
        <v>382</v>
      </c>
      <c r="BI110" s="49" t="s">
        <v>382</v>
      </c>
      <c r="BJ110" s="213">
        <v>0</v>
      </c>
      <c r="BK110" s="47">
        <v>453.57620766823572</v>
      </c>
      <c r="BL110" s="55">
        <v>9450550</v>
      </c>
      <c r="BM110" s="41">
        <v>12.147392640008228</v>
      </c>
      <c r="BN110" s="56">
        <v>6605000</v>
      </c>
      <c r="BO110" s="41">
        <v>8.4898263473823565</v>
      </c>
      <c r="BP110" s="56">
        <v>20556450</v>
      </c>
      <c r="BQ110" s="41">
        <v>26.422511857478888</v>
      </c>
      <c r="BR110" s="39">
        <v>9156000</v>
      </c>
      <c r="BS110" s="41">
        <v>11.768788801912621</v>
      </c>
      <c r="BT110" s="39">
        <v>14845000</v>
      </c>
      <c r="BU110" s="41">
        <v>19.081222123677684</v>
      </c>
      <c r="BV110" s="56">
        <v>10240000</v>
      </c>
      <c r="BW110" s="41">
        <v>13.162122906464093</v>
      </c>
      <c r="BX110" s="40">
        <v>6946000</v>
      </c>
      <c r="BY110" s="41">
        <v>8.9281353230761322</v>
      </c>
      <c r="BZ110" s="57">
        <v>149.20821623669835</v>
      </c>
      <c r="CA110" s="58">
        <v>324.55161198648523</v>
      </c>
      <c r="CB110" s="216">
        <v>0.31576620670055888</v>
      </c>
      <c r="CC110" s="47">
        <v>144.55776942751586</v>
      </c>
      <c r="CD110" s="58">
        <v>156.96738135084783</v>
      </c>
      <c r="CE110" s="59">
        <v>103.96602355615902</v>
      </c>
      <c r="CF110" s="59">
        <v>109.6656035871041</v>
      </c>
      <c r="CG110" s="59">
        <v>77.410085572642018</v>
      </c>
      <c r="CH110" s="47">
        <v>161.67229783068615</v>
      </c>
      <c r="CI110" s="43" t="s">
        <v>382</v>
      </c>
      <c r="CJ110" s="44">
        <v>542.8965398371181</v>
      </c>
      <c r="CK110" s="60">
        <v>58.428443820863322</v>
      </c>
      <c r="CL110" s="53">
        <v>13241.679999999998</v>
      </c>
      <c r="CM110" s="41">
        <v>32.299789882862257</v>
      </c>
      <c r="CN110" s="53">
        <v>10711.75</v>
      </c>
      <c r="CO110" s="41">
        <v>26.128653938001058</v>
      </c>
      <c r="CP110" s="54">
        <v>17042.760000000002</v>
      </c>
      <c r="CQ110" s="41">
        <v>41.571580571653271</v>
      </c>
      <c r="CR110" s="43">
        <v>21538</v>
      </c>
      <c r="CS110" s="52">
        <v>67.239297984956821</v>
      </c>
      <c r="CT110" s="41">
        <v>254.47</v>
      </c>
      <c r="CU110" s="41">
        <v>4.0176513309545614</v>
      </c>
      <c r="CV110" s="52">
        <v>743.74</v>
      </c>
      <c r="CW110" s="38">
        <v>9</v>
      </c>
      <c r="CX110" s="38">
        <v>8</v>
      </c>
      <c r="CY110" s="51">
        <v>2</v>
      </c>
      <c r="CZ110" s="41">
        <v>5.2025798099087437</v>
      </c>
      <c r="DA110" s="39">
        <v>7800000</v>
      </c>
      <c r="DB110" s="39">
        <v>11050000</v>
      </c>
      <c r="DC110" s="39">
        <v>8965000</v>
      </c>
      <c r="DD110" s="39">
        <v>6995000</v>
      </c>
      <c r="DE110" s="39">
        <v>8450000</v>
      </c>
      <c r="DF110" s="62">
        <v>6675000</v>
      </c>
      <c r="DG110" s="41">
        <v>126.59</v>
      </c>
      <c r="DH110" s="41">
        <v>113.9</v>
      </c>
      <c r="DI110" s="41">
        <v>2.63</v>
      </c>
      <c r="DJ110" s="37" t="s">
        <v>390</v>
      </c>
      <c r="DK110" s="40">
        <v>126000</v>
      </c>
      <c r="DL110" s="40">
        <v>197000</v>
      </c>
      <c r="DM110" s="40">
        <v>6616</v>
      </c>
      <c r="DN110" s="40">
        <v>32662</v>
      </c>
      <c r="DO110" s="40">
        <v>7287</v>
      </c>
      <c r="DP110" s="40">
        <v>383611</v>
      </c>
      <c r="DQ110" s="64">
        <v>0</v>
      </c>
      <c r="DR110" s="40">
        <v>0</v>
      </c>
      <c r="DS110" s="65">
        <v>0</v>
      </c>
      <c r="DT110" s="38">
        <v>9</v>
      </c>
      <c r="DU110" s="66">
        <v>7037.5555555555557</v>
      </c>
      <c r="DV110" s="41">
        <v>66.666666666666657</v>
      </c>
      <c r="DW110" s="41">
        <v>33.333333333333329</v>
      </c>
      <c r="DX110" s="41">
        <v>0</v>
      </c>
      <c r="DY110" s="41">
        <v>0</v>
      </c>
      <c r="DZ110" s="41">
        <v>0</v>
      </c>
      <c r="EA110" s="41">
        <v>66.666666666666657</v>
      </c>
      <c r="EB110" s="41">
        <v>33.333333333333329</v>
      </c>
      <c r="EC110" s="40">
        <v>302</v>
      </c>
      <c r="ED110" s="184">
        <v>209.72847682119206</v>
      </c>
    </row>
    <row r="111" spans="1:134" s="13" customFormat="1">
      <c r="A111" s="156" t="s">
        <v>212</v>
      </c>
      <c r="B111" s="285">
        <v>2014</v>
      </c>
      <c r="C111" s="259">
        <v>5</v>
      </c>
      <c r="D111" s="80" t="s">
        <v>342</v>
      </c>
      <c r="E111" s="56">
        <v>3683</v>
      </c>
      <c r="F111" s="56">
        <v>77481</v>
      </c>
      <c r="G111" s="82">
        <v>5.6794467858750357</v>
      </c>
      <c r="H111" s="179">
        <v>21</v>
      </c>
      <c r="I111" s="56">
        <v>37466</v>
      </c>
      <c r="J111" s="56">
        <v>48.355080600405259</v>
      </c>
      <c r="K111" s="56">
        <v>40015</v>
      </c>
      <c r="L111" s="84">
        <v>51.644919399594734</v>
      </c>
      <c r="M111" s="160">
        <v>23.196654663724008</v>
      </c>
      <c r="N111" s="160">
        <v>43.836553477626772</v>
      </c>
      <c r="O111" s="160">
        <v>32.966791858649216</v>
      </c>
      <c r="P111" s="160">
        <v>31.256695189788463</v>
      </c>
      <c r="Q111" s="160">
        <v>35.776512951562317</v>
      </c>
      <c r="R111" s="160">
        <v>32.966791858649216</v>
      </c>
      <c r="S111" s="83">
        <v>3.3178810679945525</v>
      </c>
      <c r="T111" s="83">
        <v>2.2999999999999998</v>
      </c>
      <c r="U111" s="38">
        <v>75</v>
      </c>
      <c r="V111" s="41">
        <v>6.2</v>
      </c>
      <c r="W111" s="40">
        <v>39480</v>
      </c>
      <c r="X111" s="41">
        <v>2.2999999999999998</v>
      </c>
      <c r="Y111" s="85" t="s">
        <v>350</v>
      </c>
      <c r="Z111" s="43">
        <v>5798</v>
      </c>
      <c r="AA111" s="45">
        <v>2</v>
      </c>
      <c r="AB111" s="63">
        <v>897</v>
      </c>
      <c r="AC111" s="63">
        <v>243559.7</v>
      </c>
      <c r="AD111" s="43">
        <v>55</v>
      </c>
      <c r="AE111" s="44">
        <v>3.71</v>
      </c>
      <c r="AF111" s="44">
        <v>2.9588000000000001</v>
      </c>
      <c r="AG111" s="41">
        <v>74.819999999999993</v>
      </c>
      <c r="AH111" s="41">
        <v>25.180000000000007</v>
      </c>
      <c r="AI111" s="44">
        <v>6.42</v>
      </c>
      <c r="AJ111" s="41">
        <v>3.6935000000000002</v>
      </c>
      <c r="AK111" s="41">
        <v>10.065358550486291</v>
      </c>
      <c r="AL111" s="41">
        <v>20.633600000000001</v>
      </c>
      <c r="AM111" s="39">
        <v>137302</v>
      </c>
      <c r="AN111" s="39">
        <v>145591</v>
      </c>
      <c r="AO111" s="40">
        <v>137074</v>
      </c>
      <c r="AP111" s="40">
        <v>166790</v>
      </c>
      <c r="AQ111" s="39">
        <v>30336000</v>
      </c>
      <c r="AR111" s="44">
        <v>988.14332247557002</v>
      </c>
      <c r="AS111" s="39">
        <v>30700</v>
      </c>
      <c r="AT111" s="46">
        <v>31722000</v>
      </c>
      <c r="AU111" s="50">
        <v>1024.2154203796979</v>
      </c>
      <c r="AV111" s="39">
        <v>30972</v>
      </c>
      <c r="AW111" s="46">
        <v>32809000</v>
      </c>
      <c r="AX111" s="47">
        <v>1044.041368337311</v>
      </c>
      <c r="AY111" s="39">
        <v>31425</v>
      </c>
      <c r="AZ111" s="41">
        <v>68.5</v>
      </c>
      <c r="BA111" s="41">
        <v>30.536197295147176</v>
      </c>
      <c r="BB111" s="46">
        <v>2190000</v>
      </c>
      <c r="BC111" s="48">
        <v>1774.7163695299837</v>
      </c>
      <c r="BD111" s="40">
        <v>1234</v>
      </c>
      <c r="BE111" s="46">
        <v>7015000</v>
      </c>
      <c r="BF111" s="47">
        <v>3387.2525350072428</v>
      </c>
      <c r="BG111" s="40">
        <v>2071</v>
      </c>
      <c r="BH111" s="49" t="s">
        <v>382</v>
      </c>
      <c r="BI111" s="49" t="s">
        <v>382</v>
      </c>
      <c r="BJ111" s="45">
        <v>0</v>
      </c>
      <c r="BK111" s="47">
        <v>166.86986030846862</v>
      </c>
      <c r="BL111" s="55">
        <v>5293000</v>
      </c>
      <c r="BM111" s="41">
        <v>3.8614179202474577</v>
      </c>
      <c r="BN111" s="56">
        <v>47695000</v>
      </c>
      <c r="BO111" s="41">
        <v>34.795074193501321</v>
      </c>
      <c r="BP111" s="56">
        <v>24388000</v>
      </c>
      <c r="BQ111" s="41">
        <v>17.791849657849045</v>
      </c>
      <c r="BR111" s="39">
        <v>7488000</v>
      </c>
      <c r="BS111" s="41">
        <v>5.4627427520901124</v>
      </c>
      <c r="BT111" s="39">
        <v>17089000</v>
      </c>
      <c r="BU111" s="41">
        <v>12.466988633876593</v>
      </c>
      <c r="BV111" s="56">
        <v>21986000</v>
      </c>
      <c r="BW111" s="41">
        <v>16.039511504734669</v>
      </c>
      <c r="BX111" s="40">
        <v>13135000</v>
      </c>
      <c r="BY111" s="41">
        <v>9.5824153377008052</v>
      </c>
      <c r="BZ111" s="57">
        <v>68.313522024754462</v>
      </c>
      <c r="CA111" s="58">
        <v>314.76103819000787</v>
      </c>
      <c r="CB111" s="59">
        <v>570.13977620319815</v>
      </c>
      <c r="CC111" s="47">
        <v>96.643047973051452</v>
      </c>
      <c r="CD111" s="58">
        <v>190.02077928782541</v>
      </c>
      <c r="CE111" s="59">
        <v>45.430492636904532</v>
      </c>
      <c r="CF111" s="59">
        <v>169.52543204140369</v>
      </c>
      <c r="CG111" s="59">
        <v>30.536518630373898</v>
      </c>
      <c r="CH111" s="47">
        <v>283.759889521302</v>
      </c>
      <c r="CI111" s="43">
        <v>1304</v>
      </c>
      <c r="CJ111" s="44">
        <v>341.03420843277644</v>
      </c>
      <c r="CK111" s="60">
        <v>53.449532860520719</v>
      </c>
      <c r="CL111" s="53">
        <v>8846.8647999999994</v>
      </c>
      <c r="CM111" s="41">
        <v>18.854027251929846</v>
      </c>
      <c r="CN111" s="53">
        <v>16193.23</v>
      </c>
      <c r="CO111" s="41">
        <v>34.510259466920758</v>
      </c>
      <c r="CP111" s="54">
        <v>21842.850000000002</v>
      </c>
      <c r="CQ111" s="41">
        <v>46.550467139479288</v>
      </c>
      <c r="CR111" s="43">
        <v>32306</v>
      </c>
      <c r="CS111" s="52">
        <v>87.203615427474773</v>
      </c>
      <c r="CT111" s="41">
        <v>1321.8689999999999</v>
      </c>
      <c r="CU111" s="41">
        <v>17.060556781662601</v>
      </c>
      <c r="CV111" s="52">
        <v>982.48</v>
      </c>
      <c r="CW111" s="38">
        <v>6</v>
      </c>
      <c r="CX111" s="38">
        <v>19</v>
      </c>
      <c r="CY111" s="51">
        <v>3</v>
      </c>
      <c r="CZ111" s="41">
        <v>9.9619390560266385</v>
      </c>
      <c r="DA111" s="39">
        <v>16405000</v>
      </c>
      <c r="DB111" s="39">
        <v>40423000</v>
      </c>
      <c r="DC111" s="39">
        <v>19660000</v>
      </c>
      <c r="DD111" s="39">
        <v>43760000</v>
      </c>
      <c r="DE111" s="39">
        <v>17244000</v>
      </c>
      <c r="DF111" s="62">
        <v>19944000</v>
      </c>
      <c r="DG111" s="41">
        <v>86.460000000000008</v>
      </c>
      <c r="DH111" s="41">
        <v>36.090000000000003</v>
      </c>
      <c r="DI111" s="41">
        <v>6.99</v>
      </c>
      <c r="DJ111" s="37" t="s">
        <v>390</v>
      </c>
      <c r="DK111" s="40">
        <v>82000</v>
      </c>
      <c r="DL111" s="40">
        <v>200000</v>
      </c>
      <c r="DM111" s="40">
        <v>26048.19</v>
      </c>
      <c r="DN111" s="40">
        <v>13846.62</v>
      </c>
      <c r="DO111" s="40">
        <v>0</v>
      </c>
      <c r="DP111" s="40">
        <v>295493</v>
      </c>
      <c r="DQ111" s="64">
        <v>1</v>
      </c>
      <c r="DR111" s="40">
        <v>3704</v>
      </c>
      <c r="DS111" s="65">
        <v>0</v>
      </c>
      <c r="DT111" s="38">
        <v>9</v>
      </c>
      <c r="DU111" s="66">
        <v>8609</v>
      </c>
      <c r="DV111" s="41">
        <v>22.222222222222221</v>
      </c>
      <c r="DW111" s="41">
        <v>77.777777777777786</v>
      </c>
      <c r="DX111" s="41">
        <v>0</v>
      </c>
      <c r="DY111" s="41">
        <v>0</v>
      </c>
      <c r="DZ111" s="41">
        <v>0</v>
      </c>
      <c r="EA111" s="41">
        <v>77.777777777777786</v>
      </c>
      <c r="EB111" s="41">
        <v>22.222222222222221</v>
      </c>
      <c r="EC111" s="40">
        <v>492</v>
      </c>
      <c r="ED111" s="184">
        <v>157.48170731707316</v>
      </c>
    </row>
    <row r="112" spans="1:134" s="13" customFormat="1">
      <c r="A112" s="156" t="s">
        <v>259</v>
      </c>
      <c r="B112" s="285">
        <v>2014</v>
      </c>
      <c r="C112" s="259">
        <v>4</v>
      </c>
      <c r="D112" s="80" t="s">
        <v>342</v>
      </c>
      <c r="E112" s="56">
        <v>858.5</v>
      </c>
      <c r="F112" s="56">
        <v>69728</v>
      </c>
      <c r="G112" s="82">
        <v>6.420842172738511</v>
      </c>
      <c r="H112" s="179">
        <v>81.2</v>
      </c>
      <c r="I112" s="56">
        <v>34519</v>
      </c>
      <c r="J112" s="56">
        <v>49.50522028453419</v>
      </c>
      <c r="K112" s="56">
        <v>35209</v>
      </c>
      <c r="L112" s="84">
        <v>50.49477971546581</v>
      </c>
      <c r="M112" s="160">
        <v>25.038721890775584</v>
      </c>
      <c r="N112" s="160">
        <v>47.328189536484629</v>
      </c>
      <c r="O112" s="160">
        <v>27.633088572739791</v>
      </c>
      <c r="P112" s="160">
        <v>35.507973841211566</v>
      </c>
      <c r="Q112" s="160">
        <v>36.858937586048647</v>
      </c>
      <c r="R112" s="160">
        <v>27.633088572739791</v>
      </c>
      <c r="S112" s="83">
        <v>3.595346109928093</v>
      </c>
      <c r="T112" s="83">
        <v>2.9</v>
      </c>
      <c r="U112" s="38">
        <v>89</v>
      </c>
      <c r="V112" s="41">
        <v>9.5</v>
      </c>
      <c r="W112" s="40">
        <v>44963</v>
      </c>
      <c r="X112" s="41">
        <v>2.5</v>
      </c>
      <c r="Y112" s="85" t="s">
        <v>139</v>
      </c>
      <c r="Z112" s="43">
        <v>4313</v>
      </c>
      <c r="AA112" s="45">
        <v>18</v>
      </c>
      <c r="AB112" s="63">
        <v>807</v>
      </c>
      <c r="AC112" s="63">
        <v>165358.45699999999</v>
      </c>
      <c r="AD112" s="43">
        <v>62</v>
      </c>
      <c r="AE112" s="44">
        <v>-3.68</v>
      </c>
      <c r="AF112" s="44">
        <v>1.9897</v>
      </c>
      <c r="AG112" s="41">
        <v>80.16</v>
      </c>
      <c r="AH112" s="41">
        <v>19.840000000000003</v>
      </c>
      <c r="AI112" s="44">
        <v>4.2699999999999996</v>
      </c>
      <c r="AJ112" s="41">
        <v>2.1778999999999997</v>
      </c>
      <c r="AK112" s="41">
        <v>4.3213698365096249</v>
      </c>
      <c r="AL112" s="41">
        <v>4.4314999999999998</v>
      </c>
      <c r="AM112" s="39">
        <v>102139</v>
      </c>
      <c r="AN112" s="39">
        <v>99262</v>
      </c>
      <c r="AO112" s="40">
        <v>107169</v>
      </c>
      <c r="AP112" s="40">
        <v>114916</v>
      </c>
      <c r="AQ112" s="39">
        <v>26376000</v>
      </c>
      <c r="AR112" s="44">
        <v>883.12992818040277</v>
      </c>
      <c r="AS112" s="39">
        <v>29866.5</v>
      </c>
      <c r="AT112" s="46">
        <v>27304000</v>
      </c>
      <c r="AU112" s="50">
        <v>908.55849860242245</v>
      </c>
      <c r="AV112" s="39">
        <v>30052</v>
      </c>
      <c r="AW112" s="46">
        <v>28110000</v>
      </c>
      <c r="AX112" s="47">
        <v>925.31024721024392</v>
      </c>
      <c r="AY112" s="39">
        <v>30379</v>
      </c>
      <c r="AZ112" s="41">
        <v>71.2</v>
      </c>
      <c r="BA112" s="41">
        <v>19.134928733664701</v>
      </c>
      <c r="BB112" s="46">
        <v>815000</v>
      </c>
      <c r="BC112" s="48">
        <v>1633.2665330661323</v>
      </c>
      <c r="BD112" s="40">
        <v>499</v>
      </c>
      <c r="BE112" s="46">
        <v>6981000</v>
      </c>
      <c r="BF112" s="47">
        <v>3939.6162528216705</v>
      </c>
      <c r="BG112" s="40">
        <v>1772</v>
      </c>
      <c r="BH112" s="212">
        <v>0</v>
      </c>
      <c r="BI112" s="212">
        <v>0</v>
      </c>
      <c r="BJ112" s="45">
        <v>2</v>
      </c>
      <c r="BK112" s="47">
        <v>183.53464944577507</v>
      </c>
      <c r="BL112" s="55">
        <v>24349000</v>
      </c>
      <c r="BM112" s="41">
        <v>22.720189607069209</v>
      </c>
      <c r="BN112" s="56">
        <v>8771000</v>
      </c>
      <c r="BO112" s="41">
        <v>8.1842697048586803</v>
      </c>
      <c r="BP112" s="56">
        <v>9767000</v>
      </c>
      <c r="BQ112" s="41">
        <v>9.1136429377898445</v>
      </c>
      <c r="BR112" s="39">
        <v>16441000</v>
      </c>
      <c r="BS112" s="41">
        <v>15.341190082953094</v>
      </c>
      <c r="BT112" s="39">
        <v>8410000</v>
      </c>
      <c r="BU112" s="41">
        <v>7.8474185632039113</v>
      </c>
      <c r="BV112" s="56">
        <v>9819000</v>
      </c>
      <c r="BW112" s="41">
        <v>9.1621644318786224</v>
      </c>
      <c r="BX112" s="40">
        <v>29612000</v>
      </c>
      <c r="BY112" s="41">
        <v>27.631124672246639</v>
      </c>
      <c r="BZ112" s="57">
        <v>349.19974759063791</v>
      </c>
      <c r="CA112" s="58">
        <v>140.07285452042223</v>
      </c>
      <c r="CB112" s="43" t="s">
        <v>382</v>
      </c>
      <c r="CC112" s="47">
        <v>235.78763194125744</v>
      </c>
      <c r="CD112" s="58">
        <v>98.367944011014231</v>
      </c>
      <c r="CE112" s="59">
        <v>125.7887792565397</v>
      </c>
      <c r="CF112" s="59">
        <v>424.67875172097291</v>
      </c>
      <c r="CG112" s="59">
        <v>22.243575034419457</v>
      </c>
      <c r="CH112" s="47">
        <v>140.81860945387791</v>
      </c>
      <c r="CI112" s="43" t="s">
        <v>382</v>
      </c>
      <c r="CJ112" s="44">
        <v>364.692715362586</v>
      </c>
      <c r="CK112" s="60">
        <v>57.615415696241477</v>
      </c>
      <c r="CL112" s="53">
        <v>6971.4592560000001</v>
      </c>
      <c r="CM112" s="41">
        <v>16.697194453158311</v>
      </c>
      <c r="CN112" s="53">
        <v>3738.14</v>
      </c>
      <c r="CO112" s="41">
        <v>8.9531399641201901</v>
      </c>
      <c r="CP112" s="54">
        <v>17696.530000000002</v>
      </c>
      <c r="CQ112" s="41">
        <v>42.384584303758523</v>
      </c>
      <c r="CR112" s="43">
        <v>35507</v>
      </c>
      <c r="CS112" s="52">
        <v>55.386261863857833</v>
      </c>
      <c r="CT112" s="41">
        <v>718.56</v>
      </c>
      <c r="CU112" s="41">
        <v>10.305185865075723</v>
      </c>
      <c r="CV112" s="52">
        <v>910</v>
      </c>
      <c r="CW112" s="38">
        <v>5</v>
      </c>
      <c r="CX112" s="38">
        <v>22</v>
      </c>
      <c r="CY112" s="51">
        <v>3</v>
      </c>
      <c r="CZ112" s="41">
        <v>5.3357761587884349</v>
      </c>
      <c r="DA112" s="39">
        <v>7659000</v>
      </c>
      <c r="DB112" s="39">
        <v>19648000</v>
      </c>
      <c r="DC112" s="39">
        <v>12250000</v>
      </c>
      <c r="DD112" s="39">
        <v>22158000</v>
      </c>
      <c r="DE112" s="39">
        <v>10728000</v>
      </c>
      <c r="DF112" s="62">
        <v>11334000</v>
      </c>
      <c r="DG112" s="41">
        <v>94.65</v>
      </c>
      <c r="DH112" s="41">
        <v>112.74</v>
      </c>
      <c r="DI112" s="41">
        <v>2.5700000000000003</v>
      </c>
      <c r="DJ112" s="37" t="s">
        <v>390</v>
      </c>
      <c r="DK112" s="40">
        <v>113000</v>
      </c>
      <c r="DL112" s="40">
        <v>218000</v>
      </c>
      <c r="DM112" s="40">
        <v>0</v>
      </c>
      <c r="DN112" s="40">
        <v>29767</v>
      </c>
      <c r="DO112" s="40">
        <v>11474</v>
      </c>
      <c r="DP112" s="40">
        <v>275891</v>
      </c>
      <c r="DQ112" s="64">
        <v>19</v>
      </c>
      <c r="DR112" s="40">
        <v>8983</v>
      </c>
      <c r="DS112" s="65">
        <v>0</v>
      </c>
      <c r="DT112" s="38">
        <v>10</v>
      </c>
      <c r="DU112" s="66">
        <v>6972.8</v>
      </c>
      <c r="DV112" s="41">
        <v>10</v>
      </c>
      <c r="DW112" s="41">
        <v>90</v>
      </c>
      <c r="DX112" s="41">
        <v>10</v>
      </c>
      <c r="DY112" s="41">
        <v>10</v>
      </c>
      <c r="DZ112" s="41">
        <v>0</v>
      </c>
      <c r="EA112" s="41">
        <v>60</v>
      </c>
      <c r="EB112" s="41">
        <v>40</v>
      </c>
      <c r="EC112" s="40">
        <v>419</v>
      </c>
      <c r="ED112" s="184">
        <v>166.41527446300717</v>
      </c>
    </row>
    <row r="113" spans="1:134" s="13" customFormat="1">
      <c r="A113" s="156" t="s">
        <v>260</v>
      </c>
      <c r="B113" s="285">
        <v>2014</v>
      </c>
      <c r="C113" s="259">
        <v>4</v>
      </c>
      <c r="D113" s="80" t="s">
        <v>342</v>
      </c>
      <c r="E113" s="56">
        <v>172.4</v>
      </c>
      <c r="F113" s="56">
        <v>40858</v>
      </c>
      <c r="G113" s="82">
        <v>4.8770470763386209</v>
      </c>
      <c r="H113" s="179">
        <v>237</v>
      </c>
      <c r="I113" s="56">
        <v>20687</v>
      </c>
      <c r="J113" s="56">
        <v>50.631455284154882</v>
      </c>
      <c r="K113" s="56">
        <v>20171</v>
      </c>
      <c r="L113" s="84">
        <v>49.368544715845118</v>
      </c>
      <c r="M113" s="160">
        <v>25.397718928973518</v>
      </c>
      <c r="N113" s="160">
        <v>59.200156640070489</v>
      </c>
      <c r="O113" s="160">
        <v>15.402124430955993</v>
      </c>
      <c r="P113" s="160">
        <v>40.826765872044639</v>
      </c>
      <c r="Q113" s="160">
        <v>43.771109696999368</v>
      </c>
      <c r="R113" s="160">
        <v>15.402124430955993</v>
      </c>
      <c r="S113" s="83">
        <v>2.9926565419945779</v>
      </c>
      <c r="T113" s="83">
        <v>14.3</v>
      </c>
      <c r="U113" s="38">
        <v>132</v>
      </c>
      <c r="V113" s="41">
        <v>1.8</v>
      </c>
      <c r="W113" s="40">
        <v>60457</v>
      </c>
      <c r="X113" s="41">
        <v>2.5</v>
      </c>
      <c r="Y113" s="85" t="s">
        <v>352</v>
      </c>
      <c r="Z113" s="43">
        <v>2706</v>
      </c>
      <c r="AA113" s="45">
        <v>9</v>
      </c>
      <c r="AB113" s="63">
        <v>481</v>
      </c>
      <c r="AC113" s="63">
        <v>273319.495</v>
      </c>
      <c r="AD113" s="43">
        <v>63</v>
      </c>
      <c r="AE113" s="44">
        <v>-1.52</v>
      </c>
      <c r="AF113" s="44">
        <v>3.6696</v>
      </c>
      <c r="AG113" s="41">
        <v>77.53</v>
      </c>
      <c r="AH113" s="41">
        <v>22.47</v>
      </c>
      <c r="AI113" s="44">
        <v>4.1900000000000004</v>
      </c>
      <c r="AJ113" s="41">
        <v>8.7629000000000001</v>
      </c>
      <c r="AK113" s="41">
        <v>1.8146664825300374</v>
      </c>
      <c r="AL113" s="41">
        <v>8.07</v>
      </c>
      <c r="AM113" s="39">
        <v>73966</v>
      </c>
      <c r="AN113" s="39">
        <v>75338</v>
      </c>
      <c r="AO113" s="40">
        <v>73514</v>
      </c>
      <c r="AP113" s="40">
        <v>83027</v>
      </c>
      <c r="AQ113" s="39">
        <v>14955000</v>
      </c>
      <c r="AR113" s="44">
        <v>973.94985346792578</v>
      </c>
      <c r="AS113" s="39">
        <v>15355</v>
      </c>
      <c r="AT113" s="46">
        <v>15979000</v>
      </c>
      <c r="AU113" s="50">
        <v>1040.6382285900359</v>
      </c>
      <c r="AV113" s="39">
        <v>15355</v>
      </c>
      <c r="AW113" s="46">
        <v>16910000</v>
      </c>
      <c r="AX113" s="47">
        <v>1045.5697767884747</v>
      </c>
      <c r="AY113" s="39">
        <v>16173</v>
      </c>
      <c r="AZ113" s="41">
        <v>75.599999999999994</v>
      </c>
      <c r="BA113" s="41">
        <v>11.58721325666234</v>
      </c>
      <c r="BB113" s="46">
        <v>142000</v>
      </c>
      <c r="BC113" s="48">
        <v>2840</v>
      </c>
      <c r="BD113" s="40">
        <v>50</v>
      </c>
      <c r="BE113" s="46">
        <v>4257000</v>
      </c>
      <c r="BF113" s="47">
        <v>4019.8300283286121</v>
      </c>
      <c r="BG113" s="40">
        <v>1059</v>
      </c>
      <c r="BH113" s="49" t="s">
        <v>382</v>
      </c>
      <c r="BI113" s="49" t="s">
        <v>382</v>
      </c>
      <c r="BJ113" s="213">
        <v>0</v>
      </c>
      <c r="BK113" s="47">
        <v>201.1280023464264</v>
      </c>
      <c r="BL113" s="55">
        <v>20465000</v>
      </c>
      <c r="BM113" s="41">
        <v>27.838234894033793</v>
      </c>
      <c r="BN113" s="56">
        <v>25029000</v>
      </c>
      <c r="BO113" s="41">
        <v>34.046576162363628</v>
      </c>
      <c r="BP113" s="56">
        <v>6737000</v>
      </c>
      <c r="BQ113" s="41">
        <v>9.1642408248768952</v>
      </c>
      <c r="BR113" s="39">
        <v>4113000</v>
      </c>
      <c r="BS113" s="41">
        <v>5.5948526811219628</v>
      </c>
      <c r="BT113" s="39">
        <v>7987000</v>
      </c>
      <c r="BU113" s="41">
        <v>10.864597219577224</v>
      </c>
      <c r="BV113" s="56">
        <v>5473000</v>
      </c>
      <c r="BW113" s="41">
        <v>7.4448404385559215</v>
      </c>
      <c r="BX113" s="40">
        <v>3710000</v>
      </c>
      <c r="BY113" s="41">
        <v>5.0466577794705776</v>
      </c>
      <c r="BZ113" s="57">
        <v>500.88110039649519</v>
      </c>
      <c r="CA113" s="58">
        <v>164.88814919966714</v>
      </c>
      <c r="CB113" s="59">
        <v>558.32395124577806</v>
      </c>
      <c r="CC113" s="47">
        <v>100.66572029957413</v>
      </c>
      <c r="CD113" s="58">
        <v>160.45817220617749</v>
      </c>
      <c r="CE113" s="59">
        <v>54.261099417494741</v>
      </c>
      <c r="CF113" s="59">
        <v>90.802290861030883</v>
      </c>
      <c r="CG113" s="59">
        <v>35.023740760683346</v>
      </c>
      <c r="CH113" s="47">
        <v>133.95173527828086</v>
      </c>
      <c r="CI113" s="43">
        <v>1341</v>
      </c>
      <c r="CJ113" s="44">
        <v>292.64824089531936</v>
      </c>
      <c r="CK113" s="60">
        <v>47.597827974584511</v>
      </c>
      <c r="CL113" s="53">
        <v>3502.11</v>
      </c>
      <c r="CM113" s="41">
        <v>20.899747026713481</v>
      </c>
      <c r="CN113" s="53">
        <v>4473.7199999999993</v>
      </c>
      <c r="CO113" s="41">
        <v>26.698080947871027</v>
      </c>
      <c r="CP113" s="54">
        <v>8780.89</v>
      </c>
      <c r="CQ113" s="41">
        <v>52.40223170300137</v>
      </c>
      <c r="CR113" s="43">
        <v>17587</v>
      </c>
      <c r="CS113" s="52">
        <v>63.637914368567692</v>
      </c>
      <c r="CT113" s="41">
        <v>310.65000000000003</v>
      </c>
      <c r="CU113" s="41">
        <v>7.6031621714229782</v>
      </c>
      <c r="CV113" s="52">
        <v>653</v>
      </c>
      <c r="CW113" s="38">
        <v>1</v>
      </c>
      <c r="CX113" s="38">
        <v>7</v>
      </c>
      <c r="CY113" s="51">
        <v>1</v>
      </c>
      <c r="CZ113" s="41">
        <v>5.2651622693230209</v>
      </c>
      <c r="DA113" s="39">
        <v>7395000</v>
      </c>
      <c r="DB113" s="39">
        <v>7135000</v>
      </c>
      <c r="DC113" s="39">
        <v>5675892.7199999997</v>
      </c>
      <c r="DD113" s="39">
        <v>6513680.21</v>
      </c>
      <c r="DE113" s="39">
        <v>10301078.359999999</v>
      </c>
      <c r="DF113" s="62">
        <v>13026093.23</v>
      </c>
      <c r="DG113" s="41">
        <v>79.08</v>
      </c>
      <c r="DH113" s="41">
        <v>49.61</v>
      </c>
      <c r="DI113" s="41">
        <v>0.79</v>
      </c>
      <c r="DJ113" s="37" t="s">
        <v>389</v>
      </c>
      <c r="DK113" s="40">
        <v>15000</v>
      </c>
      <c r="DL113" s="40">
        <v>218000</v>
      </c>
      <c r="DM113" s="40">
        <v>0</v>
      </c>
      <c r="DN113" s="40">
        <v>19030.34</v>
      </c>
      <c r="DO113" s="40">
        <v>0</v>
      </c>
      <c r="DP113" s="40">
        <v>260000</v>
      </c>
      <c r="DQ113" s="64">
        <v>1</v>
      </c>
      <c r="DR113" s="40">
        <v>23382</v>
      </c>
      <c r="DS113" s="65">
        <v>1</v>
      </c>
      <c r="DT113" s="38">
        <v>10</v>
      </c>
      <c r="DU113" s="66">
        <v>4085.8</v>
      </c>
      <c r="DV113" s="41">
        <v>40</v>
      </c>
      <c r="DW113" s="41">
        <v>60</v>
      </c>
      <c r="DX113" s="41">
        <v>0</v>
      </c>
      <c r="DY113" s="41">
        <v>10</v>
      </c>
      <c r="DZ113" s="41">
        <v>10</v>
      </c>
      <c r="EA113" s="41">
        <v>70</v>
      </c>
      <c r="EB113" s="41">
        <v>20</v>
      </c>
      <c r="EC113" s="40">
        <v>278</v>
      </c>
      <c r="ED113" s="184">
        <v>146.97122302158274</v>
      </c>
    </row>
    <row r="114" spans="1:134" s="13" customFormat="1">
      <c r="A114" s="156" t="s">
        <v>261</v>
      </c>
      <c r="B114" s="285">
        <v>2014</v>
      </c>
      <c r="C114" s="259">
        <v>3</v>
      </c>
      <c r="D114" s="80" t="s">
        <v>343</v>
      </c>
      <c r="E114" s="56">
        <v>36.299999999999997</v>
      </c>
      <c r="F114" s="56">
        <v>143776</v>
      </c>
      <c r="G114" s="82">
        <v>7.3155439447658148</v>
      </c>
      <c r="H114" s="179">
        <v>3957.4</v>
      </c>
      <c r="I114" s="56">
        <v>71181</v>
      </c>
      <c r="J114" s="56">
        <v>49.508262853327402</v>
      </c>
      <c r="K114" s="56">
        <v>72595</v>
      </c>
      <c r="L114" s="84">
        <v>50.491737146672598</v>
      </c>
      <c r="M114" s="160">
        <v>20.269725127976855</v>
      </c>
      <c r="N114" s="160">
        <v>62.189099710661033</v>
      </c>
      <c r="O114" s="160">
        <v>17.541175161362119</v>
      </c>
      <c r="P114" s="160">
        <v>41.207155575339414</v>
      </c>
      <c r="Q114" s="160">
        <v>41.25166926329846</v>
      </c>
      <c r="R114" s="160">
        <v>17.541175161362119</v>
      </c>
      <c r="S114" s="83">
        <v>1.4249608484641745</v>
      </c>
      <c r="T114" s="83">
        <v>30.1</v>
      </c>
      <c r="U114" s="38">
        <v>134</v>
      </c>
      <c r="V114" s="41">
        <v>4.7</v>
      </c>
      <c r="W114" s="40">
        <v>65968</v>
      </c>
      <c r="X114" s="41">
        <v>2.4</v>
      </c>
      <c r="Y114" s="85" t="s">
        <v>350</v>
      </c>
      <c r="Z114" s="43">
        <v>11285</v>
      </c>
      <c r="AA114" s="45">
        <v>88</v>
      </c>
      <c r="AB114" s="63">
        <v>824</v>
      </c>
      <c r="AC114" s="63">
        <v>276433.75599999999</v>
      </c>
      <c r="AD114" s="43">
        <v>63</v>
      </c>
      <c r="AE114" s="44">
        <v>3.01</v>
      </c>
      <c r="AF114" s="44">
        <v>3.5244</v>
      </c>
      <c r="AG114" s="41">
        <v>89.63</v>
      </c>
      <c r="AH114" s="41">
        <v>10.370000000000005</v>
      </c>
      <c r="AI114" s="44">
        <v>2.2599999999999998</v>
      </c>
      <c r="AJ114" s="41">
        <v>0</v>
      </c>
      <c r="AK114" s="41">
        <v>0</v>
      </c>
      <c r="AL114" s="41">
        <v>4.7200999999999995</v>
      </c>
      <c r="AM114" s="39">
        <v>118254</v>
      </c>
      <c r="AN114" s="39">
        <v>125051</v>
      </c>
      <c r="AO114" s="40">
        <v>131738</v>
      </c>
      <c r="AP114" s="40">
        <v>143223</v>
      </c>
      <c r="AQ114" s="39">
        <v>47509000</v>
      </c>
      <c r="AR114" s="44">
        <v>984.84660033167495</v>
      </c>
      <c r="AS114" s="39">
        <v>48240</v>
      </c>
      <c r="AT114" s="46">
        <v>53074000</v>
      </c>
      <c r="AU114" s="50">
        <v>1092.8671443867886</v>
      </c>
      <c r="AV114" s="39">
        <v>48564</v>
      </c>
      <c r="AW114" s="46">
        <v>55409000</v>
      </c>
      <c r="AX114" s="47">
        <v>1125.2157667079584</v>
      </c>
      <c r="AY114" s="39">
        <v>49243</v>
      </c>
      <c r="AZ114" s="41">
        <v>76</v>
      </c>
      <c r="BA114" s="41">
        <v>10.107020287147412</v>
      </c>
      <c r="BB114" s="48" t="s">
        <v>382</v>
      </c>
      <c r="BC114" s="48" t="s">
        <v>382</v>
      </c>
      <c r="BD114" s="40">
        <v>0</v>
      </c>
      <c r="BE114" s="46">
        <v>13016000</v>
      </c>
      <c r="BF114" s="47">
        <v>6469.1848906560635</v>
      </c>
      <c r="BG114" s="40">
        <v>2012</v>
      </c>
      <c r="BH114" s="49" t="s">
        <v>382</v>
      </c>
      <c r="BI114" s="49" t="s">
        <v>382</v>
      </c>
      <c r="BJ114" s="213">
        <v>0</v>
      </c>
      <c r="BK114" s="47">
        <v>370.46634905370843</v>
      </c>
      <c r="BL114" s="55">
        <v>6946000</v>
      </c>
      <c r="BM114" s="41">
        <v>5.2725864974418926</v>
      </c>
      <c r="BN114" s="56">
        <v>7957000</v>
      </c>
      <c r="BO114" s="41">
        <v>6.0400188252440454</v>
      </c>
      <c r="BP114" s="56">
        <v>45156000</v>
      </c>
      <c r="BQ114" s="41">
        <v>34.277125810320484</v>
      </c>
      <c r="BR114" s="39">
        <v>19717000</v>
      </c>
      <c r="BS114" s="41">
        <v>14.966828098194901</v>
      </c>
      <c r="BT114" s="39">
        <v>30895000</v>
      </c>
      <c r="BU114" s="41">
        <v>23.45185140202523</v>
      </c>
      <c r="BV114" s="56">
        <v>14070000</v>
      </c>
      <c r="BW114" s="41">
        <v>10.680289665851918</v>
      </c>
      <c r="BX114" s="40">
        <v>6997000</v>
      </c>
      <c r="BY114" s="41">
        <v>5.3112997009215261</v>
      </c>
      <c r="BZ114" s="57">
        <v>48.311261963053639</v>
      </c>
      <c r="CA114" s="58">
        <v>314.07188960605384</v>
      </c>
      <c r="CB114" s="43" t="s">
        <v>382</v>
      </c>
      <c r="CC114" s="47">
        <v>137.13693523258402</v>
      </c>
      <c r="CD114" s="58">
        <v>160.19363454262185</v>
      </c>
      <c r="CE114" s="59">
        <v>55.343033607834407</v>
      </c>
      <c r="CF114" s="59">
        <v>48.665980413977302</v>
      </c>
      <c r="CG114" s="59">
        <v>54.689238815935902</v>
      </c>
      <c r="CH114" s="47">
        <v>97.860560872468284</v>
      </c>
      <c r="CI114" s="43" t="s">
        <v>382</v>
      </c>
      <c r="CJ114" s="44">
        <v>593.91182503096888</v>
      </c>
      <c r="CK114" s="60">
        <v>54.93726173764707</v>
      </c>
      <c r="CL114" s="53">
        <v>11629.245000000001</v>
      </c>
      <c r="CM114" s="41">
        <v>24.047614887287839</v>
      </c>
      <c r="CN114" s="53">
        <v>6337</v>
      </c>
      <c r="CO114" s="41">
        <v>13.104009378144758</v>
      </c>
      <c r="CP114" s="54">
        <v>21792</v>
      </c>
      <c r="CQ114" s="41">
        <v>45.062738262352937</v>
      </c>
      <c r="CR114" s="43">
        <v>25796</v>
      </c>
      <c r="CS114" s="52">
        <v>62.319739494495273</v>
      </c>
      <c r="CT114" s="41">
        <v>302.89999999999998</v>
      </c>
      <c r="CU114" s="41">
        <v>2.1067493879367905</v>
      </c>
      <c r="CV114" s="52">
        <v>796</v>
      </c>
      <c r="CW114" s="38">
        <v>9</v>
      </c>
      <c r="CX114" s="38">
        <v>12</v>
      </c>
      <c r="CY114" s="51">
        <v>3</v>
      </c>
      <c r="CZ114" s="41">
        <v>6.4607027598486537</v>
      </c>
      <c r="DA114" s="39">
        <v>10424000</v>
      </c>
      <c r="DB114" s="39">
        <v>6052000</v>
      </c>
      <c r="DC114" s="39">
        <v>9780000</v>
      </c>
      <c r="DD114" s="39">
        <v>7563000</v>
      </c>
      <c r="DE114" s="39">
        <v>10223000</v>
      </c>
      <c r="DF114" s="62">
        <v>7298000</v>
      </c>
      <c r="DG114" s="41">
        <v>140.08000000000001</v>
      </c>
      <c r="DH114" s="41">
        <v>120.29</v>
      </c>
      <c r="DI114" s="41">
        <v>0.67</v>
      </c>
      <c r="DJ114" s="37" t="s">
        <v>390</v>
      </c>
      <c r="DK114" s="40">
        <v>119000</v>
      </c>
      <c r="DL114" s="40">
        <v>403000</v>
      </c>
      <c r="DM114" s="40">
        <v>0</v>
      </c>
      <c r="DN114" s="40">
        <v>27166</v>
      </c>
      <c r="DO114" s="40">
        <v>0</v>
      </c>
      <c r="DP114" s="40">
        <v>403878</v>
      </c>
      <c r="DQ114" s="64">
        <v>3</v>
      </c>
      <c r="DR114" s="40">
        <v>13740</v>
      </c>
      <c r="DS114" s="65">
        <v>1</v>
      </c>
      <c r="DT114" s="38">
        <v>15</v>
      </c>
      <c r="DU114" s="66">
        <v>9585.0666666666675</v>
      </c>
      <c r="DV114" s="41">
        <v>13.333333333333334</v>
      </c>
      <c r="DW114" s="41">
        <v>86.666666666666671</v>
      </c>
      <c r="DX114" s="41">
        <v>0</v>
      </c>
      <c r="DY114" s="41">
        <v>6.666666666666667</v>
      </c>
      <c r="DZ114" s="41">
        <v>6.666666666666667</v>
      </c>
      <c r="EA114" s="41">
        <v>80</v>
      </c>
      <c r="EB114" s="41">
        <v>13.333333333333334</v>
      </c>
      <c r="EC114" s="40">
        <v>530</v>
      </c>
      <c r="ED114" s="184">
        <v>271.27547169811322</v>
      </c>
    </row>
    <row r="115" spans="1:134" s="13" customFormat="1">
      <c r="A115" s="156" t="s">
        <v>262</v>
      </c>
      <c r="B115" s="285">
        <v>2014</v>
      </c>
      <c r="C115" s="259">
        <v>4</v>
      </c>
      <c r="D115" s="80" t="s">
        <v>342</v>
      </c>
      <c r="E115" s="56">
        <v>3047.4</v>
      </c>
      <c r="F115" s="56">
        <v>22983</v>
      </c>
      <c r="G115" s="82">
        <v>2.5248695186688672</v>
      </c>
      <c r="H115" s="179">
        <v>7.5</v>
      </c>
      <c r="I115" s="56">
        <v>11337</v>
      </c>
      <c r="J115" s="56">
        <v>49.327763999477874</v>
      </c>
      <c r="K115" s="56">
        <v>11646</v>
      </c>
      <c r="L115" s="84">
        <v>50.672236000522119</v>
      </c>
      <c r="M115" s="160">
        <v>26.680590001305308</v>
      </c>
      <c r="N115" s="160">
        <v>45.590218857416353</v>
      </c>
      <c r="O115" s="160">
        <v>27.729191141278335</v>
      </c>
      <c r="P115" s="160">
        <v>36.587912805116822</v>
      </c>
      <c r="Q115" s="160">
        <v>35.682896053604843</v>
      </c>
      <c r="R115" s="160">
        <v>27.729191141278335</v>
      </c>
      <c r="S115" s="83">
        <v>6.6019329370661097</v>
      </c>
      <c r="T115" s="83">
        <v>1.8</v>
      </c>
      <c r="U115" s="38">
        <v>7</v>
      </c>
      <c r="V115" s="41">
        <v>11.3</v>
      </c>
      <c r="W115" s="40">
        <v>35020</v>
      </c>
      <c r="X115" s="41">
        <v>2.4</v>
      </c>
      <c r="Y115" s="85" t="s">
        <v>95</v>
      </c>
      <c r="Z115" s="43">
        <v>1669</v>
      </c>
      <c r="AA115" s="45">
        <v>5</v>
      </c>
      <c r="AB115" s="63">
        <v>240</v>
      </c>
      <c r="AC115" s="63">
        <v>43587.873</v>
      </c>
      <c r="AD115" s="43">
        <v>43</v>
      </c>
      <c r="AE115" s="44">
        <v>0.95</v>
      </c>
      <c r="AF115" s="44">
        <v>2.3290000000000002</v>
      </c>
      <c r="AG115" s="41">
        <v>69.11</v>
      </c>
      <c r="AH115" s="41">
        <v>30.89</v>
      </c>
      <c r="AI115" s="44">
        <v>16.41</v>
      </c>
      <c r="AJ115" s="41">
        <v>4.5289999999999999</v>
      </c>
      <c r="AK115" s="41">
        <v>6.1225406522325043</v>
      </c>
      <c r="AL115" s="41">
        <v>9.9810999999999996</v>
      </c>
      <c r="AM115" s="39">
        <v>48600</v>
      </c>
      <c r="AN115" s="39">
        <v>46043</v>
      </c>
      <c r="AO115" s="40">
        <v>46451</v>
      </c>
      <c r="AP115" s="40">
        <v>49935</v>
      </c>
      <c r="AQ115" s="39">
        <v>5124000</v>
      </c>
      <c r="AR115" s="44">
        <v>620.86513994910945</v>
      </c>
      <c r="AS115" s="39">
        <v>8253</v>
      </c>
      <c r="AT115" s="46">
        <v>5373000</v>
      </c>
      <c r="AU115" s="50">
        <v>650.01209774981851</v>
      </c>
      <c r="AV115" s="39">
        <v>8266</v>
      </c>
      <c r="AW115" s="46">
        <v>6087000</v>
      </c>
      <c r="AX115" s="47">
        <v>735.05615263857021</v>
      </c>
      <c r="AY115" s="39">
        <v>8281</v>
      </c>
      <c r="AZ115" s="41">
        <v>60.5</v>
      </c>
      <c r="BA115" s="41">
        <v>27.871030068832265</v>
      </c>
      <c r="BB115" s="46">
        <v>1876000</v>
      </c>
      <c r="BC115" s="48">
        <v>1234.2105263157894</v>
      </c>
      <c r="BD115" s="40">
        <v>1520</v>
      </c>
      <c r="BE115" s="46">
        <v>1298000</v>
      </c>
      <c r="BF115" s="47">
        <v>1917.2821270310192</v>
      </c>
      <c r="BG115" s="40">
        <v>677</v>
      </c>
      <c r="BH115" s="49" t="s">
        <v>382</v>
      </c>
      <c r="BI115" s="49" t="s">
        <v>382</v>
      </c>
      <c r="BJ115" s="213">
        <v>0</v>
      </c>
      <c r="BK115" s="47">
        <v>193.2383530936184</v>
      </c>
      <c r="BL115" s="55">
        <v>1928000</v>
      </c>
      <c r="BM115" s="41">
        <v>4.1727085813223681</v>
      </c>
      <c r="BN115" s="56">
        <v>15052000</v>
      </c>
      <c r="BO115" s="41">
        <v>32.576560978249105</v>
      </c>
      <c r="BP115" s="56">
        <v>6071000</v>
      </c>
      <c r="BQ115" s="41">
        <v>13.139270641705444</v>
      </c>
      <c r="BR115" s="39">
        <v>2982000</v>
      </c>
      <c r="BS115" s="41">
        <v>6.4538469862568988</v>
      </c>
      <c r="BT115" s="39">
        <v>5133000</v>
      </c>
      <c r="BU115" s="41">
        <v>11.109187317389893</v>
      </c>
      <c r="BV115" s="56">
        <v>8608000</v>
      </c>
      <c r="BW115" s="41">
        <v>18.63001839627746</v>
      </c>
      <c r="BX115" s="40">
        <v>6431000</v>
      </c>
      <c r="BY115" s="41">
        <v>13.918407098798832</v>
      </c>
      <c r="BZ115" s="57">
        <v>83.888091197841888</v>
      </c>
      <c r="CA115" s="58">
        <v>264.15176434756125</v>
      </c>
      <c r="CB115" s="59">
        <v>528.56459121959711</v>
      </c>
      <c r="CC115" s="47">
        <v>129.74807466388199</v>
      </c>
      <c r="CD115" s="58">
        <v>175.25997476395597</v>
      </c>
      <c r="CE115" s="59">
        <v>126.35426184571205</v>
      </c>
      <c r="CF115" s="59">
        <v>279.81551581603793</v>
      </c>
      <c r="CG115" s="59">
        <v>48.079014924074315</v>
      </c>
      <c r="CH115" s="47">
        <v>374.5377017795762</v>
      </c>
      <c r="CI115" s="43">
        <v>1356</v>
      </c>
      <c r="CJ115" s="44">
        <v>323.99468663204925</v>
      </c>
      <c r="CK115" s="60">
        <v>34.15989105184044</v>
      </c>
      <c r="CL115" s="53">
        <v>2942.52</v>
      </c>
      <c r="CM115" s="41">
        <v>22.84650359640732</v>
      </c>
      <c r="CN115" s="53">
        <v>1457.1100000000001</v>
      </c>
      <c r="CO115" s="41">
        <v>11.313387455433123</v>
      </c>
      <c r="CP115" s="95">
        <v>8479.9</v>
      </c>
      <c r="CQ115" s="41">
        <v>65.84018659080462</v>
      </c>
      <c r="CR115" s="43">
        <v>10443</v>
      </c>
      <c r="CS115" s="52">
        <v>64.387628076223308</v>
      </c>
      <c r="CT115" s="41">
        <v>1084.45</v>
      </c>
      <c r="CU115" s="41">
        <v>47.184875777748772</v>
      </c>
      <c r="CV115" s="52">
        <v>487.2</v>
      </c>
      <c r="CW115" s="38">
        <v>4</v>
      </c>
      <c r="CX115" s="38">
        <v>17</v>
      </c>
      <c r="CY115" s="51">
        <v>3</v>
      </c>
      <c r="CZ115" s="41">
        <v>5.6360353304616453</v>
      </c>
      <c r="DA115" s="39">
        <v>5107000</v>
      </c>
      <c r="DB115" s="39">
        <v>4214000</v>
      </c>
      <c r="DC115" s="39">
        <v>4766000</v>
      </c>
      <c r="DD115" s="39">
        <v>4569000</v>
      </c>
      <c r="DE115" s="39">
        <v>4559000</v>
      </c>
      <c r="DF115" s="62">
        <v>4696000</v>
      </c>
      <c r="DG115" s="41">
        <v>97.08</v>
      </c>
      <c r="DH115" s="41">
        <v>118.22</v>
      </c>
      <c r="DI115" s="41">
        <v>1.7999999999999998</v>
      </c>
      <c r="DJ115" s="37" t="s">
        <v>390</v>
      </c>
      <c r="DK115" s="40">
        <v>20000</v>
      </c>
      <c r="DL115" s="40">
        <v>96000</v>
      </c>
      <c r="DM115" s="40">
        <v>0</v>
      </c>
      <c r="DN115" s="40">
        <v>4237.2699999999995</v>
      </c>
      <c r="DO115" s="40">
        <v>4478.5199999999995</v>
      </c>
      <c r="DP115" s="40">
        <v>249852</v>
      </c>
      <c r="DQ115" s="64">
        <v>0</v>
      </c>
      <c r="DR115" s="40">
        <v>0</v>
      </c>
      <c r="DS115" s="65">
        <v>0</v>
      </c>
      <c r="DT115" s="38">
        <v>7</v>
      </c>
      <c r="DU115" s="66">
        <v>3283.2857142857142</v>
      </c>
      <c r="DV115" s="41">
        <v>14.285714285714285</v>
      </c>
      <c r="DW115" s="41">
        <v>85.714285714285708</v>
      </c>
      <c r="DX115" s="41">
        <v>0</v>
      </c>
      <c r="DY115" s="41">
        <v>0</v>
      </c>
      <c r="DZ115" s="41">
        <v>0</v>
      </c>
      <c r="EA115" s="41">
        <v>57.142857142857139</v>
      </c>
      <c r="EB115" s="41">
        <v>42.857142857142854</v>
      </c>
      <c r="EC115" s="40">
        <v>244</v>
      </c>
      <c r="ED115" s="184">
        <v>94.192622950819668</v>
      </c>
    </row>
    <row r="116" spans="1:134" s="13" customFormat="1">
      <c r="A116" s="156" t="s">
        <v>263</v>
      </c>
      <c r="B116" s="285">
        <v>2014</v>
      </c>
      <c r="C116" s="259">
        <v>3</v>
      </c>
      <c r="D116" s="80" t="s">
        <v>343</v>
      </c>
      <c r="E116" s="56">
        <v>28.2</v>
      </c>
      <c r="F116" s="56">
        <v>108072</v>
      </c>
      <c r="G116" s="82">
        <v>5.4350689261568181</v>
      </c>
      <c r="H116" s="179">
        <v>3829.7</v>
      </c>
      <c r="I116" s="56">
        <v>53786</v>
      </c>
      <c r="J116" s="56">
        <v>49.768672736694057</v>
      </c>
      <c r="K116" s="56">
        <v>54286</v>
      </c>
      <c r="L116" s="84">
        <v>50.23132726330595</v>
      </c>
      <c r="M116" s="160">
        <v>22.486860611444222</v>
      </c>
      <c r="N116" s="160">
        <v>57.522762602709307</v>
      </c>
      <c r="O116" s="160">
        <v>19.990376785846472</v>
      </c>
      <c r="P116" s="160">
        <v>37.871048930342731</v>
      </c>
      <c r="Q116" s="160">
        <v>42.13857428381079</v>
      </c>
      <c r="R116" s="160">
        <v>19.990376785846472</v>
      </c>
      <c r="S116" s="83">
        <v>0.588658311074584</v>
      </c>
      <c r="T116" s="83">
        <v>54.4</v>
      </c>
      <c r="U116" s="38">
        <v>114</v>
      </c>
      <c r="V116" s="41">
        <v>4.5999999999999996</v>
      </c>
      <c r="W116" s="40">
        <v>48486</v>
      </c>
      <c r="X116" s="41">
        <v>2.7</v>
      </c>
      <c r="Y116" s="85" t="s">
        <v>350</v>
      </c>
      <c r="Z116" s="43">
        <v>8885</v>
      </c>
      <c r="AA116" s="45">
        <v>22</v>
      </c>
      <c r="AB116" s="63">
        <v>398</v>
      </c>
      <c r="AC116" s="63">
        <v>706289.36899999995</v>
      </c>
      <c r="AD116" s="43">
        <v>107</v>
      </c>
      <c r="AE116" s="44">
        <v>-4.9000000000000004</v>
      </c>
      <c r="AF116" s="44">
        <v>5.3224999999999998</v>
      </c>
      <c r="AG116" s="41">
        <v>74.59</v>
      </c>
      <c r="AH116" s="41">
        <v>25.409999999999997</v>
      </c>
      <c r="AI116" s="44">
        <v>5.95</v>
      </c>
      <c r="AJ116" s="41">
        <v>8.6758000000000006</v>
      </c>
      <c r="AK116" s="41">
        <v>1.7879917590503287</v>
      </c>
      <c r="AL116" s="41">
        <v>17.033300000000001</v>
      </c>
      <c r="AM116" s="39">
        <v>84476</v>
      </c>
      <c r="AN116" s="39">
        <v>82867</v>
      </c>
      <c r="AO116" s="40">
        <v>85551</v>
      </c>
      <c r="AP116" s="40">
        <v>102948</v>
      </c>
      <c r="AQ116" s="39">
        <v>30678000</v>
      </c>
      <c r="AR116" s="44">
        <v>810.90082469866775</v>
      </c>
      <c r="AS116" s="39">
        <v>37832</v>
      </c>
      <c r="AT116" s="46">
        <v>37068000</v>
      </c>
      <c r="AU116" s="50">
        <v>970.82394845738827</v>
      </c>
      <c r="AV116" s="39">
        <v>38182</v>
      </c>
      <c r="AW116" s="46">
        <v>39645000</v>
      </c>
      <c r="AX116" s="47">
        <v>1006.0140073081608</v>
      </c>
      <c r="AY116" s="39">
        <v>39408</v>
      </c>
      <c r="AZ116" s="41">
        <v>72.099999999999994</v>
      </c>
      <c r="BA116" s="41">
        <v>19.260048721071861</v>
      </c>
      <c r="BB116" s="46">
        <v>6000</v>
      </c>
      <c r="BC116" s="48">
        <v>1200</v>
      </c>
      <c r="BD116" s="40">
        <v>5</v>
      </c>
      <c r="BE116" s="46">
        <v>4710000</v>
      </c>
      <c r="BF116" s="47">
        <v>2628.3482142857142</v>
      </c>
      <c r="BG116" s="40">
        <v>1792</v>
      </c>
      <c r="BH116" s="49" t="s">
        <v>382</v>
      </c>
      <c r="BI116" s="49" t="s">
        <v>382</v>
      </c>
      <c r="BJ116" s="213">
        <v>0</v>
      </c>
      <c r="BK116" s="47">
        <v>328.11548048961924</v>
      </c>
      <c r="BL116" s="55">
        <v>26491000</v>
      </c>
      <c r="BM116" s="41">
        <v>30.970585484474373</v>
      </c>
      <c r="BN116" s="56">
        <v>7292000</v>
      </c>
      <c r="BO116" s="41">
        <v>8.5250654695099133</v>
      </c>
      <c r="BP116" s="56">
        <v>22990000</v>
      </c>
      <c r="BQ116" s="41">
        <v>26.877572016460903</v>
      </c>
      <c r="BR116" s="39">
        <v>5168000</v>
      </c>
      <c r="BS116" s="41">
        <v>6.0419004863449306</v>
      </c>
      <c r="BT116" s="39">
        <v>14128000</v>
      </c>
      <c r="BU116" s="41">
        <v>16.517022072577628</v>
      </c>
      <c r="BV116" s="56">
        <v>6782000</v>
      </c>
      <c r="BW116" s="41">
        <v>7.9288252899364018</v>
      </c>
      <c r="BX116" s="40">
        <v>2685000</v>
      </c>
      <c r="BY116" s="41">
        <v>3.1390291806958475</v>
      </c>
      <c r="BZ116" s="57">
        <v>245.12362128951071</v>
      </c>
      <c r="CA116" s="58">
        <v>212.72855133614627</v>
      </c>
      <c r="CB116" s="43" t="s">
        <v>382</v>
      </c>
      <c r="CC116" s="47">
        <v>47.819971870604782</v>
      </c>
      <c r="CD116" s="58">
        <v>99.674291213265235</v>
      </c>
      <c r="CE116" s="59">
        <v>67.473536161077803</v>
      </c>
      <c r="CF116" s="59">
        <v>24.844548079058406</v>
      </c>
      <c r="CG116" s="59">
        <v>31.053371826189949</v>
      </c>
      <c r="CH116" s="47">
        <v>62.754459989636537</v>
      </c>
      <c r="CI116" s="43" t="s">
        <v>382</v>
      </c>
      <c r="CJ116" s="44">
        <v>376.42103126268779</v>
      </c>
      <c r="CK116" s="60">
        <v>60.540540540540547</v>
      </c>
      <c r="CL116" s="53">
        <v>7755</v>
      </c>
      <c r="CM116" s="41">
        <v>16.834907196352979</v>
      </c>
      <c r="CN116" s="53">
        <v>62</v>
      </c>
      <c r="CO116" s="41">
        <v>0.13459242374905026</v>
      </c>
      <c r="CP116" s="54">
        <v>18177</v>
      </c>
      <c r="CQ116" s="41">
        <v>39.45945945945946</v>
      </c>
      <c r="CR116" s="43">
        <v>17858</v>
      </c>
      <c r="CS116" s="52">
        <v>58.685183111210662</v>
      </c>
      <c r="CT116" s="41">
        <v>284.25</v>
      </c>
      <c r="CU116" s="41">
        <v>2.6301909837885855</v>
      </c>
      <c r="CV116" s="52">
        <v>366.95</v>
      </c>
      <c r="CW116" s="38">
        <v>6</v>
      </c>
      <c r="CX116" s="38">
        <v>2</v>
      </c>
      <c r="CY116" s="51">
        <v>6</v>
      </c>
      <c r="CZ116" s="41">
        <v>3.7203901102968393</v>
      </c>
      <c r="DA116" s="39">
        <v>6392000</v>
      </c>
      <c r="DB116" s="39">
        <v>14577000</v>
      </c>
      <c r="DC116" s="39">
        <v>1778000</v>
      </c>
      <c r="DD116" s="39">
        <v>4234000</v>
      </c>
      <c r="DE116" s="39">
        <v>4732000</v>
      </c>
      <c r="DF116" s="62">
        <v>4669000</v>
      </c>
      <c r="DG116" s="41">
        <v>101.35000000000001</v>
      </c>
      <c r="DH116" s="41">
        <v>63.62</v>
      </c>
      <c r="DI116" s="41">
        <v>1.58</v>
      </c>
      <c r="DJ116" s="37" t="s">
        <v>390</v>
      </c>
      <c r="DK116" s="40">
        <v>254000</v>
      </c>
      <c r="DL116" s="40">
        <v>295000</v>
      </c>
      <c r="DM116" s="40">
        <v>0</v>
      </c>
      <c r="DN116" s="40">
        <v>9134</v>
      </c>
      <c r="DO116" s="40">
        <v>0</v>
      </c>
      <c r="DP116" s="40">
        <v>302085</v>
      </c>
      <c r="DQ116" s="64">
        <v>1</v>
      </c>
      <c r="DR116" s="40">
        <v>21105</v>
      </c>
      <c r="DS116" s="65">
        <v>0</v>
      </c>
      <c r="DT116" s="38">
        <v>15</v>
      </c>
      <c r="DU116" s="66">
        <v>7204.8</v>
      </c>
      <c r="DV116" s="211" t="s">
        <v>460</v>
      </c>
      <c r="DW116" s="211" t="s">
        <v>460</v>
      </c>
      <c r="DX116" s="211" t="s">
        <v>460</v>
      </c>
      <c r="DY116" s="211" t="s">
        <v>460</v>
      </c>
      <c r="DZ116" s="211" t="s">
        <v>460</v>
      </c>
      <c r="EA116" s="211" t="s">
        <v>460</v>
      </c>
      <c r="EB116" s="211" t="s">
        <v>460</v>
      </c>
      <c r="EC116" s="40">
        <v>361</v>
      </c>
      <c r="ED116" s="184">
        <v>299.36842105263156</v>
      </c>
    </row>
    <row r="117" spans="1:134" s="13" customFormat="1">
      <c r="A117" s="156" t="s">
        <v>264</v>
      </c>
      <c r="B117" s="285">
        <v>2014</v>
      </c>
      <c r="C117" s="259">
        <v>3</v>
      </c>
      <c r="D117" s="80" t="s">
        <v>343</v>
      </c>
      <c r="E117" s="56">
        <v>40.5</v>
      </c>
      <c r="F117" s="56">
        <v>114598</v>
      </c>
      <c r="G117" s="82">
        <v>8.128662143928743</v>
      </c>
      <c r="H117" s="179">
        <v>2831.5</v>
      </c>
      <c r="I117" s="56">
        <v>55989</v>
      </c>
      <c r="J117" s="56">
        <v>48.856873592907377</v>
      </c>
      <c r="K117" s="56">
        <v>58609</v>
      </c>
      <c r="L117" s="84">
        <v>51.143126407092623</v>
      </c>
      <c r="M117" s="160">
        <v>21.426202900574182</v>
      </c>
      <c r="N117" s="160">
        <v>59.393706696451943</v>
      </c>
      <c r="O117" s="160">
        <v>19.180090402973875</v>
      </c>
      <c r="P117" s="160">
        <v>39.292134243180513</v>
      </c>
      <c r="Q117" s="160">
        <v>41.52777535384562</v>
      </c>
      <c r="R117" s="160">
        <v>19.180090402973875</v>
      </c>
      <c r="S117" s="83">
        <v>0.33676569066081774</v>
      </c>
      <c r="T117" s="83">
        <v>42</v>
      </c>
      <c r="U117" s="38">
        <v>136</v>
      </c>
      <c r="V117" s="41">
        <v>6.2</v>
      </c>
      <c r="W117" s="40">
        <v>56458</v>
      </c>
      <c r="X117" s="41">
        <v>2.6</v>
      </c>
      <c r="Y117" s="85" t="s">
        <v>142</v>
      </c>
      <c r="Z117" s="43">
        <v>10122</v>
      </c>
      <c r="AA117" s="45">
        <v>20</v>
      </c>
      <c r="AB117" s="63">
        <v>571</v>
      </c>
      <c r="AC117" s="63">
        <v>562628.39399999997</v>
      </c>
      <c r="AD117" s="43">
        <v>90</v>
      </c>
      <c r="AE117" s="44">
        <v>8.5299999999999994</v>
      </c>
      <c r="AF117" s="44">
        <v>5.0293000000000001</v>
      </c>
      <c r="AG117" s="41">
        <v>71.44</v>
      </c>
      <c r="AH117" s="41">
        <v>28.560000000000002</v>
      </c>
      <c r="AI117" s="44">
        <v>3.84</v>
      </c>
      <c r="AJ117" s="41">
        <v>20.855799999999999</v>
      </c>
      <c r="AK117" s="41">
        <v>1.1176204612027445</v>
      </c>
      <c r="AL117" s="41">
        <v>15.6784</v>
      </c>
      <c r="AM117" s="39">
        <v>99149</v>
      </c>
      <c r="AN117" s="39">
        <v>94781</v>
      </c>
      <c r="AO117" s="40">
        <v>93055</v>
      </c>
      <c r="AP117" s="40">
        <v>134058</v>
      </c>
      <c r="AQ117" s="39">
        <v>25384000</v>
      </c>
      <c r="AR117" s="44">
        <v>645.62403031767428</v>
      </c>
      <c r="AS117" s="39">
        <v>39317</v>
      </c>
      <c r="AT117" s="46">
        <v>30420000</v>
      </c>
      <c r="AU117" s="50">
        <v>762.10041086281194</v>
      </c>
      <c r="AV117" s="39">
        <v>39916</v>
      </c>
      <c r="AW117" s="46">
        <v>31620424.300999999</v>
      </c>
      <c r="AX117" s="47">
        <v>769.76542920784846</v>
      </c>
      <c r="AY117" s="39">
        <v>41078</v>
      </c>
      <c r="AZ117" s="41">
        <v>79.400000000000006</v>
      </c>
      <c r="BA117" s="41">
        <v>12.66858172257656</v>
      </c>
      <c r="BB117" s="48" t="s">
        <v>382</v>
      </c>
      <c r="BC117" s="48" t="s">
        <v>382</v>
      </c>
      <c r="BD117" s="40">
        <v>0</v>
      </c>
      <c r="BE117" s="46">
        <v>17414575.699000001</v>
      </c>
      <c r="BF117" s="47">
        <v>9454.1670461454942</v>
      </c>
      <c r="BG117" s="40">
        <v>1842</v>
      </c>
      <c r="BH117" s="49" t="s">
        <v>382</v>
      </c>
      <c r="BI117" s="49" t="s">
        <v>382</v>
      </c>
      <c r="BJ117" s="213">
        <v>0</v>
      </c>
      <c r="BK117" s="47">
        <v>413.56676137452843</v>
      </c>
      <c r="BL117" s="55">
        <v>20857000</v>
      </c>
      <c r="BM117" s="41">
        <v>22.413626350008059</v>
      </c>
      <c r="BN117" s="56">
        <v>5637000</v>
      </c>
      <c r="BO117" s="41">
        <v>6.0577078072107895</v>
      </c>
      <c r="BP117" s="56">
        <v>19704000</v>
      </c>
      <c r="BQ117" s="41">
        <v>21.174574176562245</v>
      </c>
      <c r="BR117" s="39">
        <v>13389000</v>
      </c>
      <c r="BS117" s="41">
        <v>14.388265004567192</v>
      </c>
      <c r="BT117" s="39">
        <v>20379000</v>
      </c>
      <c r="BU117" s="41">
        <v>21.899951641502337</v>
      </c>
      <c r="BV117" s="56">
        <v>10736000</v>
      </c>
      <c r="BW117" s="41">
        <v>11.537262909032293</v>
      </c>
      <c r="BX117" s="40">
        <v>2353000</v>
      </c>
      <c r="BY117" s="41">
        <v>2.5286121111170812</v>
      </c>
      <c r="BZ117" s="57">
        <v>182.00143108954782</v>
      </c>
      <c r="CA117" s="58">
        <v>171.94017347597691</v>
      </c>
      <c r="CB117" s="43" t="s">
        <v>382</v>
      </c>
      <c r="CC117" s="47">
        <v>116.83449972948917</v>
      </c>
      <c r="CD117" s="58">
        <v>130.01099495628196</v>
      </c>
      <c r="CE117" s="59">
        <v>49.189340128099964</v>
      </c>
      <c r="CF117" s="59">
        <v>20.532644548770485</v>
      </c>
      <c r="CG117" s="59">
        <v>47.81933367074469</v>
      </c>
      <c r="CH117" s="47">
        <v>93.684008446918796</v>
      </c>
      <c r="CI117" s="43" t="s">
        <v>382</v>
      </c>
      <c r="CJ117" s="44">
        <v>397.85286528068553</v>
      </c>
      <c r="CK117" s="60">
        <v>41.012763892172636</v>
      </c>
      <c r="CL117" s="53">
        <v>9281.85</v>
      </c>
      <c r="CM117" s="41">
        <v>20.683414962314888</v>
      </c>
      <c r="CN117" s="53">
        <v>8436.9599999999991</v>
      </c>
      <c r="CO117" s="41">
        <v>18.800685714642253</v>
      </c>
      <c r="CP117" s="54">
        <v>26471</v>
      </c>
      <c r="CQ117" s="41">
        <v>58.987236107827357</v>
      </c>
      <c r="CR117" s="43">
        <v>20733</v>
      </c>
      <c r="CS117" s="52">
        <v>61.10548401099696</v>
      </c>
      <c r="CT117" s="41">
        <v>318.49</v>
      </c>
      <c r="CU117" s="41">
        <v>2.7791933541597587</v>
      </c>
      <c r="CV117" s="52">
        <v>764.04</v>
      </c>
      <c r="CW117" s="38">
        <v>1</v>
      </c>
      <c r="CX117" s="38">
        <v>13</v>
      </c>
      <c r="CY117" s="51">
        <v>5</v>
      </c>
      <c r="CZ117" s="41">
        <v>7.7464266392083632</v>
      </c>
      <c r="DA117" s="39">
        <v>10932000</v>
      </c>
      <c r="DB117" s="39">
        <v>4793000</v>
      </c>
      <c r="DC117" s="39">
        <v>14369000</v>
      </c>
      <c r="DD117" s="39">
        <v>15752000</v>
      </c>
      <c r="DE117" s="39">
        <v>6082000</v>
      </c>
      <c r="DF117" s="62">
        <v>5630000</v>
      </c>
      <c r="DG117" s="41">
        <v>108.03</v>
      </c>
      <c r="DH117" s="41">
        <v>90.91</v>
      </c>
      <c r="DI117" s="41">
        <v>3.52</v>
      </c>
      <c r="DJ117" s="37" t="s">
        <v>390</v>
      </c>
      <c r="DK117" s="40">
        <v>97000</v>
      </c>
      <c r="DL117" s="40">
        <v>319000</v>
      </c>
      <c r="DM117" s="40">
        <v>9070</v>
      </c>
      <c r="DN117" s="40">
        <v>8665.1200000000008</v>
      </c>
      <c r="DO117" s="40">
        <v>9095.58</v>
      </c>
      <c r="DP117" s="40">
        <v>319677</v>
      </c>
      <c r="DQ117" s="64">
        <v>6</v>
      </c>
      <c r="DR117" s="40">
        <v>17350</v>
      </c>
      <c r="DS117" s="65">
        <v>0</v>
      </c>
      <c r="DT117" s="38">
        <v>12</v>
      </c>
      <c r="DU117" s="66">
        <v>9549.8333333333339</v>
      </c>
      <c r="DV117" s="41">
        <v>8.3333333333333321</v>
      </c>
      <c r="DW117" s="41">
        <v>91.666666666666657</v>
      </c>
      <c r="DX117" s="41">
        <v>0</v>
      </c>
      <c r="DY117" s="41">
        <v>25</v>
      </c>
      <c r="DZ117" s="41">
        <v>16.666666666666664</v>
      </c>
      <c r="EA117" s="41">
        <v>66.666666666666657</v>
      </c>
      <c r="EB117" s="41">
        <v>16.666666666666664</v>
      </c>
      <c r="EC117" s="40">
        <v>441</v>
      </c>
      <c r="ED117" s="184">
        <v>259.85941043083898</v>
      </c>
    </row>
    <row r="118" spans="1:134" s="13" customFormat="1">
      <c r="A118" s="156" t="s">
        <v>265</v>
      </c>
      <c r="B118" s="285">
        <v>2014</v>
      </c>
      <c r="C118" s="259">
        <v>4</v>
      </c>
      <c r="D118" s="80" t="s">
        <v>342</v>
      </c>
      <c r="E118" s="56">
        <v>147.4</v>
      </c>
      <c r="F118" s="56">
        <v>68762</v>
      </c>
      <c r="G118" s="82">
        <v>6.1502361912995154</v>
      </c>
      <c r="H118" s="179">
        <v>466.6</v>
      </c>
      <c r="I118" s="56">
        <v>33938</v>
      </c>
      <c r="J118" s="56">
        <v>49.355748814752332</v>
      </c>
      <c r="K118" s="56">
        <v>34824</v>
      </c>
      <c r="L118" s="84">
        <v>50.644251185247668</v>
      </c>
      <c r="M118" s="160">
        <v>27.667897966900323</v>
      </c>
      <c r="N118" s="160">
        <v>51.557546319187921</v>
      </c>
      <c r="O118" s="160">
        <v>20.774555713911756</v>
      </c>
      <c r="P118" s="160">
        <v>40.275151973473719</v>
      </c>
      <c r="Q118" s="160">
        <v>38.950292312614529</v>
      </c>
      <c r="R118" s="160">
        <v>20.774555713911756</v>
      </c>
      <c r="S118" s="83">
        <v>3.0313512153705857</v>
      </c>
      <c r="T118" s="83">
        <v>10.8</v>
      </c>
      <c r="U118" s="38">
        <v>81</v>
      </c>
      <c r="V118" s="41">
        <v>7.2</v>
      </c>
      <c r="W118" s="40">
        <v>47559</v>
      </c>
      <c r="X118" s="41">
        <v>2.7</v>
      </c>
      <c r="Y118" s="85" t="s">
        <v>350</v>
      </c>
      <c r="Z118" s="43">
        <v>2848</v>
      </c>
      <c r="AA118" s="45">
        <v>2</v>
      </c>
      <c r="AB118" s="63">
        <v>493</v>
      </c>
      <c r="AC118" s="63">
        <v>219604.67800000001</v>
      </c>
      <c r="AD118" s="43">
        <v>46</v>
      </c>
      <c r="AE118" s="44">
        <v>-6.85</v>
      </c>
      <c r="AF118" s="44">
        <v>3.4545999999999997</v>
      </c>
      <c r="AG118" s="41">
        <v>67.150000000000006</v>
      </c>
      <c r="AH118" s="41">
        <v>32.849999999999994</v>
      </c>
      <c r="AI118" s="44">
        <v>4.5999999999999996</v>
      </c>
      <c r="AJ118" s="41">
        <v>14.351900000000001</v>
      </c>
      <c r="AK118" s="41">
        <v>0.53888121824689339</v>
      </c>
      <c r="AL118" s="41">
        <v>14.1731</v>
      </c>
      <c r="AM118" s="39">
        <v>77019</v>
      </c>
      <c r="AN118" s="39">
        <v>77954</v>
      </c>
      <c r="AO118" s="40">
        <v>82517.643599999996</v>
      </c>
      <c r="AP118" s="40">
        <v>98588</v>
      </c>
      <c r="AQ118" s="39">
        <v>23422000</v>
      </c>
      <c r="AR118" s="44">
        <v>979.13966807407712</v>
      </c>
      <c r="AS118" s="39">
        <v>23921</v>
      </c>
      <c r="AT118" s="46">
        <v>25823000</v>
      </c>
      <c r="AU118" s="50">
        <v>1059.2747559274756</v>
      </c>
      <c r="AV118" s="39">
        <v>24378</v>
      </c>
      <c r="AW118" s="46">
        <v>28776000</v>
      </c>
      <c r="AX118" s="47">
        <v>1164.2189586114819</v>
      </c>
      <c r="AY118" s="39">
        <v>24717</v>
      </c>
      <c r="AZ118" s="41">
        <v>72.7</v>
      </c>
      <c r="BA118" s="41">
        <v>23.267386818788687</v>
      </c>
      <c r="BB118" s="46">
        <v>401000</v>
      </c>
      <c r="BC118" s="48">
        <v>4221.0526315789475</v>
      </c>
      <c r="BD118" s="40">
        <v>95</v>
      </c>
      <c r="BE118" s="46">
        <v>4342000</v>
      </c>
      <c r="BF118" s="47">
        <v>3932.9710144927535</v>
      </c>
      <c r="BG118" s="40">
        <v>1104</v>
      </c>
      <c r="BH118" s="49" t="s">
        <v>382</v>
      </c>
      <c r="BI118" s="49" t="s">
        <v>382</v>
      </c>
      <c r="BJ118" s="213">
        <v>0</v>
      </c>
      <c r="BK118" s="47">
        <v>161.52501569259226</v>
      </c>
      <c r="BL118" s="55">
        <v>24164000</v>
      </c>
      <c r="BM118" s="41">
        <v>29.293247666383802</v>
      </c>
      <c r="BN118" s="56">
        <v>3281000</v>
      </c>
      <c r="BO118" s="41">
        <v>3.9774518123408895</v>
      </c>
      <c r="BP118" s="56">
        <v>19963000</v>
      </c>
      <c r="BQ118" s="41">
        <v>24.200509152624562</v>
      </c>
      <c r="BR118" s="39">
        <v>7898000</v>
      </c>
      <c r="BS118" s="41">
        <v>9.5744938780458249</v>
      </c>
      <c r="BT118" s="39">
        <v>15166000</v>
      </c>
      <c r="BU118" s="41">
        <v>18.385258819250819</v>
      </c>
      <c r="BV118" s="56">
        <v>7344000</v>
      </c>
      <c r="BW118" s="41">
        <v>8.9028973208873801</v>
      </c>
      <c r="BX118" s="40">
        <v>4674000</v>
      </c>
      <c r="BY118" s="41">
        <v>5.6661413504667228</v>
      </c>
      <c r="BZ118" s="57">
        <v>351.4150257409616</v>
      </c>
      <c r="CA118" s="58">
        <v>290.32023501352489</v>
      </c>
      <c r="CB118" s="43" t="s">
        <v>382</v>
      </c>
      <c r="CC118" s="47">
        <v>114.8599517175184</v>
      </c>
      <c r="CD118" s="58">
        <v>192.60638143160466</v>
      </c>
      <c r="CE118" s="59">
        <v>47.715307873534805</v>
      </c>
      <c r="CF118" s="59">
        <v>67.973590064279691</v>
      </c>
      <c r="CG118" s="59">
        <v>27.951484831738462</v>
      </c>
      <c r="CH118" s="47">
        <v>106.80317617288618</v>
      </c>
      <c r="CI118" s="43" t="s">
        <v>382</v>
      </c>
      <c r="CJ118" s="44">
        <v>391.18825100133512</v>
      </c>
      <c r="CK118" s="60">
        <v>51.185880516971913</v>
      </c>
      <c r="CL118" s="53">
        <v>7537.7281999999996</v>
      </c>
      <c r="CM118" s="41">
        <v>17.38942624133017</v>
      </c>
      <c r="CN118" s="53">
        <v>12659.72</v>
      </c>
      <c r="CO118" s="41">
        <v>29.205784731783297</v>
      </c>
      <c r="CP118" s="54">
        <v>21159.27</v>
      </c>
      <c r="CQ118" s="41">
        <v>48.814119483028094</v>
      </c>
      <c r="CR118" s="43">
        <v>28880</v>
      </c>
      <c r="CS118" s="52">
        <v>52.929362880886423</v>
      </c>
      <c r="CT118" s="41">
        <v>388.23</v>
      </c>
      <c r="CU118" s="41">
        <v>5.6459963351851314</v>
      </c>
      <c r="CV118" s="52">
        <v>845</v>
      </c>
      <c r="CW118" s="38">
        <v>4</v>
      </c>
      <c r="CX118" s="38">
        <v>21</v>
      </c>
      <c r="CY118" s="51">
        <v>4</v>
      </c>
      <c r="CZ118" s="41">
        <v>5.5374043803263433</v>
      </c>
      <c r="DA118" s="39">
        <v>6798000</v>
      </c>
      <c r="DB118" s="39">
        <v>11916000</v>
      </c>
      <c r="DC118" s="39">
        <v>5748000</v>
      </c>
      <c r="DD118" s="39">
        <v>10354000</v>
      </c>
      <c r="DE118" s="39">
        <v>6482000</v>
      </c>
      <c r="DF118" s="62">
        <v>7050000</v>
      </c>
      <c r="DG118" s="41">
        <v>91.94</v>
      </c>
      <c r="DH118" s="41">
        <v>40.03</v>
      </c>
      <c r="DI118" s="41">
        <v>2.2999999999999998</v>
      </c>
      <c r="DJ118" s="37" t="s">
        <v>390</v>
      </c>
      <c r="DK118" s="40">
        <v>62000</v>
      </c>
      <c r="DL118" s="40">
        <v>165000</v>
      </c>
      <c r="DM118" s="40">
        <v>0</v>
      </c>
      <c r="DN118" s="40">
        <v>10134</v>
      </c>
      <c r="DO118" s="40">
        <v>2510</v>
      </c>
      <c r="DP118" s="40">
        <v>336784</v>
      </c>
      <c r="DQ118" s="64">
        <v>11</v>
      </c>
      <c r="DR118" s="40">
        <v>11107</v>
      </c>
      <c r="DS118" s="65">
        <v>3</v>
      </c>
      <c r="DT118" s="38">
        <v>7</v>
      </c>
      <c r="DU118" s="66">
        <v>9823.1428571428569</v>
      </c>
      <c r="DV118" s="211" t="s">
        <v>460</v>
      </c>
      <c r="DW118" s="211" t="s">
        <v>460</v>
      </c>
      <c r="DX118" s="211" t="s">
        <v>460</v>
      </c>
      <c r="DY118" s="211" t="s">
        <v>460</v>
      </c>
      <c r="DZ118" s="211" t="s">
        <v>460</v>
      </c>
      <c r="EA118" s="211" t="s">
        <v>460</v>
      </c>
      <c r="EB118" s="211" t="s">
        <v>460</v>
      </c>
      <c r="EC118" s="40">
        <v>344</v>
      </c>
      <c r="ED118" s="184">
        <v>199.88953488372093</v>
      </c>
    </row>
    <row r="119" spans="1:134" s="13" customFormat="1">
      <c r="A119" s="156" t="s">
        <v>266</v>
      </c>
      <c r="B119" s="285">
        <v>2014</v>
      </c>
      <c r="C119" s="259">
        <v>5</v>
      </c>
      <c r="D119" s="80" t="s">
        <v>342</v>
      </c>
      <c r="E119" s="56">
        <v>4567</v>
      </c>
      <c r="F119" s="56">
        <v>99016</v>
      </c>
      <c r="G119" s="82">
        <v>5.6125605307506881</v>
      </c>
      <c r="H119" s="179">
        <v>21.7</v>
      </c>
      <c r="I119" s="56">
        <v>49118</v>
      </c>
      <c r="J119" s="56">
        <v>49.606124262745418</v>
      </c>
      <c r="K119" s="56">
        <v>49898</v>
      </c>
      <c r="L119" s="84">
        <v>50.393875737254589</v>
      </c>
      <c r="M119" s="160">
        <v>23.115456087904985</v>
      </c>
      <c r="N119" s="160">
        <v>45.173507311949585</v>
      </c>
      <c r="O119" s="160">
        <v>31.71103660014543</v>
      </c>
      <c r="P119" s="160">
        <v>32.635129676011957</v>
      </c>
      <c r="Q119" s="160">
        <v>35.65383372384261</v>
      </c>
      <c r="R119" s="160">
        <v>31.71103660014543</v>
      </c>
      <c r="S119" s="83">
        <v>4.6535432222473627</v>
      </c>
      <c r="T119" s="83">
        <v>3.4</v>
      </c>
      <c r="U119" s="38">
        <v>63</v>
      </c>
      <c r="V119" s="41">
        <v>9.8000000000000007</v>
      </c>
      <c r="W119" s="40">
        <v>40194</v>
      </c>
      <c r="X119" s="41">
        <v>2.4</v>
      </c>
      <c r="Y119" s="85" t="s">
        <v>350</v>
      </c>
      <c r="Z119" s="43">
        <v>6475</v>
      </c>
      <c r="AA119" s="45">
        <v>0</v>
      </c>
      <c r="AB119" s="63">
        <v>1608</v>
      </c>
      <c r="AC119" s="63">
        <v>244245.639</v>
      </c>
      <c r="AD119" s="43">
        <v>68</v>
      </c>
      <c r="AE119" s="44">
        <v>6.16</v>
      </c>
      <c r="AF119" s="44">
        <v>1.8031999999999999</v>
      </c>
      <c r="AG119" s="41">
        <v>77.75</v>
      </c>
      <c r="AH119" s="41">
        <v>22.25</v>
      </c>
      <c r="AI119" s="44">
        <v>7.32</v>
      </c>
      <c r="AJ119" s="41">
        <v>5.0194000000000001</v>
      </c>
      <c r="AK119" s="41">
        <v>6.9357711861014373</v>
      </c>
      <c r="AL119" s="41">
        <v>9.2024000000000008</v>
      </c>
      <c r="AM119" s="39">
        <v>186647</v>
      </c>
      <c r="AN119" s="39">
        <v>190732</v>
      </c>
      <c r="AO119" s="40">
        <v>191007</v>
      </c>
      <c r="AP119" s="40">
        <v>231124</v>
      </c>
      <c r="AQ119" s="39">
        <v>42330000</v>
      </c>
      <c r="AR119" s="44">
        <v>803.2867769849704</v>
      </c>
      <c r="AS119" s="39">
        <v>52696</v>
      </c>
      <c r="AT119" s="46">
        <v>46145000</v>
      </c>
      <c r="AU119" s="50">
        <v>879.00260967293366</v>
      </c>
      <c r="AV119" s="39">
        <v>52497</v>
      </c>
      <c r="AW119" s="46">
        <v>47610000</v>
      </c>
      <c r="AX119" s="47">
        <v>902.01204956235085</v>
      </c>
      <c r="AY119" s="39">
        <v>52782</v>
      </c>
      <c r="AZ119" s="41">
        <v>67.600000000000009</v>
      </c>
      <c r="BA119" s="41">
        <v>23.691788867416921</v>
      </c>
      <c r="BB119" s="46">
        <v>1847000</v>
      </c>
      <c r="BC119" s="48">
        <v>1912.0082815734991</v>
      </c>
      <c r="BD119" s="40">
        <v>966</v>
      </c>
      <c r="BE119" s="46">
        <v>4768000</v>
      </c>
      <c r="BF119" s="47">
        <v>2128.5714285714284</v>
      </c>
      <c r="BG119" s="40">
        <v>2240</v>
      </c>
      <c r="BH119" s="49" t="s">
        <v>382</v>
      </c>
      <c r="BI119" s="49" t="s">
        <v>382</v>
      </c>
      <c r="BJ119" s="213">
        <v>0</v>
      </c>
      <c r="BK119" s="47">
        <v>241.81792475795297</v>
      </c>
      <c r="BL119" s="55">
        <v>33111000</v>
      </c>
      <c r="BM119" s="41">
        <v>17.334966781322152</v>
      </c>
      <c r="BN119" s="56">
        <v>43555000</v>
      </c>
      <c r="BO119" s="41">
        <v>22.802829215683197</v>
      </c>
      <c r="BP119" s="56">
        <v>30838000</v>
      </c>
      <c r="BQ119" s="41">
        <v>16.144958038187081</v>
      </c>
      <c r="BR119" s="39">
        <v>8279000</v>
      </c>
      <c r="BS119" s="41">
        <v>4.3343961216081084</v>
      </c>
      <c r="BT119" s="39">
        <v>20981000</v>
      </c>
      <c r="BU119" s="41">
        <v>10.984414183773369</v>
      </c>
      <c r="BV119" s="56">
        <v>25466000</v>
      </c>
      <c r="BW119" s="41">
        <v>13.332495667698044</v>
      </c>
      <c r="BX119" s="40">
        <v>28777000</v>
      </c>
      <c r="BY119" s="41">
        <v>15.065939991728053</v>
      </c>
      <c r="BZ119" s="57">
        <v>334.40050092914277</v>
      </c>
      <c r="CA119" s="58">
        <v>311.44461501171526</v>
      </c>
      <c r="CB119" s="59">
        <v>379.60531631251513</v>
      </c>
      <c r="CC119" s="47">
        <v>83.612749454633601</v>
      </c>
      <c r="CD119" s="58">
        <v>188.51498747677144</v>
      </c>
      <c r="CE119" s="59">
        <v>60.273087177829844</v>
      </c>
      <c r="CF119" s="59">
        <v>290.62979720449221</v>
      </c>
      <c r="CG119" s="59">
        <v>23.380059788317041</v>
      </c>
      <c r="CH119" s="47">
        <v>257.19075704936574</v>
      </c>
      <c r="CI119" s="43">
        <v>1059</v>
      </c>
      <c r="CJ119" s="44">
        <v>297.52567163048008</v>
      </c>
      <c r="CK119" s="60">
        <v>46.740085810933166</v>
      </c>
      <c r="CL119" s="53">
        <v>17743.099999999999</v>
      </c>
      <c r="CM119" s="41">
        <v>29.341914977885786</v>
      </c>
      <c r="CN119" s="53">
        <v>10056.280000000001</v>
      </c>
      <c r="CO119" s="41">
        <v>16.630155539551335</v>
      </c>
      <c r="CP119" s="54">
        <v>32206.350000000002</v>
      </c>
      <c r="CQ119" s="41">
        <v>53.259914189066848</v>
      </c>
      <c r="CR119" s="43">
        <v>47379</v>
      </c>
      <c r="CS119" s="52">
        <v>85.345828320563967</v>
      </c>
      <c r="CT119" s="41">
        <v>1731.8969999999997</v>
      </c>
      <c r="CU119" s="41">
        <v>17.491082249333438</v>
      </c>
      <c r="CV119" s="52">
        <v>5157.6000000000004</v>
      </c>
      <c r="CW119" s="38">
        <v>12</v>
      </c>
      <c r="CX119" s="38">
        <v>32</v>
      </c>
      <c r="CY119" s="51">
        <v>4</v>
      </c>
      <c r="CZ119" s="41">
        <v>5.0784014704694194</v>
      </c>
      <c r="DA119" s="39">
        <v>24089000</v>
      </c>
      <c r="DB119" s="39">
        <v>18645000</v>
      </c>
      <c r="DC119" s="39">
        <v>19568000</v>
      </c>
      <c r="DD119" s="39">
        <v>23833000</v>
      </c>
      <c r="DE119" s="39">
        <v>19667000</v>
      </c>
      <c r="DF119" s="62">
        <v>21898000</v>
      </c>
      <c r="DG119" s="41">
        <v>89.81</v>
      </c>
      <c r="DH119" s="41">
        <v>56.34</v>
      </c>
      <c r="DI119" s="41">
        <v>1.5599999999999998</v>
      </c>
      <c r="DJ119" s="37" t="s">
        <v>390</v>
      </c>
      <c r="DK119" s="40">
        <v>256000</v>
      </c>
      <c r="DL119" s="40">
        <v>272000</v>
      </c>
      <c r="DM119" s="40">
        <v>0</v>
      </c>
      <c r="DN119" s="40">
        <v>53732</v>
      </c>
      <c r="DO119" s="40">
        <v>3658</v>
      </c>
      <c r="DP119" s="40">
        <v>303420</v>
      </c>
      <c r="DQ119" s="64">
        <v>3</v>
      </c>
      <c r="DR119" s="40">
        <v>2700</v>
      </c>
      <c r="DS119" s="65">
        <v>0</v>
      </c>
      <c r="DT119" s="38">
        <v>13</v>
      </c>
      <c r="DU119" s="66">
        <v>7616.6153846153848</v>
      </c>
      <c r="DV119" s="41">
        <v>46.153846153846153</v>
      </c>
      <c r="DW119" s="41">
        <v>53.846153846153847</v>
      </c>
      <c r="DX119" s="41">
        <v>0</v>
      </c>
      <c r="DY119" s="41">
        <v>0</v>
      </c>
      <c r="DZ119" s="41">
        <v>7.6923076923076925</v>
      </c>
      <c r="EA119" s="41">
        <v>38.461538461538467</v>
      </c>
      <c r="EB119" s="41">
        <v>53.846153846153847</v>
      </c>
      <c r="EC119" s="40">
        <v>756</v>
      </c>
      <c r="ED119" s="184">
        <v>130.97354497354496</v>
      </c>
    </row>
    <row r="120" spans="1:134" s="13" customFormat="1">
      <c r="A120" s="156" t="s">
        <v>267</v>
      </c>
      <c r="B120" s="285">
        <v>2014</v>
      </c>
      <c r="C120" s="259">
        <v>4</v>
      </c>
      <c r="D120" s="80" t="s">
        <v>342</v>
      </c>
      <c r="E120" s="56">
        <v>4892.8</v>
      </c>
      <c r="F120" s="56">
        <v>23884</v>
      </c>
      <c r="G120" s="82">
        <v>3.5598144213675584</v>
      </c>
      <c r="H120" s="179">
        <v>4.9000000000000004</v>
      </c>
      <c r="I120" s="56">
        <v>12510</v>
      </c>
      <c r="J120" s="56">
        <v>52.378161112041532</v>
      </c>
      <c r="K120" s="56">
        <v>11374</v>
      </c>
      <c r="L120" s="84">
        <v>47.621838887958468</v>
      </c>
      <c r="M120" s="160">
        <v>28.043878747278512</v>
      </c>
      <c r="N120" s="160">
        <v>56.108692011388371</v>
      </c>
      <c r="O120" s="160">
        <v>15.84742924133311</v>
      </c>
      <c r="P120" s="160">
        <v>42.601741751800368</v>
      </c>
      <c r="Q120" s="160">
        <v>41.550829006866522</v>
      </c>
      <c r="R120" s="160">
        <v>15.84742924133311</v>
      </c>
      <c r="S120" s="83">
        <v>3.727693324520819</v>
      </c>
      <c r="T120" s="83">
        <v>2.7</v>
      </c>
      <c r="U120" s="38">
        <v>116</v>
      </c>
      <c r="V120" s="41">
        <v>6.6</v>
      </c>
      <c r="W120" s="40">
        <v>63310</v>
      </c>
      <c r="X120" s="41">
        <v>2.7</v>
      </c>
      <c r="Y120" s="85" t="s">
        <v>94</v>
      </c>
      <c r="Z120" s="43">
        <v>1930</v>
      </c>
      <c r="AA120" s="45">
        <v>3</v>
      </c>
      <c r="AB120" s="63">
        <v>266</v>
      </c>
      <c r="AC120" s="63">
        <v>48882.923000000003</v>
      </c>
      <c r="AD120" s="43">
        <v>82</v>
      </c>
      <c r="AE120" s="44">
        <v>-5.61</v>
      </c>
      <c r="AF120" s="44">
        <v>3.27</v>
      </c>
      <c r="AG120" s="41">
        <v>61.59</v>
      </c>
      <c r="AH120" s="41">
        <v>38.409999999999997</v>
      </c>
      <c r="AI120" s="44">
        <v>2.72</v>
      </c>
      <c r="AJ120" s="41">
        <v>4.4850000000000003</v>
      </c>
      <c r="AK120" s="41">
        <v>4.1672152732060566</v>
      </c>
      <c r="AL120" s="41">
        <v>16.2376</v>
      </c>
      <c r="AM120" s="39">
        <v>49437</v>
      </c>
      <c r="AN120" s="39">
        <v>45005</v>
      </c>
      <c r="AO120" s="40">
        <v>48127</v>
      </c>
      <c r="AP120" s="40">
        <v>61863</v>
      </c>
      <c r="AQ120" s="39">
        <v>5877000</v>
      </c>
      <c r="AR120" s="44">
        <v>697.48397816282932</v>
      </c>
      <c r="AS120" s="39">
        <v>8426</v>
      </c>
      <c r="AT120" s="46">
        <v>6129000</v>
      </c>
      <c r="AU120" s="50">
        <v>704.96894409937886</v>
      </c>
      <c r="AV120" s="39">
        <v>8694</v>
      </c>
      <c r="AW120" s="46">
        <v>6819000</v>
      </c>
      <c r="AX120" s="47">
        <v>781.99541284403665</v>
      </c>
      <c r="AY120" s="39">
        <v>8720</v>
      </c>
      <c r="AZ120" s="41">
        <v>74.400000000000006</v>
      </c>
      <c r="BA120" s="41">
        <v>12.981651376146788</v>
      </c>
      <c r="BB120" s="46">
        <v>1381000</v>
      </c>
      <c r="BC120" s="48">
        <v>1452.155625657203</v>
      </c>
      <c r="BD120" s="40">
        <v>951</v>
      </c>
      <c r="BE120" s="46">
        <v>1360000</v>
      </c>
      <c r="BF120" s="47">
        <v>1559.6330275229359</v>
      </c>
      <c r="BG120" s="40">
        <v>872</v>
      </c>
      <c r="BH120" s="46">
        <v>5252000</v>
      </c>
      <c r="BI120" s="49">
        <v>42016</v>
      </c>
      <c r="BJ120" s="45">
        <v>125</v>
      </c>
      <c r="BK120" s="47">
        <v>175.99888725357818</v>
      </c>
      <c r="BL120" s="55">
        <v>4193000</v>
      </c>
      <c r="BM120" s="41">
        <v>8.7125462328055505</v>
      </c>
      <c r="BN120" s="56">
        <v>9697000</v>
      </c>
      <c r="BO120" s="41">
        <v>20.149191705107427</v>
      </c>
      <c r="BP120" s="56">
        <v>6196000</v>
      </c>
      <c r="BQ120" s="41">
        <v>12.874537671944481</v>
      </c>
      <c r="BR120" s="39">
        <v>8114000</v>
      </c>
      <c r="BS120" s="41">
        <v>16.859909404479907</v>
      </c>
      <c r="BT120" s="39">
        <v>8286000</v>
      </c>
      <c r="BU120" s="41">
        <v>17.21730457548934</v>
      </c>
      <c r="BV120" s="56">
        <v>8402000</v>
      </c>
      <c r="BW120" s="41">
        <v>17.458338528030588</v>
      </c>
      <c r="BX120" s="40">
        <v>3238000</v>
      </c>
      <c r="BY120" s="41">
        <v>6.7281718821427088</v>
      </c>
      <c r="BZ120" s="57">
        <v>175.55685814771394</v>
      </c>
      <c r="CA120" s="58">
        <v>259.42053257410817</v>
      </c>
      <c r="CB120" s="59">
        <v>336.1664712778429</v>
      </c>
      <c r="CC120" s="47">
        <v>339.72533913917266</v>
      </c>
      <c r="CD120" s="58">
        <v>266.83135153240664</v>
      </c>
      <c r="CE120" s="59">
        <v>69.837548149388709</v>
      </c>
      <c r="CF120" s="59">
        <v>135.57193099983252</v>
      </c>
      <c r="CG120" s="59">
        <v>80.095461396750963</v>
      </c>
      <c r="CH120" s="47">
        <v>351.78362083403113</v>
      </c>
      <c r="CI120" s="43">
        <v>935</v>
      </c>
      <c r="CJ120" s="44">
        <v>342.20183486238534</v>
      </c>
      <c r="CK120" s="60">
        <v>34.57970739722564</v>
      </c>
      <c r="CL120" s="53">
        <v>3525.4199999999996</v>
      </c>
      <c r="CM120" s="41">
        <v>22.279647359939329</v>
      </c>
      <c r="CN120" s="53">
        <v>792.3</v>
      </c>
      <c r="CO120" s="41">
        <v>5.0071096786425251</v>
      </c>
      <c r="CP120" s="54">
        <v>10351.780000000001</v>
      </c>
      <c r="CQ120" s="41">
        <v>65.420292602774353</v>
      </c>
      <c r="CR120" s="43">
        <v>14772</v>
      </c>
      <c r="CS120" s="52">
        <v>47.136474411047928</v>
      </c>
      <c r="CT120" s="41">
        <v>845.43</v>
      </c>
      <c r="CU120" s="41">
        <v>35.397337129459046</v>
      </c>
      <c r="CV120" s="52">
        <v>245.3</v>
      </c>
      <c r="CW120" s="38">
        <v>1</v>
      </c>
      <c r="CX120" s="38">
        <v>6</v>
      </c>
      <c r="CY120" s="51">
        <v>1</v>
      </c>
      <c r="CZ120" s="41">
        <v>5.4210350025121423</v>
      </c>
      <c r="DA120" s="39">
        <v>6290000</v>
      </c>
      <c r="DB120" s="39">
        <v>8703000</v>
      </c>
      <c r="DC120" s="39">
        <v>7881000</v>
      </c>
      <c r="DD120" s="39">
        <v>11440000</v>
      </c>
      <c r="DE120" s="39">
        <v>8282000</v>
      </c>
      <c r="DF120" s="62">
        <v>8537000</v>
      </c>
      <c r="DG120" s="41">
        <v>97.009999999999991</v>
      </c>
      <c r="DH120" s="41">
        <v>91.63</v>
      </c>
      <c r="DI120" s="41">
        <v>3.54</v>
      </c>
      <c r="DJ120" s="37" t="s">
        <v>390</v>
      </c>
      <c r="DK120" s="40">
        <v>66000</v>
      </c>
      <c r="DL120" s="40">
        <v>130000</v>
      </c>
      <c r="DM120" s="40">
        <v>0</v>
      </c>
      <c r="DN120" s="40">
        <v>6764.96</v>
      </c>
      <c r="DO120" s="40">
        <v>0</v>
      </c>
      <c r="DP120" s="40">
        <v>304000</v>
      </c>
      <c r="DQ120" s="64">
        <v>1</v>
      </c>
      <c r="DR120" s="40">
        <v>0</v>
      </c>
      <c r="DS120" s="65">
        <v>0</v>
      </c>
      <c r="DT120" s="38">
        <v>10</v>
      </c>
      <c r="DU120" s="66">
        <v>2388.4</v>
      </c>
      <c r="DV120" s="41">
        <v>50</v>
      </c>
      <c r="DW120" s="41">
        <v>50</v>
      </c>
      <c r="DX120" s="41">
        <v>0</v>
      </c>
      <c r="DY120" s="41">
        <v>0</v>
      </c>
      <c r="DZ120" s="41">
        <v>10</v>
      </c>
      <c r="EA120" s="41">
        <v>50</v>
      </c>
      <c r="EB120" s="41">
        <v>40</v>
      </c>
      <c r="EC120" s="40">
        <v>201</v>
      </c>
      <c r="ED120" s="184">
        <v>118.82587064676616</v>
      </c>
    </row>
    <row r="121" spans="1:134" s="13" customFormat="1">
      <c r="A121" s="156" t="s">
        <v>268</v>
      </c>
      <c r="B121" s="285">
        <v>2014</v>
      </c>
      <c r="C121" s="259">
        <v>10</v>
      </c>
      <c r="D121" s="80" t="s">
        <v>345</v>
      </c>
      <c r="E121" s="56">
        <v>6030.4</v>
      </c>
      <c r="F121" s="56">
        <v>8069</v>
      </c>
      <c r="G121" s="82">
        <v>5.1472504560854837</v>
      </c>
      <c r="H121" s="179">
        <v>1.3</v>
      </c>
      <c r="I121" s="56">
        <v>4420</v>
      </c>
      <c r="J121" s="56">
        <v>54.777543685710754</v>
      </c>
      <c r="K121" s="56">
        <v>3649</v>
      </c>
      <c r="L121" s="84">
        <v>45.222456314289253</v>
      </c>
      <c r="M121" s="160">
        <v>27.562275374891559</v>
      </c>
      <c r="N121" s="160">
        <v>51.592514561903577</v>
      </c>
      <c r="O121" s="160">
        <v>20.84521006320486</v>
      </c>
      <c r="P121" s="160">
        <v>38.691287644069902</v>
      </c>
      <c r="Q121" s="160">
        <v>40.463502292725245</v>
      </c>
      <c r="R121" s="160">
        <v>20.84521006320486</v>
      </c>
      <c r="S121" s="83">
        <v>1.025436143294713</v>
      </c>
      <c r="T121" s="83">
        <v>4.8</v>
      </c>
      <c r="U121" s="38">
        <v>123</v>
      </c>
      <c r="V121" s="41">
        <v>1.7</v>
      </c>
      <c r="W121" s="40">
        <v>42703</v>
      </c>
      <c r="X121" s="41">
        <v>2.5</v>
      </c>
      <c r="Y121" s="85" t="s">
        <v>353</v>
      </c>
      <c r="Z121" s="43">
        <v>963</v>
      </c>
      <c r="AA121" s="45">
        <v>6</v>
      </c>
      <c r="AB121" s="63">
        <v>129</v>
      </c>
      <c r="AC121" s="63">
        <v>18393.088</v>
      </c>
      <c r="AD121" s="43">
        <v>88</v>
      </c>
      <c r="AE121" s="44">
        <v>-4.83</v>
      </c>
      <c r="AF121" s="44">
        <v>4.3391000000000002</v>
      </c>
      <c r="AG121" s="41">
        <v>73.930000000000007</v>
      </c>
      <c r="AH121" s="41">
        <v>26.069999999999993</v>
      </c>
      <c r="AI121" s="44">
        <v>15.56</v>
      </c>
      <c r="AJ121" s="41">
        <v>6.0916999999999994</v>
      </c>
      <c r="AK121" s="41">
        <v>4.0014684287812043</v>
      </c>
      <c r="AL121" s="41">
        <v>10.434200000000001</v>
      </c>
      <c r="AM121" s="39">
        <v>29648</v>
      </c>
      <c r="AN121" s="39">
        <v>30791</v>
      </c>
      <c r="AO121" s="40">
        <v>28707</v>
      </c>
      <c r="AP121" s="40">
        <v>27999</v>
      </c>
      <c r="AQ121" s="39">
        <v>2817000</v>
      </c>
      <c r="AR121" s="44">
        <v>632.60723108017066</v>
      </c>
      <c r="AS121" s="39">
        <v>4453</v>
      </c>
      <c r="AT121" s="46">
        <v>3082000</v>
      </c>
      <c r="AU121" s="50">
        <v>690.72</v>
      </c>
      <c r="AV121" s="39">
        <v>4462</v>
      </c>
      <c r="AW121" s="46">
        <v>3132000</v>
      </c>
      <c r="AX121" s="47">
        <v>695.38188277087033</v>
      </c>
      <c r="AY121" s="39">
        <v>4504</v>
      </c>
      <c r="AZ121" s="41">
        <v>59</v>
      </c>
      <c r="BA121" s="41">
        <v>9.1918294849023088</v>
      </c>
      <c r="BB121" s="46">
        <v>1417000</v>
      </c>
      <c r="BC121" s="48">
        <v>1576.1957730812014</v>
      </c>
      <c r="BD121" s="40">
        <v>899</v>
      </c>
      <c r="BE121" s="46">
        <v>941000</v>
      </c>
      <c r="BF121" s="47">
        <v>1964.509394572025</v>
      </c>
      <c r="BG121" s="40">
        <v>479</v>
      </c>
      <c r="BH121" s="49" t="s">
        <v>382</v>
      </c>
      <c r="BI121" s="49" t="s">
        <v>382</v>
      </c>
      <c r="BJ121" s="213">
        <v>0</v>
      </c>
      <c r="BK121" s="47">
        <v>153.0059743169399</v>
      </c>
      <c r="BL121" s="55">
        <v>5928000</v>
      </c>
      <c r="BM121" s="41">
        <v>20.650015675619187</v>
      </c>
      <c r="BN121" s="56">
        <v>6618000</v>
      </c>
      <c r="BO121" s="41">
        <v>23.053610617619398</v>
      </c>
      <c r="BP121" s="56">
        <v>3246000</v>
      </c>
      <c r="BQ121" s="41">
        <v>11.307346640192288</v>
      </c>
      <c r="BR121" s="39">
        <v>3764000</v>
      </c>
      <c r="BS121" s="41">
        <v>13.111784582157663</v>
      </c>
      <c r="BT121" s="39">
        <v>1796000</v>
      </c>
      <c r="BU121" s="41">
        <v>6.2563137910614133</v>
      </c>
      <c r="BV121" s="56">
        <v>4481000</v>
      </c>
      <c r="BW121" s="41">
        <v>15.609433239279619</v>
      </c>
      <c r="BX121" s="40">
        <v>2874000</v>
      </c>
      <c r="BY121" s="41">
        <v>10.011495454070436</v>
      </c>
      <c r="BZ121" s="57">
        <v>734.66352707894407</v>
      </c>
      <c r="CA121" s="58">
        <v>402.28033213533274</v>
      </c>
      <c r="CB121" s="59">
        <v>718.92427810137565</v>
      </c>
      <c r="CC121" s="47">
        <v>466.47663898872224</v>
      </c>
      <c r="CD121" s="58">
        <v>190.97781633411822</v>
      </c>
      <c r="CE121" s="59">
        <v>101.25170405254678</v>
      </c>
      <c r="CF121" s="59">
        <v>356.17796505143139</v>
      </c>
      <c r="CG121" s="59">
        <v>31.602429049448507</v>
      </c>
      <c r="CH121" s="47">
        <v>555.33523361011282</v>
      </c>
      <c r="CI121" s="43">
        <v>1434</v>
      </c>
      <c r="CJ121" s="44">
        <v>242.45115452930727</v>
      </c>
      <c r="CK121" s="60">
        <v>47.737626667194107</v>
      </c>
      <c r="CL121" s="53">
        <v>1559.8620000000001</v>
      </c>
      <c r="CM121" s="41">
        <v>39.554245078484094</v>
      </c>
      <c r="CN121" s="53">
        <v>322.72000000000003</v>
      </c>
      <c r="CO121" s="41">
        <v>8.1833815887100183</v>
      </c>
      <c r="CP121" s="54">
        <v>2061.02</v>
      </c>
      <c r="CQ121" s="41">
        <v>52.2623733328059</v>
      </c>
      <c r="CR121" s="43">
        <v>2676</v>
      </c>
      <c r="CS121" s="52">
        <v>61.360239162929744</v>
      </c>
      <c r="CT121" s="41">
        <v>895.64</v>
      </c>
      <c r="CU121" s="41">
        <v>110.99764530920807</v>
      </c>
      <c r="CV121" s="52">
        <v>57</v>
      </c>
      <c r="CW121" s="38">
        <v>3</v>
      </c>
      <c r="CX121" s="38">
        <v>5</v>
      </c>
      <c r="CY121" s="51">
        <v>0</v>
      </c>
      <c r="CZ121" s="41">
        <v>1.505391002602553</v>
      </c>
      <c r="DA121" s="49">
        <v>2250027.36</v>
      </c>
      <c r="DB121" s="49">
        <v>5161231.4249999998</v>
      </c>
      <c r="DC121" s="39">
        <v>5275004.07</v>
      </c>
      <c r="DD121" s="39">
        <v>6330000</v>
      </c>
      <c r="DE121" s="39">
        <v>2966000</v>
      </c>
      <c r="DF121" s="62">
        <v>4684000</v>
      </c>
      <c r="DG121" s="41">
        <v>63.32</v>
      </c>
      <c r="DH121" s="41">
        <v>33.19</v>
      </c>
      <c r="DI121" s="41">
        <v>11.34</v>
      </c>
      <c r="DJ121" s="37" t="s">
        <v>390</v>
      </c>
      <c r="DK121" s="40">
        <v>16000</v>
      </c>
      <c r="DL121" s="40">
        <v>101000</v>
      </c>
      <c r="DM121" s="40">
        <v>0</v>
      </c>
      <c r="DN121" s="40">
        <v>0</v>
      </c>
      <c r="DO121" s="40">
        <v>0</v>
      </c>
      <c r="DP121" s="40">
        <v>215000</v>
      </c>
      <c r="DQ121" s="64">
        <v>1</v>
      </c>
      <c r="DR121" s="40">
        <v>4884</v>
      </c>
      <c r="DS121" s="65">
        <v>0</v>
      </c>
      <c r="DT121" s="38">
        <v>7</v>
      </c>
      <c r="DU121" s="66">
        <v>1152.7142857142858</v>
      </c>
      <c r="DV121" s="41">
        <v>14.285714285714285</v>
      </c>
      <c r="DW121" s="41">
        <v>85.714285714285708</v>
      </c>
      <c r="DX121" s="41">
        <v>0</v>
      </c>
      <c r="DY121" s="41">
        <v>14.285714285714285</v>
      </c>
      <c r="DZ121" s="41">
        <v>0</v>
      </c>
      <c r="EA121" s="41">
        <v>14.285714285714285</v>
      </c>
      <c r="EB121" s="41">
        <v>85.714285714285708</v>
      </c>
      <c r="EC121" s="40">
        <v>129.4</v>
      </c>
      <c r="ED121" s="184">
        <v>62.357032457496132</v>
      </c>
    </row>
    <row r="122" spans="1:134" s="13" customFormat="1">
      <c r="A122" s="156" t="s">
        <v>269</v>
      </c>
      <c r="B122" s="285">
        <v>2014</v>
      </c>
      <c r="C122" s="259">
        <v>2</v>
      </c>
      <c r="D122" s="80" t="s">
        <v>343</v>
      </c>
      <c r="E122" s="56">
        <v>13.9</v>
      </c>
      <c r="F122" s="56">
        <v>39481</v>
      </c>
      <c r="G122" s="82">
        <v>7.8951683428071711</v>
      </c>
      <c r="H122" s="179">
        <v>2840.4</v>
      </c>
      <c r="I122" s="56">
        <v>20034</v>
      </c>
      <c r="J122" s="56">
        <v>50.743395557356706</v>
      </c>
      <c r="K122" s="56">
        <v>19447</v>
      </c>
      <c r="L122" s="84">
        <v>49.256604442643301</v>
      </c>
      <c r="M122" s="160">
        <v>22.403181277069983</v>
      </c>
      <c r="N122" s="160">
        <v>61.556191585826092</v>
      </c>
      <c r="O122" s="160">
        <v>16.040627137103925</v>
      </c>
      <c r="P122" s="160">
        <v>43.676705250626888</v>
      </c>
      <c r="Q122" s="160">
        <v>40.282667612269194</v>
      </c>
      <c r="R122" s="160">
        <v>16.040627137103925</v>
      </c>
      <c r="S122" s="83">
        <v>0.27850403546663632</v>
      </c>
      <c r="T122" s="83">
        <v>60.8</v>
      </c>
      <c r="U122" s="38">
        <v>128</v>
      </c>
      <c r="V122" s="41">
        <v>4.2</v>
      </c>
      <c r="W122" s="40">
        <v>51424</v>
      </c>
      <c r="X122" s="41">
        <v>2.9</v>
      </c>
      <c r="Y122" s="85" t="s">
        <v>350</v>
      </c>
      <c r="Z122" s="43">
        <v>4551</v>
      </c>
      <c r="AA122" s="45">
        <v>30</v>
      </c>
      <c r="AB122" s="63">
        <v>150</v>
      </c>
      <c r="AC122" s="63">
        <v>479248.85700000002</v>
      </c>
      <c r="AD122" s="43">
        <v>89</v>
      </c>
      <c r="AE122" s="44">
        <v>1.94</v>
      </c>
      <c r="AF122" s="44">
        <v>3.2338999999999998</v>
      </c>
      <c r="AG122" s="41">
        <v>70.63</v>
      </c>
      <c r="AH122" s="41">
        <v>29.370000000000005</v>
      </c>
      <c r="AI122" s="44">
        <v>5.09</v>
      </c>
      <c r="AJ122" s="41">
        <v>0</v>
      </c>
      <c r="AK122" s="41">
        <v>0</v>
      </c>
      <c r="AL122" s="41">
        <v>16.5167</v>
      </c>
      <c r="AM122" s="39">
        <v>31516</v>
      </c>
      <c r="AN122" s="39">
        <v>32461</v>
      </c>
      <c r="AO122" s="40">
        <v>32427</v>
      </c>
      <c r="AP122" s="40">
        <v>42687</v>
      </c>
      <c r="AQ122" s="39">
        <v>9720000</v>
      </c>
      <c r="AR122" s="44">
        <v>802.70872904451232</v>
      </c>
      <c r="AS122" s="39">
        <v>12109</v>
      </c>
      <c r="AT122" s="46">
        <v>10271000</v>
      </c>
      <c r="AU122" s="50">
        <v>815.48233425962678</v>
      </c>
      <c r="AV122" s="39">
        <v>12595</v>
      </c>
      <c r="AW122" s="46">
        <v>10567000</v>
      </c>
      <c r="AX122" s="47">
        <v>822.46264009962636</v>
      </c>
      <c r="AY122" s="39">
        <v>12848</v>
      </c>
      <c r="AZ122" s="41">
        <v>76.7</v>
      </c>
      <c r="BA122" s="41">
        <v>10.203922789539229</v>
      </c>
      <c r="BB122" s="48" t="s">
        <v>382</v>
      </c>
      <c r="BC122" s="48" t="s">
        <v>382</v>
      </c>
      <c r="BD122" s="40">
        <v>0</v>
      </c>
      <c r="BE122" s="46">
        <v>4772000</v>
      </c>
      <c r="BF122" s="47">
        <v>4651.0721247563351</v>
      </c>
      <c r="BG122" s="40">
        <v>1026</v>
      </c>
      <c r="BH122" s="49" t="s">
        <v>382</v>
      </c>
      <c r="BI122" s="49" t="s">
        <v>382</v>
      </c>
      <c r="BJ122" s="213">
        <v>0</v>
      </c>
      <c r="BK122" s="47">
        <v>438.25541508572917</v>
      </c>
      <c r="BL122" s="55">
        <v>7689000</v>
      </c>
      <c r="BM122" s="41">
        <v>23.711721713386993</v>
      </c>
      <c r="BN122" s="56">
        <v>1759000</v>
      </c>
      <c r="BO122" s="41">
        <v>5.4244919357325685</v>
      </c>
      <c r="BP122" s="56">
        <v>6357000</v>
      </c>
      <c r="BQ122" s="41">
        <v>19.604033675640668</v>
      </c>
      <c r="BR122" s="39">
        <v>2396000</v>
      </c>
      <c r="BS122" s="41">
        <v>7.3889043081382804</v>
      </c>
      <c r="BT122" s="39">
        <v>7203000</v>
      </c>
      <c r="BU122" s="41">
        <v>22.212970672587659</v>
      </c>
      <c r="BV122" s="56">
        <v>6066000</v>
      </c>
      <c r="BW122" s="41">
        <v>18.706633361087981</v>
      </c>
      <c r="BX122" s="40">
        <v>957000</v>
      </c>
      <c r="BY122" s="41">
        <v>2.9512443334258487</v>
      </c>
      <c r="BZ122" s="57">
        <v>194.75190598009169</v>
      </c>
      <c r="CA122" s="58">
        <v>161.01415870925254</v>
      </c>
      <c r="CB122" s="43" t="s">
        <v>382</v>
      </c>
      <c r="CC122" s="47">
        <v>60.687419264962891</v>
      </c>
      <c r="CD122" s="58">
        <v>145.74098933664294</v>
      </c>
      <c r="CE122" s="59">
        <v>44.553076163217753</v>
      </c>
      <c r="CF122" s="59">
        <v>24.239507611256048</v>
      </c>
      <c r="CG122" s="59">
        <v>36.701198044629059</v>
      </c>
      <c r="CH122" s="47">
        <v>153.64352473341609</v>
      </c>
      <c r="CI122" s="43" t="s">
        <v>382</v>
      </c>
      <c r="CJ122" s="44">
        <v>461.16127023661272</v>
      </c>
      <c r="CK122" s="60">
        <v>31.146726049715639</v>
      </c>
      <c r="CL122" s="53">
        <v>2396.89</v>
      </c>
      <c r="CM122" s="41">
        <v>18.675818263560068</v>
      </c>
      <c r="CN122" s="53">
        <v>1600.54</v>
      </c>
      <c r="CO122" s="41">
        <v>12.470907786155573</v>
      </c>
      <c r="CP122" s="54">
        <v>8836.77</v>
      </c>
      <c r="CQ122" s="41">
        <v>68.853351867161066</v>
      </c>
      <c r="CR122" s="43">
        <v>5420</v>
      </c>
      <c r="CS122" s="52">
        <v>43.247232472324725</v>
      </c>
      <c r="CT122" s="41">
        <v>97.02000000000001</v>
      </c>
      <c r="CU122" s="41">
        <v>2.4573845647273376</v>
      </c>
      <c r="CV122" s="52">
        <v>122.85</v>
      </c>
      <c r="CW122" s="38">
        <v>0</v>
      </c>
      <c r="CX122" s="38">
        <v>4</v>
      </c>
      <c r="CY122" s="51">
        <v>2</v>
      </c>
      <c r="CZ122" s="41">
        <v>5.1870013424178723</v>
      </c>
      <c r="DA122" s="39">
        <v>2114000</v>
      </c>
      <c r="DB122" s="39">
        <v>2806000</v>
      </c>
      <c r="DC122" s="39">
        <v>1752000</v>
      </c>
      <c r="DD122" s="39">
        <v>2550000</v>
      </c>
      <c r="DE122" s="39">
        <v>1125000</v>
      </c>
      <c r="DF122" s="62">
        <v>2810000</v>
      </c>
      <c r="DG122" s="41">
        <v>40.04</v>
      </c>
      <c r="DH122" s="41">
        <v>47.27</v>
      </c>
      <c r="DI122" s="41">
        <v>3.17</v>
      </c>
      <c r="DJ122" s="37" t="s">
        <v>390</v>
      </c>
      <c r="DK122" s="40">
        <v>58000</v>
      </c>
      <c r="DL122" s="40">
        <v>165000</v>
      </c>
      <c r="DM122" s="40">
        <v>0</v>
      </c>
      <c r="DN122" s="40">
        <v>4336</v>
      </c>
      <c r="DO122" s="40">
        <v>7244</v>
      </c>
      <c r="DP122" s="40">
        <v>344400</v>
      </c>
      <c r="DQ122" s="64">
        <v>11</v>
      </c>
      <c r="DR122" s="40">
        <v>6479</v>
      </c>
      <c r="DS122" s="65">
        <v>0</v>
      </c>
      <c r="DT122" s="38">
        <v>7</v>
      </c>
      <c r="DU122" s="66">
        <v>5640.1428571428569</v>
      </c>
      <c r="DV122" s="41">
        <v>28.571428571428569</v>
      </c>
      <c r="DW122" s="41">
        <v>71.428571428571431</v>
      </c>
      <c r="DX122" s="41">
        <v>0</v>
      </c>
      <c r="DY122" s="41">
        <v>57.142857142857139</v>
      </c>
      <c r="DZ122" s="41">
        <v>0</v>
      </c>
      <c r="EA122" s="41">
        <v>100</v>
      </c>
      <c r="EB122" s="41">
        <v>0</v>
      </c>
      <c r="EC122" s="40">
        <v>137</v>
      </c>
      <c r="ED122" s="184">
        <v>288.18248175182481</v>
      </c>
    </row>
    <row r="123" spans="1:134" s="13" customFormat="1">
      <c r="A123" s="156" t="s">
        <v>270</v>
      </c>
      <c r="B123" s="285">
        <v>2014</v>
      </c>
      <c r="C123" s="259">
        <v>3</v>
      </c>
      <c r="D123" s="80" t="s">
        <v>343</v>
      </c>
      <c r="E123" s="56">
        <v>333.6</v>
      </c>
      <c r="F123" s="56">
        <v>225070</v>
      </c>
      <c r="G123" s="82">
        <v>2.741195535571634</v>
      </c>
      <c r="H123" s="179">
        <v>674.7</v>
      </c>
      <c r="I123" s="56">
        <v>110814</v>
      </c>
      <c r="J123" s="56">
        <v>49.235349002532544</v>
      </c>
      <c r="K123" s="56">
        <v>114256</v>
      </c>
      <c r="L123" s="84">
        <v>50.764650997467456</v>
      </c>
      <c r="M123" s="160">
        <v>24.690096414448838</v>
      </c>
      <c r="N123" s="160">
        <v>53.853912116230504</v>
      </c>
      <c r="O123" s="160">
        <v>21.455991469320658</v>
      </c>
      <c r="P123" s="160">
        <v>37.949971120095974</v>
      </c>
      <c r="Q123" s="160">
        <v>40.594037410583375</v>
      </c>
      <c r="R123" s="160">
        <v>21.455991469320658</v>
      </c>
      <c r="S123" s="83">
        <v>0.82423184721833609</v>
      </c>
      <c r="T123" s="83">
        <v>11.6</v>
      </c>
      <c r="U123" s="38">
        <v>137</v>
      </c>
      <c r="V123" s="41">
        <v>4</v>
      </c>
      <c r="W123" s="40">
        <v>59412</v>
      </c>
      <c r="X123" s="41">
        <v>2.7</v>
      </c>
      <c r="Y123" s="85" t="s">
        <v>350</v>
      </c>
      <c r="Z123" s="43">
        <v>20502</v>
      </c>
      <c r="AA123" s="45">
        <v>18</v>
      </c>
      <c r="AB123" s="63">
        <v>1164</v>
      </c>
      <c r="AC123" s="63">
        <v>471387.93300000002</v>
      </c>
      <c r="AD123" s="43">
        <v>85</v>
      </c>
      <c r="AE123" s="44">
        <v>2.33</v>
      </c>
      <c r="AF123" s="44">
        <v>1.66</v>
      </c>
      <c r="AG123" s="41">
        <v>85.09</v>
      </c>
      <c r="AH123" s="41">
        <v>14.909999999999997</v>
      </c>
      <c r="AI123" s="44">
        <v>4.16</v>
      </c>
      <c r="AJ123" s="41">
        <v>6.4808000000000003</v>
      </c>
      <c r="AK123" s="41">
        <v>2.2580549339564726</v>
      </c>
      <c r="AL123" s="41">
        <v>3.2886000000000002</v>
      </c>
      <c r="AM123" s="39">
        <v>197036</v>
      </c>
      <c r="AN123" s="39">
        <v>201649</v>
      </c>
      <c r="AO123" s="40">
        <v>197390</v>
      </c>
      <c r="AP123" s="40">
        <v>219596</v>
      </c>
      <c r="AQ123" s="39">
        <v>86116000</v>
      </c>
      <c r="AR123" s="44">
        <v>1078.4046083526391</v>
      </c>
      <c r="AS123" s="39">
        <v>79855</v>
      </c>
      <c r="AT123" s="46">
        <v>89325000</v>
      </c>
      <c r="AU123" s="50">
        <v>1118.1558721177678</v>
      </c>
      <c r="AV123" s="39">
        <v>79886</v>
      </c>
      <c r="AW123" s="46">
        <v>91652000</v>
      </c>
      <c r="AX123" s="47">
        <v>1142.693281135063</v>
      </c>
      <c r="AY123" s="39">
        <v>80207</v>
      </c>
      <c r="AZ123" s="41">
        <v>79.900000000000006</v>
      </c>
      <c r="BA123" s="41">
        <v>16.931190544466194</v>
      </c>
      <c r="BB123" s="48" t="s">
        <v>382</v>
      </c>
      <c r="BC123" s="48" t="s">
        <v>382</v>
      </c>
      <c r="BD123" s="40">
        <v>0</v>
      </c>
      <c r="BE123" s="46">
        <v>14246000</v>
      </c>
      <c r="BF123" s="47">
        <v>3194.1704035874441</v>
      </c>
      <c r="BG123" s="40">
        <v>4460</v>
      </c>
      <c r="BH123" s="49" t="s">
        <v>382</v>
      </c>
      <c r="BI123" s="49" t="s">
        <v>382</v>
      </c>
      <c r="BJ123" s="213">
        <v>0</v>
      </c>
      <c r="BK123" s="47">
        <v>342.80592240646661</v>
      </c>
      <c r="BL123" s="55">
        <v>38428000</v>
      </c>
      <c r="BM123" s="41">
        <v>19.468058158974618</v>
      </c>
      <c r="BN123" s="56">
        <v>15668000</v>
      </c>
      <c r="BO123" s="41">
        <v>7.9375854906530225</v>
      </c>
      <c r="BP123" s="56">
        <v>48192000</v>
      </c>
      <c r="BQ123" s="41">
        <v>24.414610669233497</v>
      </c>
      <c r="BR123" s="39">
        <v>22991000</v>
      </c>
      <c r="BS123" s="41">
        <v>11.647499873347181</v>
      </c>
      <c r="BT123" s="39">
        <v>52331000</v>
      </c>
      <c r="BU123" s="41">
        <v>26.511474745427833</v>
      </c>
      <c r="BV123" s="56">
        <v>6512000</v>
      </c>
      <c r="BW123" s="41">
        <v>3.2990526369116981</v>
      </c>
      <c r="BX123" s="40">
        <v>13268000</v>
      </c>
      <c r="BY123" s="41">
        <v>6.72171842545215</v>
      </c>
      <c r="BZ123" s="57">
        <v>170.73799262451681</v>
      </c>
      <c r="CA123" s="58">
        <v>214.12005153952103</v>
      </c>
      <c r="CB123" s="43" t="s">
        <v>382</v>
      </c>
      <c r="CC123" s="47">
        <v>102.15044208468477</v>
      </c>
      <c r="CD123" s="58">
        <v>199.98667081352468</v>
      </c>
      <c r="CE123" s="59">
        <v>69.613897898431603</v>
      </c>
      <c r="CF123" s="59">
        <v>58.95054871817657</v>
      </c>
      <c r="CG123" s="59">
        <v>32.523214999777849</v>
      </c>
      <c r="CH123" s="47">
        <v>28.933220775758652</v>
      </c>
      <c r="CI123" s="43" t="s">
        <v>382</v>
      </c>
      <c r="CJ123" s="44">
        <v>373.89504656700785</v>
      </c>
      <c r="CK123" s="60">
        <v>49.518173144076883</v>
      </c>
      <c r="CL123" s="53">
        <v>25584.01</v>
      </c>
      <c r="CM123" s="41">
        <v>25.166002695232194</v>
      </c>
      <c r="CN123" s="53">
        <v>24756.66</v>
      </c>
      <c r="CO123" s="41">
        <v>24.352170448844689</v>
      </c>
      <c r="CP123" s="54">
        <v>51320.34</v>
      </c>
      <c r="CQ123" s="41">
        <v>50.481836692536952</v>
      </c>
      <c r="CR123" s="43">
        <v>61815</v>
      </c>
      <c r="CS123" s="52">
        <v>89.60770039634393</v>
      </c>
      <c r="CT123" s="41">
        <v>817.99999999999989</v>
      </c>
      <c r="CU123" s="41">
        <v>3.6344248456035895</v>
      </c>
      <c r="CV123" s="52">
        <v>2806.34</v>
      </c>
      <c r="CW123" s="38">
        <v>0</v>
      </c>
      <c r="CX123" s="38">
        <v>35</v>
      </c>
      <c r="CY123" s="51">
        <v>8</v>
      </c>
      <c r="CZ123" s="41">
        <v>7.5780912604967341</v>
      </c>
      <c r="DA123" s="39">
        <v>19046000</v>
      </c>
      <c r="DB123" s="39">
        <v>19867000</v>
      </c>
      <c r="DC123" s="39">
        <v>19082000</v>
      </c>
      <c r="DD123" s="39">
        <v>18438000</v>
      </c>
      <c r="DE123" s="39">
        <v>27761000</v>
      </c>
      <c r="DF123" s="62">
        <v>23101000</v>
      </c>
      <c r="DG123" s="41">
        <v>120.17</v>
      </c>
      <c r="DH123" s="41">
        <v>198.2</v>
      </c>
      <c r="DI123" s="41">
        <v>3.1399999999999997</v>
      </c>
      <c r="DJ123" s="37" t="s">
        <v>390</v>
      </c>
      <c r="DK123" s="40">
        <v>0</v>
      </c>
      <c r="DL123" s="40">
        <v>439000</v>
      </c>
      <c r="DM123" s="40">
        <v>0</v>
      </c>
      <c r="DN123" s="40">
        <v>22865.34</v>
      </c>
      <c r="DO123" s="40">
        <v>36009</v>
      </c>
      <c r="DP123" s="40">
        <v>400000</v>
      </c>
      <c r="DQ123" s="64">
        <v>3</v>
      </c>
      <c r="DR123" s="40">
        <v>8800</v>
      </c>
      <c r="DS123" s="65">
        <v>0</v>
      </c>
      <c r="DT123" s="38">
        <v>15</v>
      </c>
      <c r="DU123" s="66">
        <v>15004.666666666666</v>
      </c>
      <c r="DV123" s="41">
        <v>20</v>
      </c>
      <c r="DW123" s="41">
        <v>80</v>
      </c>
      <c r="DX123" s="41">
        <v>0</v>
      </c>
      <c r="DY123" s="41">
        <v>13.333333333333334</v>
      </c>
      <c r="DZ123" s="41">
        <v>6.666666666666667</v>
      </c>
      <c r="EA123" s="41">
        <v>53.333333333333336</v>
      </c>
      <c r="EB123" s="41">
        <v>40</v>
      </c>
      <c r="EC123" s="40">
        <v>1018</v>
      </c>
      <c r="ED123" s="184">
        <v>221.09037328094303</v>
      </c>
    </row>
    <row r="124" spans="1:134" s="13" customFormat="1">
      <c r="A124" s="156" t="s">
        <v>271</v>
      </c>
      <c r="B124" s="285">
        <v>2014</v>
      </c>
      <c r="C124" s="259">
        <v>1</v>
      </c>
      <c r="D124" s="80" t="s">
        <v>343</v>
      </c>
      <c r="E124" s="56">
        <v>26.7</v>
      </c>
      <c r="F124" s="56">
        <v>198331</v>
      </c>
      <c r="G124" s="82">
        <v>11.956534010725374</v>
      </c>
      <c r="H124" s="179">
        <v>7421</v>
      </c>
      <c r="I124" s="56">
        <v>105408</v>
      </c>
      <c r="J124" s="56">
        <v>53.147516021196886</v>
      </c>
      <c r="K124" s="56">
        <v>92923</v>
      </c>
      <c r="L124" s="84">
        <v>46.852483978803114</v>
      </c>
      <c r="M124" s="160">
        <v>10.433568126011567</v>
      </c>
      <c r="N124" s="160">
        <v>77.66410697268708</v>
      </c>
      <c r="O124" s="160">
        <v>11.902324901301361</v>
      </c>
      <c r="P124" s="160">
        <v>40.190893002102548</v>
      </c>
      <c r="Q124" s="160">
        <v>47.906782096596096</v>
      </c>
      <c r="R124" s="160">
        <v>11.902324901301361</v>
      </c>
      <c r="S124" s="83">
        <v>1.2831479897348161</v>
      </c>
      <c r="T124" s="83">
        <v>29.9</v>
      </c>
      <c r="U124" s="38">
        <v>130</v>
      </c>
      <c r="V124" s="41">
        <v>4.7</v>
      </c>
      <c r="W124" s="40">
        <v>61853</v>
      </c>
      <c r="X124" s="41">
        <v>1.9</v>
      </c>
      <c r="Y124" s="85" t="s">
        <v>142</v>
      </c>
      <c r="Z124" s="43">
        <v>61032</v>
      </c>
      <c r="AA124" s="45">
        <v>72</v>
      </c>
      <c r="AB124" s="63">
        <v>1757</v>
      </c>
      <c r="AC124" s="63">
        <v>3070119.6370000001</v>
      </c>
      <c r="AD124" s="43">
        <v>89</v>
      </c>
      <c r="AE124" s="44">
        <v>-0.31</v>
      </c>
      <c r="AF124" s="44">
        <v>3.6055000000000001</v>
      </c>
      <c r="AG124" s="41">
        <v>70.180000000000007</v>
      </c>
      <c r="AH124" s="41">
        <v>29.819999999999993</v>
      </c>
      <c r="AI124" s="44">
        <v>1.68</v>
      </c>
      <c r="AJ124" s="41">
        <v>0</v>
      </c>
      <c r="AK124" s="41">
        <v>0</v>
      </c>
      <c r="AL124" s="41">
        <v>10.159700000000001</v>
      </c>
      <c r="AM124" s="39">
        <v>485397.88</v>
      </c>
      <c r="AN124" s="39">
        <v>500738.87</v>
      </c>
      <c r="AO124" s="40">
        <v>525039.41819999996</v>
      </c>
      <c r="AP124" s="40">
        <v>735551.84589999996</v>
      </c>
      <c r="AQ124" s="39">
        <v>51282700</v>
      </c>
      <c r="AR124" s="44">
        <v>582.34105129282443</v>
      </c>
      <c r="AS124" s="39">
        <v>88063</v>
      </c>
      <c r="AT124" s="46">
        <v>54262150</v>
      </c>
      <c r="AU124" s="50">
        <v>616.16721929505809</v>
      </c>
      <c r="AV124" s="39">
        <v>88064</v>
      </c>
      <c r="AW124" s="46">
        <v>57068518.210000001</v>
      </c>
      <c r="AX124" s="47">
        <v>604.24494642441186</v>
      </c>
      <c r="AY124" s="39">
        <v>94446</v>
      </c>
      <c r="AZ124" s="41">
        <v>74.3</v>
      </c>
      <c r="BA124" s="41">
        <v>3.1107722931622299</v>
      </c>
      <c r="BB124" s="48" t="s">
        <v>382</v>
      </c>
      <c r="BC124" s="48" t="s">
        <v>382</v>
      </c>
      <c r="BD124" s="40">
        <v>0</v>
      </c>
      <c r="BE124" s="46">
        <v>193703333.5</v>
      </c>
      <c r="BF124" s="47">
        <v>10406.884086391232</v>
      </c>
      <c r="BG124" s="40">
        <v>18613</v>
      </c>
      <c r="BH124" s="49" t="s">
        <v>382</v>
      </c>
      <c r="BI124" s="49" t="s">
        <v>382</v>
      </c>
      <c r="BJ124" s="213">
        <v>0</v>
      </c>
      <c r="BK124" s="47">
        <v>164.50720620234159</v>
      </c>
      <c r="BL124" s="55">
        <v>118927200</v>
      </c>
      <c r="BM124" s="41">
        <v>22.651092174956112</v>
      </c>
      <c r="BN124" s="56">
        <v>46673618.230000004</v>
      </c>
      <c r="BO124" s="41">
        <v>8.889542751081688</v>
      </c>
      <c r="BP124" s="56">
        <v>63507057.939999998</v>
      </c>
      <c r="BQ124" s="41">
        <v>12.095670487148594</v>
      </c>
      <c r="BR124" s="39">
        <v>58963707.270000003</v>
      </c>
      <c r="BS124" s="41">
        <v>11.230335603208516</v>
      </c>
      <c r="BT124" s="39">
        <v>112519000</v>
      </c>
      <c r="BU124" s="41">
        <v>21.430574674539436</v>
      </c>
      <c r="BV124" s="56">
        <v>58185000</v>
      </c>
      <c r="BW124" s="41">
        <v>11.08202159135859</v>
      </c>
      <c r="BX124" s="40">
        <v>66264000</v>
      </c>
      <c r="BY124" s="41">
        <v>12.620762717707064</v>
      </c>
      <c r="BZ124" s="57">
        <v>599.63999576465608</v>
      </c>
      <c r="CA124" s="58">
        <v>320.20742062511658</v>
      </c>
      <c r="CB124" s="43" t="s">
        <v>382</v>
      </c>
      <c r="CC124" s="47">
        <v>297.29950068320136</v>
      </c>
      <c r="CD124" s="58">
        <v>517.54390387786077</v>
      </c>
      <c r="CE124" s="59">
        <v>235.33193615723212</v>
      </c>
      <c r="CF124" s="59">
        <v>334.10813236458245</v>
      </c>
      <c r="CG124" s="59">
        <v>49.785459660869961</v>
      </c>
      <c r="CH124" s="47">
        <v>293.37319934856379</v>
      </c>
      <c r="CI124" s="43" t="s">
        <v>382</v>
      </c>
      <c r="CJ124" s="44">
        <v>386.31494017745592</v>
      </c>
      <c r="CK124" s="60">
        <v>65.650464347552344</v>
      </c>
      <c r="CL124" s="53">
        <v>14091.76</v>
      </c>
      <c r="CM124" s="41">
        <v>22.181268691956557</v>
      </c>
      <c r="CN124" s="53">
        <v>2036.49</v>
      </c>
      <c r="CO124" s="41">
        <v>3.2055564300330555</v>
      </c>
      <c r="CP124" s="54">
        <v>21822.269999999997</v>
      </c>
      <c r="CQ124" s="41">
        <v>34.349551393042653</v>
      </c>
      <c r="CR124" s="43">
        <v>33999</v>
      </c>
      <c r="CS124" s="52">
        <v>51.110326774316896</v>
      </c>
      <c r="CT124" s="41">
        <v>329.37</v>
      </c>
      <c r="CU124" s="41">
        <v>1.6607086133786448</v>
      </c>
      <c r="CV124" s="52">
        <v>406</v>
      </c>
      <c r="CW124" s="38">
        <v>5</v>
      </c>
      <c r="CX124" s="38">
        <v>25</v>
      </c>
      <c r="CY124" s="51">
        <v>12</v>
      </c>
      <c r="CZ124" s="41">
        <v>5.4378438065657919</v>
      </c>
      <c r="DA124" s="39">
        <v>32004000</v>
      </c>
      <c r="DB124" s="39">
        <v>40145000</v>
      </c>
      <c r="DC124" s="39">
        <v>24767000</v>
      </c>
      <c r="DD124" s="39">
        <v>25966000</v>
      </c>
      <c r="DE124" s="39">
        <v>43507538</v>
      </c>
      <c r="DF124" s="62">
        <v>41806618.07</v>
      </c>
      <c r="DG124" s="41">
        <v>104.07</v>
      </c>
      <c r="DH124" s="41">
        <v>83.59</v>
      </c>
      <c r="DI124" s="41">
        <v>2.83</v>
      </c>
      <c r="DJ124" s="37" t="s">
        <v>390</v>
      </c>
      <c r="DK124" s="40">
        <v>602750.9</v>
      </c>
      <c r="DL124" s="40">
        <v>558632.84</v>
      </c>
      <c r="DM124" s="40">
        <v>0</v>
      </c>
      <c r="DN124" s="40">
        <v>6658</v>
      </c>
      <c r="DO124" s="40">
        <v>2755</v>
      </c>
      <c r="DP124" s="40">
        <v>452098</v>
      </c>
      <c r="DQ124" s="64">
        <v>6</v>
      </c>
      <c r="DR124" s="40">
        <v>7120</v>
      </c>
      <c r="DS124" s="98">
        <v>0</v>
      </c>
      <c r="DT124" s="38">
        <v>10</v>
      </c>
      <c r="DU124" s="66">
        <v>19833.099999999999</v>
      </c>
      <c r="DV124" s="41">
        <v>70</v>
      </c>
      <c r="DW124" s="41">
        <v>30</v>
      </c>
      <c r="DX124" s="41">
        <v>0</v>
      </c>
      <c r="DY124" s="41">
        <v>20</v>
      </c>
      <c r="DZ124" s="41">
        <v>0</v>
      </c>
      <c r="EA124" s="41">
        <v>60</v>
      </c>
      <c r="EB124" s="41">
        <v>40</v>
      </c>
      <c r="EC124" s="40">
        <v>1803.5</v>
      </c>
      <c r="ED124" s="184">
        <v>109.97005822012753</v>
      </c>
    </row>
    <row r="125" spans="1:134" s="13" customFormat="1">
      <c r="A125" s="158" t="s">
        <v>272</v>
      </c>
      <c r="B125" s="285">
        <v>2014</v>
      </c>
      <c r="C125" s="260">
        <v>4</v>
      </c>
      <c r="D125" s="93" t="s">
        <v>342</v>
      </c>
      <c r="E125" s="54">
        <v>9884.2000000000007</v>
      </c>
      <c r="F125" s="54">
        <v>60495</v>
      </c>
      <c r="G125" s="150">
        <v>6.4790368571126837</v>
      </c>
      <c r="H125" s="179">
        <v>6.1</v>
      </c>
      <c r="I125" s="56">
        <v>29950</v>
      </c>
      <c r="J125" s="56">
        <v>49.508223820150427</v>
      </c>
      <c r="K125" s="56">
        <v>30545</v>
      </c>
      <c r="L125" s="84">
        <v>50.49177617984958</v>
      </c>
      <c r="M125" s="162">
        <v>27.592363005207044</v>
      </c>
      <c r="N125" s="162">
        <v>48.926357550210767</v>
      </c>
      <c r="O125" s="162">
        <v>23.481279444582199</v>
      </c>
      <c r="P125" s="160">
        <v>39.304074716918755</v>
      </c>
      <c r="Q125" s="160">
        <v>37.214645838499052</v>
      </c>
      <c r="R125" s="160">
        <v>23.481279444582199</v>
      </c>
      <c r="S125" s="151">
        <v>8.3848504227954237</v>
      </c>
      <c r="T125" s="151">
        <v>2</v>
      </c>
      <c r="U125" s="64">
        <v>69</v>
      </c>
      <c r="V125" s="100">
        <v>7.9</v>
      </c>
      <c r="W125" s="101">
        <v>42628</v>
      </c>
      <c r="X125" s="100">
        <v>2.5</v>
      </c>
      <c r="Y125" s="102" t="s">
        <v>350</v>
      </c>
      <c r="Z125" s="103">
        <v>5597</v>
      </c>
      <c r="AA125" s="115">
        <v>8</v>
      </c>
      <c r="AB125" s="63">
        <v>491</v>
      </c>
      <c r="AC125" s="116">
        <v>202681.27100000001</v>
      </c>
      <c r="AD125" s="43">
        <v>48</v>
      </c>
      <c r="AE125" s="44">
        <v>5.7</v>
      </c>
      <c r="AF125" s="44">
        <v>3.8277999999999999</v>
      </c>
      <c r="AG125" s="41">
        <v>75.150000000000006</v>
      </c>
      <c r="AH125" s="41">
        <v>24.849999999999994</v>
      </c>
      <c r="AI125" s="44">
        <v>5.33</v>
      </c>
      <c r="AJ125" s="41">
        <v>3.8360000000000003</v>
      </c>
      <c r="AK125" s="41">
        <v>7.9886742069642889</v>
      </c>
      <c r="AL125" s="41">
        <v>15.3446</v>
      </c>
      <c r="AM125" s="39">
        <v>119265</v>
      </c>
      <c r="AN125" s="39">
        <v>119689</v>
      </c>
      <c r="AO125" s="101">
        <v>166977</v>
      </c>
      <c r="AP125" s="101">
        <v>147634</v>
      </c>
      <c r="AQ125" s="99">
        <v>17998000</v>
      </c>
      <c r="AR125" s="44">
        <v>848.52199330536041</v>
      </c>
      <c r="AS125" s="99">
        <v>21211</v>
      </c>
      <c r="AT125" s="105">
        <v>18843000</v>
      </c>
      <c r="AU125" s="106">
        <v>870.8693441789527</v>
      </c>
      <c r="AV125" s="99">
        <v>21637</v>
      </c>
      <c r="AW125" s="105">
        <v>19595000</v>
      </c>
      <c r="AX125" s="47">
        <v>889.87284287011812</v>
      </c>
      <c r="AY125" s="99">
        <v>22020</v>
      </c>
      <c r="AZ125" s="41">
        <v>65.8</v>
      </c>
      <c r="BA125" s="100">
        <v>21.702997275204361</v>
      </c>
      <c r="BB125" s="46">
        <v>5282000</v>
      </c>
      <c r="BC125" s="48">
        <v>1784.4594594594594</v>
      </c>
      <c r="BD125" s="40">
        <v>2960</v>
      </c>
      <c r="BE125" s="46">
        <v>5199000</v>
      </c>
      <c r="BF125" s="47">
        <v>2875.5530973451328</v>
      </c>
      <c r="BG125" s="71">
        <v>1808</v>
      </c>
      <c r="BH125" s="46">
        <v>16000</v>
      </c>
      <c r="BI125" s="49">
        <v>16000</v>
      </c>
      <c r="BJ125" s="115">
        <v>1</v>
      </c>
      <c r="BK125" s="104">
        <v>134.71639475608134</v>
      </c>
      <c r="BL125" s="109">
        <v>9550000</v>
      </c>
      <c r="BM125" s="100">
        <v>5.719350569240075</v>
      </c>
      <c r="BN125" s="54">
        <v>37293000</v>
      </c>
      <c r="BO125" s="41">
        <v>22.334213694101582</v>
      </c>
      <c r="BP125" s="54">
        <v>12015000</v>
      </c>
      <c r="BQ125" s="41">
        <v>7.1956017894680109</v>
      </c>
      <c r="BR125" s="99">
        <v>3577000</v>
      </c>
      <c r="BS125" s="41">
        <v>2.1422112027404969</v>
      </c>
      <c r="BT125" s="99">
        <v>13067000</v>
      </c>
      <c r="BU125" s="41">
        <v>7.8256286793989593</v>
      </c>
      <c r="BV125" s="54">
        <v>64784000</v>
      </c>
      <c r="BW125" s="41">
        <v>38.798157830120317</v>
      </c>
      <c r="BX125" s="101">
        <v>26691000</v>
      </c>
      <c r="BY125" s="41">
        <v>15.98483623493056</v>
      </c>
      <c r="BZ125" s="110">
        <v>157.86428630465329</v>
      </c>
      <c r="CA125" s="111">
        <v>198.61145549218944</v>
      </c>
      <c r="CB125" s="112">
        <v>580.57690718241179</v>
      </c>
      <c r="CC125" s="104">
        <v>59.128853624266469</v>
      </c>
      <c r="CD125" s="111">
        <v>173.17133647408878</v>
      </c>
      <c r="CE125" s="112">
        <v>35.887263410199189</v>
      </c>
      <c r="CF125" s="112">
        <v>441.21001735680636</v>
      </c>
      <c r="CG125" s="112">
        <v>42.829985949252006</v>
      </c>
      <c r="CH125" s="47">
        <v>1070.8984213571368</v>
      </c>
      <c r="CI125" s="43">
        <v>1273</v>
      </c>
      <c r="CJ125" s="113">
        <v>275.93097184377837</v>
      </c>
      <c r="CK125" s="60">
        <v>49.240691443184218</v>
      </c>
      <c r="CL125" s="53">
        <v>6927.6500000000005</v>
      </c>
      <c r="CM125" s="41">
        <v>22.694900007010617</v>
      </c>
      <c r="CN125" s="53">
        <v>8103.14</v>
      </c>
      <c r="CO125" s="41">
        <v>26.545791436173594</v>
      </c>
      <c r="CP125" s="54">
        <v>15494.359999999999</v>
      </c>
      <c r="CQ125" s="41">
        <v>50.759341316698304</v>
      </c>
      <c r="CR125" s="43">
        <v>39053</v>
      </c>
      <c r="CS125" s="73">
        <v>36.647632704273683</v>
      </c>
      <c r="CT125" s="41">
        <v>3185.8499999999995</v>
      </c>
      <c r="CU125" s="41">
        <v>52.663030002479537</v>
      </c>
      <c r="CV125" s="108">
        <v>849</v>
      </c>
      <c r="CW125" s="64">
        <v>6</v>
      </c>
      <c r="CX125" s="64">
        <v>23</v>
      </c>
      <c r="CY125" s="107">
        <v>6</v>
      </c>
      <c r="CZ125" s="70">
        <v>3.3070171088519711</v>
      </c>
      <c r="DA125" s="99">
        <v>20186000</v>
      </c>
      <c r="DB125" s="53">
        <v>26260000</v>
      </c>
      <c r="DC125" s="99">
        <v>24605000</v>
      </c>
      <c r="DD125" s="53">
        <v>24776000</v>
      </c>
      <c r="DE125" s="99">
        <v>19360000</v>
      </c>
      <c r="DF125" s="114">
        <v>20537000</v>
      </c>
      <c r="DG125" s="41">
        <v>94.27</v>
      </c>
      <c r="DH125" s="41">
        <v>48.64</v>
      </c>
      <c r="DI125" s="41">
        <v>1.7000000000000002</v>
      </c>
      <c r="DJ125" s="37" t="s">
        <v>390</v>
      </c>
      <c r="DK125" s="101">
        <v>120000</v>
      </c>
      <c r="DL125" s="40">
        <v>199000</v>
      </c>
      <c r="DM125" s="101">
        <v>6589.21</v>
      </c>
      <c r="DN125" s="101">
        <v>35077.949999999997</v>
      </c>
      <c r="DO125" s="101">
        <v>132</v>
      </c>
      <c r="DP125" s="71">
        <v>282857</v>
      </c>
      <c r="DQ125" s="68">
        <v>0</v>
      </c>
      <c r="DR125" s="40">
        <v>0</v>
      </c>
      <c r="DS125" s="117">
        <v>0</v>
      </c>
      <c r="DT125" s="64">
        <v>9</v>
      </c>
      <c r="DU125" s="66">
        <v>6721.666666666667</v>
      </c>
      <c r="DV125" s="41">
        <v>22.222222222222221</v>
      </c>
      <c r="DW125" s="41">
        <v>77.777777777777786</v>
      </c>
      <c r="DX125" s="41">
        <v>0</v>
      </c>
      <c r="DY125" s="41">
        <v>0</v>
      </c>
      <c r="DZ125" s="41">
        <v>0</v>
      </c>
      <c r="EA125" s="41">
        <v>66.666666666666657</v>
      </c>
      <c r="EB125" s="41">
        <v>33.333333333333329</v>
      </c>
      <c r="EC125" s="101">
        <v>496</v>
      </c>
      <c r="ED125" s="184">
        <v>121.96572580645162</v>
      </c>
    </row>
    <row r="126" spans="1:134" s="13" customFormat="1">
      <c r="A126" s="156" t="s">
        <v>273</v>
      </c>
      <c r="B126" s="285">
        <v>2014</v>
      </c>
      <c r="C126" s="259">
        <v>10</v>
      </c>
      <c r="D126" s="80" t="s">
        <v>345</v>
      </c>
      <c r="E126" s="56">
        <v>2802</v>
      </c>
      <c r="F126" s="56">
        <v>6050</v>
      </c>
      <c r="G126" s="82">
        <v>1.9204851752021566</v>
      </c>
      <c r="H126" s="179">
        <v>2.2000000000000002</v>
      </c>
      <c r="I126" s="56">
        <v>3021</v>
      </c>
      <c r="J126" s="56">
        <v>49.933884297520656</v>
      </c>
      <c r="K126" s="56">
        <v>3029</v>
      </c>
      <c r="L126" s="84">
        <v>50.066115702479344</v>
      </c>
      <c r="M126" s="160">
        <v>26.628099173553721</v>
      </c>
      <c r="N126" s="160">
        <v>43.206611570247929</v>
      </c>
      <c r="O126" s="160">
        <v>30.165289256198346</v>
      </c>
      <c r="P126" s="160">
        <v>34.29752066115703</v>
      </c>
      <c r="Q126" s="160">
        <v>35.537190082644628</v>
      </c>
      <c r="R126" s="160">
        <v>30.165289256198346</v>
      </c>
      <c r="S126" s="83">
        <v>1.7489177489177488</v>
      </c>
      <c r="T126" s="83">
        <v>1.8</v>
      </c>
      <c r="U126" s="38">
        <v>46</v>
      </c>
      <c r="V126" s="41">
        <v>4.5999999999999996</v>
      </c>
      <c r="W126" s="40">
        <v>42462</v>
      </c>
      <c r="X126" s="41">
        <v>2.4</v>
      </c>
      <c r="Y126" s="85" t="s">
        <v>351</v>
      </c>
      <c r="Z126" s="43">
        <v>667</v>
      </c>
      <c r="AA126" s="45">
        <v>3</v>
      </c>
      <c r="AB126" s="67">
        <v>119</v>
      </c>
      <c r="AC126" s="63">
        <v>9557.3709999999992</v>
      </c>
      <c r="AD126" s="43">
        <v>15</v>
      </c>
      <c r="AE126" s="44">
        <v>-3.52</v>
      </c>
      <c r="AF126" s="44">
        <v>1.6939</v>
      </c>
      <c r="AG126" s="41">
        <v>53.73</v>
      </c>
      <c r="AH126" s="41">
        <v>46.27</v>
      </c>
      <c r="AI126" s="44">
        <v>3.56</v>
      </c>
      <c r="AJ126" s="41">
        <v>9.7344000000000008</v>
      </c>
      <c r="AK126" s="41">
        <v>2.1189246457422857</v>
      </c>
      <c r="AL126" s="41">
        <v>3.82</v>
      </c>
      <c r="AM126" s="39">
        <v>16212</v>
      </c>
      <c r="AN126" s="39">
        <v>16591</v>
      </c>
      <c r="AO126" s="40">
        <v>15714</v>
      </c>
      <c r="AP126" s="40">
        <v>16516</v>
      </c>
      <c r="AQ126" s="39">
        <v>1093000</v>
      </c>
      <c r="AR126" s="44">
        <v>458.08885163453476</v>
      </c>
      <c r="AS126" s="39">
        <v>2386</v>
      </c>
      <c r="AT126" s="46">
        <v>1193000</v>
      </c>
      <c r="AU126" s="50">
        <v>498.12108559498955</v>
      </c>
      <c r="AV126" s="39">
        <v>2395</v>
      </c>
      <c r="AW126" s="46">
        <v>1228000</v>
      </c>
      <c r="AX126" s="47">
        <v>508.27814569536423</v>
      </c>
      <c r="AY126" s="39">
        <v>2416</v>
      </c>
      <c r="AZ126" s="41">
        <v>60.699999999999996</v>
      </c>
      <c r="BA126" s="41">
        <v>27.938741721854303</v>
      </c>
      <c r="BB126" s="46">
        <v>1721000</v>
      </c>
      <c r="BC126" s="48">
        <v>1654.8076923076924</v>
      </c>
      <c r="BD126" s="40">
        <v>1040</v>
      </c>
      <c r="BE126" s="46">
        <v>445000</v>
      </c>
      <c r="BF126" s="47">
        <v>1253.5211267605634</v>
      </c>
      <c r="BG126" s="40">
        <v>355</v>
      </c>
      <c r="BH126" s="49" t="s">
        <v>382</v>
      </c>
      <c r="BI126" s="49" t="s">
        <v>382</v>
      </c>
      <c r="BJ126" s="213">
        <v>0</v>
      </c>
      <c r="BK126" s="47">
        <v>150.0453889216264</v>
      </c>
      <c r="BL126" s="55">
        <v>1959000</v>
      </c>
      <c r="BM126" s="41">
        <v>12.466590301641849</v>
      </c>
      <c r="BN126" s="56">
        <v>1498000</v>
      </c>
      <c r="BO126" s="41">
        <v>9.5329005981926951</v>
      </c>
      <c r="BP126" s="56">
        <v>890000</v>
      </c>
      <c r="BQ126" s="41">
        <v>5.6637393407152858</v>
      </c>
      <c r="BR126" s="39">
        <v>2703000</v>
      </c>
      <c r="BS126" s="41">
        <v>17.2012218403971</v>
      </c>
      <c r="BT126" s="39">
        <v>2132000</v>
      </c>
      <c r="BU126" s="41">
        <v>13.567519409443808</v>
      </c>
      <c r="BV126" s="56">
        <v>3387000</v>
      </c>
      <c r="BW126" s="41">
        <v>21.554028255059183</v>
      </c>
      <c r="BX126" s="40">
        <v>3145000</v>
      </c>
      <c r="BY126" s="41">
        <v>20.014000254550083</v>
      </c>
      <c r="BZ126" s="57">
        <v>323.801652892562</v>
      </c>
      <c r="CA126" s="58">
        <v>147.10743801652893</v>
      </c>
      <c r="CB126" s="59">
        <v>98.016528925619838</v>
      </c>
      <c r="CC126" s="47">
        <v>446.77685950413223</v>
      </c>
      <c r="CD126" s="58">
        <v>302.97520661157023</v>
      </c>
      <c r="CE126" s="59">
        <v>149.58677685950414</v>
      </c>
      <c r="CF126" s="59">
        <v>519.83471074380168</v>
      </c>
      <c r="CG126" s="59">
        <v>49.421487603305785</v>
      </c>
      <c r="CH126" s="47">
        <v>559.83471074380168</v>
      </c>
      <c r="CI126" s="43" t="s">
        <v>382</v>
      </c>
      <c r="CJ126" s="44">
        <v>151.07615894039736</v>
      </c>
      <c r="CK126" s="60">
        <v>11.753527483490902</v>
      </c>
      <c r="CL126" s="53">
        <v>414.8</v>
      </c>
      <c r="CM126" s="41">
        <v>9.8531996769442731</v>
      </c>
      <c r="CN126" s="53">
        <v>50</v>
      </c>
      <c r="CO126" s="41">
        <v>1.1877048790916434</v>
      </c>
      <c r="CP126" s="54">
        <v>3715</v>
      </c>
      <c r="CQ126" s="41">
        <v>88.246472516509087</v>
      </c>
      <c r="CR126" s="43">
        <v>3218</v>
      </c>
      <c r="CS126" s="52">
        <v>69.701678060907398</v>
      </c>
      <c r="CT126" s="41">
        <v>1240.1599999999999</v>
      </c>
      <c r="CU126" s="41">
        <v>204.98512396694213</v>
      </c>
      <c r="CV126" s="52">
        <v>40</v>
      </c>
      <c r="CW126" s="38">
        <v>2</v>
      </c>
      <c r="CX126" s="38">
        <v>2</v>
      </c>
      <c r="CY126" s="51">
        <v>2</v>
      </c>
      <c r="CZ126" s="41">
        <v>6.9552066115702482</v>
      </c>
      <c r="DA126" s="39">
        <v>2571000</v>
      </c>
      <c r="DB126" s="39">
        <v>1719000</v>
      </c>
      <c r="DC126" s="39">
        <v>1930000</v>
      </c>
      <c r="DD126" s="39">
        <v>1927400</v>
      </c>
      <c r="DE126" s="39">
        <v>1919000</v>
      </c>
      <c r="DF126" s="62">
        <v>1788000</v>
      </c>
      <c r="DG126" s="41">
        <v>107.33</v>
      </c>
      <c r="DH126" s="41">
        <v>0</v>
      </c>
      <c r="DI126" s="41">
        <v>0</v>
      </c>
      <c r="DJ126" s="37" t="s">
        <v>390</v>
      </c>
      <c r="DK126" s="40">
        <v>24000</v>
      </c>
      <c r="DL126" s="40">
        <v>89000</v>
      </c>
      <c r="DM126" s="40">
        <v>0</v>
      </c>
      <c r="DN126" s="40">
        <v>4157.8900000000003</v>
      </c>
      <c r="DO126" s="40">
        <v>0</v>
      </c>
      <c r="DP126" s="40">
        <v>200293</v>
      </c>
      <c r="DQ126" s="64">
        <v>0</v>
      </c>
      <c r="DR126" s="40">
        <v>0</v>
      </c>
      <c r="DS126" s="98">
        <v>0</v>
      </c>
      <c r="DT126" s="38">
        <v>9</v>
      </c>
      <c r="DU126" s="66">
        <v>672.22222222222217</v>
      </c>
      <c r="DV126" s="41">
        <v>11.111111111111111</v>
      </c>
      <c r="DW126" s="41">
        <v>88.888888888888886</v>
      </c>
      <c r="DX126" s="41">
        <v>0</v>
      </c>
      <c r="DY126" s="41">
        <v>0</v>
      </c>
      <c r="DZ126" s="41">
        <v>0</v>
      </c>
      <c r="EA126" s="41">
        <v>55.555555555555557</v>
      </c>
      <c r="EB126" s="41">
        <v>44.444444444444443</v>
      </c>
      <c r="EC126" s="40">
        <v>88</v>
      </c>
      <c r="ED126" s="184">
        <v>68.75</v>
      </c>
    </row>
    <row r="127" spans="1:134" s="13" customFormat="1">
      <c r="A127" s="156" t="s">
        <v>274</v>
      </c>
      <c r="B127" s="285">
        <v>2014</v>
      </c>
      <c r="C127" s="259">
        <v>10</v>
      </c>
      <c r="D127" s="80" t="s">
        <v>345</v>
      </c>
      <c r="E127" s="56">
        <v>7322.3</v>
      </c>
      <c r="F127" s="56">
        <v>6980</v>
      </c>
      <c r="G127" s="82">
        <v>1.4240046498111014</v>
      </c>
      <c r="H127" s="179">
        <v>1</v>
      </c>
      <c r="I127" s="56">
        <v>3484</v>
      </c>
      <c r="J127" s="56">
        <v>49.914040114613179</v>
      </c>
      <c r="K127" s="56">
        <v>3496</v>
      </c>
      <c r="L127" s="84">
        <v>50.085959885386821</v>
      </c>
      <c r="M127" s="160">
        <v>22.148997134670488</v>
      </c>
      <c r="N127" s="160">
        <v>43.896848137535812</v>
      </c>
      <c r="O127" s="160">
        <v>33.954154727793693</v>
      </c>
      <c r="P127" s="160">
        <v>28.223495702005728</v>
      </c>
      <c r="Q127" s="160">
        <v>37.822349570200572</v>
      </c>
      <c r="R127" s="160">
        <v>33.954154727793693</v>
      </c>
      <c r="S127" s="83">
        <v>6.7547723935389135</v>
      </c>
      <c r="T127" s="83">
        <v>2.2999999999999998</v>
      </c>
      <c r="U127" s="38">
        <v>14</v>
      </c>
      <c r="V127" s="41">
        <v>11.3</v>
      </c>
      <c r="W127" s="40">
        <v>31483</v>
      </c>
      <c r="X127" s="41">
        <v>2.2999999999999998</v>
      </c>
      <c r="Y127" s="85" t="s">
        <v>351</v>
      </c>
      <c r="Z127" s="43">
        <v>921</v>
      </c>
      <c r="AA127" s="45">
        <v>1</v>
      </c>
      <c r="AB127" s="67">
        <v>101</v>
      </c>
      <c r="AC127" s="63">
        <v>6669.2160000000003</v>
      </c>
      <c r="AD127" s="43">
        <v>41</v>
      </c>
      <c r="AE127" s="44">
        <v>2.71</v>
      </c>
      <c r="AF127" s="44">
        <v>3.0613999999999999</v>
      </c>
      <c r="AG127" s="41">
        <v>48.21</v>
      </c>
      <c r="AH127" s="41">
        <v>51.79</v>
      </c>
      <c r="AI127" s="44">
        <v>6.85</v>
      </c>
      <c r="AJ127" s="41">
        <v>7.6398999999999999</v>
      </c>
      <c r="AK127" s="41">
        <v>4.5006201641958539</v>
      </c>
      <c r="AL127" s="41">
        <v>12.7324</v>
      </c>
      <c r="AM127" s="39">
        <v>19009</v>
      </c>
      <c r="AN127" s="39">
        <v>17488</v>
      </c>
      <c r="AO127" s="40">
        <v>16596</v>
      </c>
      <c r="AP127" s="40">
        <v>20659</v>
      </c>
      <c r="AQ127" s="39">
        <v>1046000</v>
      </c>
      <c r="AR127" s="44">
        <v>333.01496338745625</v>
      </c>
      <c r="AS127" s="39">
        <v>3141</v>
      </c>
      <c r="AT127" s="46">
        <v>1096000</v>
      </c>
      <c r="AU127" s="50">
        <v>349.26704907584451</v>
      </c>
      <c r="AV127" s="39">
        <v>3138</v>
      </c>
      <c r="AW127" s="46">
        <v>1336000</v>
      </c>
      <c r="AX127" s="47">
        <v>419.72981464027646</v>
      </c>
      <c r="AY127" s="39">
        <v>3183</v>
      </c>
      <c r="AZ127" s="41">
        <v>58.199999999999996</v>
      </c>
      <c r="BA127" s="41">
        <v>27.866792334275843</v>
      </c>
      <c r="BB127" s="46">
        <v>1612000</v>
      </c>
      <c r="BC127" s="48">
        <v>1186.1662987490802</v>
      </c>
      <c r="BD127" s="40">
        <v>1359</v>
      </c>
      <c r="BE127" s="46">
        <v>172000</v>
      </c>
      <c r="BF127" s="47">
        <v>731.91489361702122</v>
      </c>
      <c r="BG127" s="40">
        <v>235</v>
      </c>
      <c r="BH127" s="46">
        <v>7000</v>
      </c>
      <c r="BI127" s="49">
        <v>636.36363636363637</v>
      </c>
      <c r="BJ127" s="45">
        <v>11</v>
      </c>
      <c r="BK127" s="47">
        <v>226.33749280460506</v>
      </c>
      <c r="BL127" s="55">
        <v>232000</v>
      </c>
      <c r="BM127" s="41">
        <v>1.3979272113762353</v>
      </c>
      <c r="BN127" s="56">
        <v>4202000</v>
      </c>
      <c r="BO127" s="41">
        <v>25.319354061219574</v>
      </c>
      <c r="BP127" s="56">
        <v>2017000</v>
      </c>
      <c r="BQ127" s="41">
        <v>12.153530971318389</v>
      </c>
      <c r="BR127" s="39">
        <v>1029000</v>
      </c>
      <c r="BS127" s="41">
        <v>6.2002892263195948</v>
      </c>
      <c r="BT127" s="39">
        <v>2107000</v>
      </c>
      <c r="BU127" s="41">
        <v>12.695830320559171</v>
      </c>
      <c r="BV127" s="56">
        <v>5723000</v>
      </c>
      <c r="BW127" s="41">
        <v>34.484213063388772</v>
      </c>
      <c r="BX127" s="40">
        <v>1286000</v>
      </c>
      <c r="BY127" s="41">
        <v>7.7488551458182693</v>
      </c>
      <c r="BZ127" s="57">
        <v>33.237822349570202</v>
      </c>
      <c r="CA127" s="58">
        <v>288.96848137535818</v>
      </c>
      <c r="CB127" s="59">
        <v>466.04584527220629</v>
      </c>
      <c r="CC127" s="47">
        <v>147.42120343839542</v>
      </c>
      <c r="CD127" s="58">
        <v>232.52148997134671</v>
      </c>
      <c r="CE127" s="59">
        <v>135.95988538681948</v>
      </c>
      <c r="CF127" s="59">
        <v>184.24068767908309</v>
      </c>
      <c r="CG127" s="59">
        <v>69.340974212034382</v>
      </c>
      <c r="CH127" s="47">
        <v>819.91404011461316</v>
      </c>
      <c r="CI127" s="43">
        <v>1546</v>
      </c>
      <c r="CJ127" s="44">
        <v>158.02701853597236</v>
      </c>
      <c r="CK127" s="60">
        <v>56.51963746223565</v>
      </c>
      <c r="CL127" s="53">
        <v>438.5</v>
      </c>
      <c r="CM127" s="41">
        <v>10.598187311178247</v>
      </c>
      <c r="CN127" s="53">
        <v>1900</v>
      </c>
      <c r="CO127" s="41">
        <v>45.9214501510574</v>
      </c>
      <c r="CP127" s="54">
        <v>1799</v>
      </c>
      <c r="CQ127" s="41">
        <v>43.48036253776435</v>
      </c>
      <c r="CR127" s="43">
        <v>2924</v>
      </c>
      <c r="CS127" s="52">
        <v>69.288645690834471</v>
      </c>
      <c r="CT127" s="41">
        <v>1689.1879999999999</v>
      </c>
      <c r="CU127" s="41">
        <v>242.00401146131802</v>
      </c>
      <c r="CV127" s="52">
        <v>65</v>
      </c>
      <c r="CW127" s="38">
        <v>1</v>
      </c>
      <c r="CX127" s="38">
        <v>11</v>
      </c>
      <c r="CY127" s="51">
        <v>4</v>
      </c>
      <c r="CZ127" s="41">
        <v>4.4000000000000004</v>
      </c>
      <c r="DA127" s="39">
        <v>4105000</v>
      </c>
      <c r="DB127" s="39">
        <v>5553000</v>
      </c>
      <c r="DC127" s="39">
        <v>3665000</v>
      </c>
      <c r="DD127" s="39">
        <v>4433000</v>
      </c>
      <c r="DE127" s="39">
        <v>3702000</v>
      </c>
      <c r="DF127" s="62">
        <v>3495000</v>
      </c>
      <c r="DG127" s="41">
        <v>105.91999999999999</v>
      </c>
      <c r="DH127" s="41">
        <v>149.35</v>
      </c>
      <c r="DI127" s="41">
        <v>7.86</v>
      </c>
      <c r="DJ127" s="37" t="s">
        <v>390</v>
      </c>
      <c r="DK127" s="40">
        <v>61000</v>
      </c>
      <c r="DL127" s="40">
        <v>130840</v>
      </c>
      <c r="DM127" s="40">
        <v>0</v>
      </c>
      <c r="DN127" s="40">
        <v>24608</v>
      </c>
      <c r="DO127" s="40">
        <v>14251</v>
      </c>
      <c r="DP127" s="40">
        <v>195625</v>
      </c>
      <c r="DQ127" s="64">
        <v>14</v>
      </c>
      <c r="DR127" s="40">
        <v>17542</v>
      </c>
      <c r="DS127" s="98">
        <v>0</v>
      </c>
      <c r="DT127" s="38">
        <v>10</v>
      </c>
      <c r="DU127" s="66">
        <v>698</v>
      </c>
      <c r="DV127" s="41">
        <v>30</v>
      </c>
      <c r="DW127" s="41">
        <v>70</v>
      </c>
      <c r="DX127" s="41">
        <v>0</v>
      </c>
      <c r="DY127" s="41">
        <v>0</v>
      </c>
      <c r="DZ127" s="41">
        <v>0</v>
      </c>
      <c r="EA127" s="41">
        <v>20</v>
      </c>
      <c r="EB127" s="41">
        <v>80</v>
      </c>
      <c r="EC127" s="40">
        <v>94</v>
      </c>
      <c r="ED127" s="184">
        <v>74.255319148936167</v>
      </c>
    </row>
    <row r="128" spans="1:134" s="13" customFormat="1">
      <c r="A128" s="156" t="s">
        <v>275</v>
      </c>
      <c r="B128" s="285">
        <v>2014</v>
      </c>
      <c r="C128" s="259">
        <v>9</v>
      </c>
      <c r="D128" s="80" t="s">
        <v>344</v>
      </c>
      <c r="E128" s="56">
        <v>4392.5</v>
      </c>
      <c r="F128" s="56">
        <v>3578</v>
      </c>
      <c r="G128" s="82">
        <v>2.0536223616657159</v>
      </c>
      <c r="H128" s="179">
        <v>0.8</v>
      </c>
      <c r="I128" s="56">
        <v>1903</v>
      </c>
      <c r="J128" s="56">
        <v>53.186137506987144</v>
      </c>
      <c r="K128" s="56">
        <v>1675</v>
      </c>
      <c r="L128" s="84">
        <v>46.813862493012856</v>
      </c>
      <c r="M128" s="160">
        <v>24.035774175517048</v>
      </c>
      <c r="N128" s="160">
        <v>48.434879821129122</v>
      </c>
      <c r="O128" s="160">
        <v>27.529346003353826</v>
      </c>
      <c r="P128" s="160">
        <v>33.091112353269985</v>
      </c>
      <c r="Q128" s="160">
        <v>39.379541643376186</v>
      </c>
      <c r="R128" s="160">
        <v>27.529346003353826</v>
      </c>
      <c r="S128" s="83">
        <v>2.4426571343461423</v>
      </c>
      <c r="T128" s="83">
        <v>3</v>
      </c>
      <c r="U128" s="38">
        <v>59</v>
      </c>
      <c r="V128" s="41">
        <v>3.5</v>
      </c>
      <c r="W128" s="40">
        <v>41839</v>
      </c>
      <c r="X128" s="41">
        <v>2.2999999999999998</v>
      </c>
      <c r="Y128" s="85" t="s">
        <v>351</v>
      </c>
      <c r="Z128" s="43">
        <v>477</v>
      </c>
      <c r="AA128" s="45">
        <v>11</v>
      </c>
      <c r="AB128" s="67">
        <v>38</v>
      </c>
      <c r="AC128" s="63">
        <v>2499.3629999999998</v>
      </c>
      <c r="AD128" s="43">
        <v>39</v>
      </c>
      <c r="AE128" s="44">
        <v>-2.76</v>
      </c>
      <c r="AF128" s="44">
        <v>3.5314999999999999</v>
      </c>
      <c r="AG128" s="41">
        <v>52.2</v>
      </c>
      <c r="AH128" s="41">
        <v>47.8</v>
      </c>
      <c r="AI128" s="44">
        <v>9.7200000000000006</v>
      </c>
      <c r="AJ128" s="41">
        <v>6.9408000000000003</v>
      </c>
      <c r="AK128" s="41">
        <v>2.7394196902778556</v>
      </c>
      <c r="AL128" s="41">
        <v>6.7982000000000005</v>
      </c>
      <c r="AM128" s="39">
        <v>17140</v>
      </c>
      <c r="AN128" s="39">
        <v>20446</v>
      </c>
      <c r="AO128" s="40">
        <v>18579</v>
      </c>
      <c r="AP128" s="40">
        <v>23479</v>
      </c>
      <c r="AQ128" s="39">
        <v>521000</v>
      </c>
      <c r="AR128" s="44">
        <v>375.36023054755043</v>
      </c>
      <c r="AS128" s="39">
        <v>1388</v>
      </c>
      <c r="AT128" s="46">
        <v>539000</v>
      </c>
      <c r="AU128" s="50">
        <v>384.17676407697792</v>
      </c>
      <c r="AV128" s="39">
        <v>1403</v>
      </c>
      <c r="AW128" s="46">
        <v>537000</v>
      </c>
      <c r="AX128" s="47">
        <v>388.56729377713458</v>
      </c>
      <c r="AY128" s="39">
        <v>1382</v>
      </c>
      <c r="AZ128" s="41">
        <v>62.6</v>
      </c>
      <c r="BA128" s="41">
        <v>25.397973950795951</v>
      </c>
      <c r="BB128" s="46">
        <v>1542000</v>
      </c>
      <c r="BC128" s="48">
        <v>1703.8674033149171</v>
      </c>
      <c r="BD128" s="40">
        <v>905</v>
      </c>
      <c r="BE128" s="46">
        <v>157000</v>
      </c>
      <c r="BF128" s="47">
        <v>839.57219251336903</v>
      </c>
      <c r="BG128" s="40">
        <v>187</v>
      </c>
      <c r="BH128" s="49" t="s">
        <v>382</v>
      </c>
      <c r="BI128" s="49" t="s">
        <v>382</v>
      </c>
      <c r="BJ128" s="213">
        <v>0</v>
      </c>
      <c r="BK128" s="47">
        <v>206.10586717352416</v>
      </c>
      <c r="BL128" s="55">
        <v>1571000</v>
      </c>
      <c r="BM128" s="41">
        <v>8.4557834113784391</v>
      </c>
      <c r="BN128" s="56">
        <v>2351000</v>
      </c>
      <c r="BO128" s="41">
        <v>12.654071801496315</v>
      </c>
      <c r="BP128" s="56">
        <v>1115000</v>
      </c>
      <c r="BQ128" s="41">
        <v>6.0013994294633726</v>
      </c>
      <c r="BR128" s="39">
        <v>2167000</v>
      </c>
      <c r="BS128" s="41">
        <v>11.663706335109532</v>
      </c>
      <c r="BT128" s="39">
        <v>2583000</v>
      </c>
      <c r="BU128" s="41">
        <v>13.902793476505732</v>
      </c>
      <c r="BV128" s="56">
        <v>3050000</v>
      </c>
      <c r="BW128" s="41">
        <v>16.416384089563486</v>
      </c>
      <c r="BX128" s="40">
        <v>5742000</v>
      </c>
      <c r="BY128" s="41">
        <v>30.905861456483123</v>
      </c>
      <c r="BZ128" s="57">
        <v>439.07210732252656</v>
      </c>
      <c r="CA128" s="58">
        <v>311.62660704304079</v>
      </c>
      <c r="CB128" s="59">
        <v>494.41028507546116</v>
      </c>
      <c r="CC128" s="47">
        <v>605.64561207378426</v>
      </c>
      <c r="CD128" s="58">
        <v>661.26327557294576</v>
      </c>
      <c r="CE128" s="59">
        <v>162.6607043040805</v>
      </c>
      <c r="CF128" s="59">
        <v>1604.8071548351033</v>
      </c>
      <c r="CG128" s="59">
        <v>60.648406931246505</v>
      </c>
      <c r="CH128" s="47">
        <v>852.43152599217444</v>
      </c>
      <c r="CI128" s="43">
        <v>1195</v>
      </c>
      <c r="CJ128" s="44">
        <v>326.33863965267727</v>
      </c>
      <c r="CK128" s="60">
        <v>18.484848484848484</v>
      </c>
      <c r="CL128" s="53">
        <v>305</v>
      </c>
      <c r="CM128" s="41">
        <v>18.484848484848484</v>
      </c>
      <c r="CN128" s="53" t="s">
        <v>382</v>
      </c>
      <c r="CO128" s="41">
        <v>0</v>
      </c>
      <c r="CP128" s="54">
        <v>1345</v>
      </c>
      <c r="CQ128" s="41">
        <v>81.515151515151516</v>
      </c>
      <c r="CR128" s="43">
        <v>1767</v>
      </c>
      <c r="CS128" s="52">
        <v>46.123372948500283</v>
      </c>
      <c r="CT128" s="41">
        <v>556.44000000000005</v>
      </c>
      <c r="CU128" s="41">
        <v>155.51704863051987</v>
      </c>
      <c r="CV128" s="52">
        <v>107</v>
      </c>
      <c r="CW128" s="38">
        <v>2</v>
      </c>
      <c r="CX128" s="38">
        <v>5</v>
      </c>
      <c r="CY128" s="51">
        <v>1</v>
      </c>
      <c r="CZ128" s="97">
        <v>6.3627724986025713</v>
      </c>
      <c r="DA128" s="39">
        <v>1892000</v>
      </c>
      <c r="DB128" s="39">
        <v>3116000</v>
      </c>
      <c r="DC128" s="39">
        <v>2449000</v>
      </c>
      <c r="DD128" s="39">
        <v>2324000</v>
      </c>
      <c r="DE128" s="39">
        <v>1581000</v>
      </c>
      <c r="DF128" s="62">
        <v>1814000</v>
      </c>
      <c r="DG128" s="41">
        <v>87.160000000000011</v>
      </c>
      <c r="DH128" s="41">
        <v>263.37</v>
      </c>
      <c r="DI128" s="41">
        <v>1.38</v>
      </c>
      <c r="DJ128" s="37" t="s">
        <v>390</v>
      </c>
      <c r="DK128" s="40">
        <v>41000</v>
      </c>
      <c r="DL128" s="40">
        <v>108000</v>
      </c>
      <c r="DM128" s="40">
        <v>0</v>
      </c>
      <c r="DN128" s="40">
        <v>4709.13</v>
      </c>
      <c r="DO128" s="40">
        <v>35036.639999999999</v>
      </c>
      <c r="DP128" s="40">
        <v>193000</v>
      </c>
      <c r="DQ128" s="64">
        <v>0</v>
      </c>
      <c r="DR128" s="40">
        <v>0</v>
      </c>
      <c r="DS128" s="98">
        <v>0</v>
      </c>
      <c r="DT128" s="38">
        <v>8</v>
      </c>
      <c r="DU128" s="66">
        <v>447.25</v>
      </c>
      <c r="DV128" s="41">
        <v>25</v>
      </c>
      <c r="DW128" s="41">
        <v>75</v>
      </c>
      <c r="DX128" s="41">
        <v>12.5</v>
      </c>
      <c r="DY128" s="41">
        <v>0</v>
      </c>
      <c r="DZ128" s="41">
        <v>0</v>
      </c>
      <c r="EA128" s="41">
        <v>25</v>
      </c>
      <c r="EB128" s="41">
        <v>75</v>
      </c>
      <c r="EC128" s="40">
        <v>90</v>
      </c>
      <c r="ED128" s="184">
        <v>39.755555555555553</v>
      </c>
    </row>
    <row r="129" spans="1:134" s="13" customFormat="1">
      <c r="A129" s="156" t="s">
        <v>276</v>
      </c>
      <c r="B129" s="285">
        <v>2014</v>
      </c>
      <c r="C129" s="259">
        <v>11</v>
      </c>
      <c r="D129" s="80" t="s">
        <v>345</v>
      </c>
      <c r="E129" s="56">
        <v>4566.6000000000004</v>
      </c>
      <c r="F129" s="56">
        <v>11375</v>
      </c>
      <c r="G129" s="82">
        <v>2.1003500583430572</v>
      </c>
      <c r="H129" s="179">
        <v>2.5</v>
      </c>
      <c r="I129" s="56">
        <v>5782</v>
      </c>
      <c r="J129" s="56">
        <v>50.830769230769235</v>
      </c>
      <c r="K129" s="56">
        <v>5593</v>
      </c>
      <c r="L129" s="84">
        <v>49.169230769230772</v>
      </c>
      <c r="M129" s="160">
        <v>25.890109890109891</v>
      </c>
      <c r="N129" s="160">
        <v>47.446153846153841</v>
      </c>
      <c r="O129" s="160">
        <v>26.663736263736265</v>
      </c>
      <c r="P129" s="160">
        <v>36.21098901098901</v>
      </c>
      <c r="Q129" s="160">
        <v>37.125274725274728</v>
      </c>
      <c r="R129" s="160">
        <v>26.663736263736265</v>
      </c>
      <c r="S129" s="83">
        <v>4.4905798426925188</v>
      </c>
      <c r="T129" s="83">
        <v>3.2</v>
      </c>
      <c r="U129" s="38">
        <v>41</v>
      </c>
      <c r="V129" s="41">
        <v>4.7</v>
      </c>
      <c r="W129" s="40">
        <v>45409</v>
      </c>
      <c r="X129" s="41">
        <v>2.4</v>
      </c>
      <c r="Y129" s="85" t="s">
        <v>95</v>
      </c>
      <c r="Z129" s="43">
        <v>1092</v>
      </c>
      <c r="AA129" s="45">
        <v>6</v>
      </c>
      <c r="AB129" s="63">
        <v>143</v>
      </c>
      <c r="AC129" s="63">
        <v>13697.531999999999</v>
      </c>
      <c r="AD129" s="43">
        <v>28</v>
      </c>
      <c r="AE129" s="44">
        <v>-2.89</v>
      </c>
      <c r="AF129" s="44">
        <v>5.0331000000000001</v>
      </c>
      <c r="AG129" s="41">
        <v>78.61</v>
      </c>
      <c r="AH129" s="41">
        <v>21.39</v>
      </c>
      <c r="AI129" s="44">
        <v>3.72</v>
      </c>
      <c r="AJ129" s="41">
        <v>5.5976999999999997</v>
      </c>
      <c r="AK129" s="41">
        <v>4.3398295193293954</v>
      </c>
      <c r="AL129" s="41">
        <v>9.3835999999999995</v>
      </c>
      <c r="AM129" s="39">
        <v>32249</v>
      </c>
      <c r="AN129" s="39">
        <v>29291</v>
      </c>
      <c r="AO129" s="40">
        <v>29951</v>
      </c>
      <c r="AP129" s="40">
        <v>28852</v>
      </c>
      <c r="AQ129" s="39">
        <v>2802000</v>
      </c>
      <c r="AR129" s="44">
        <v>605.7068741893645</v>
      </c>
      <c r="AS129" s="39">
        <v>4626</v>
      </c>
      <c r="AT129" s="46">
        <v>2891000</v>
      </c>
      <c r="AU129" s="50">
        <v>697.46682750301568</v>
      </c>
      <c r="AV129" s="39">
        <v>4145</v>
      </c>
      <c r="AW129" s="46">
        <v>2903000</v>
      </c>
      <c r="AX129" s="47">
        <v>640.9803488628836</v>
      </c>
      <c r="AY129" s="39">
        <v>4529</v>
      </c>
      <c r="AZ129" s="41">
        <v>62.1</v>
      </c>
      <c r="BA129" s="41">
        <v>26.915433870611615</v>
      </c>
      <c r="BB129" s="46">
        <v>1992000</v>
      </c>
      <c r="BC129" s="48">
        <v>1587.2509960159362</v>
      </c>
      <c r="BD129" s="40">
        <v>1255</v>
      </c>
      <c r="BE129" s="46">
        <v>918000</v>
      </c>
      <c r="BF129" s="47">
        <v>2175.355450236967</v>
      </c>
      <c r="BG129" s="40">
        <v>422</v>
      </c>
      <c r="BH129" s="49" t="s">
        <v>382</v>
      </c>
      <c r="BI129" s="49" t="s">
        <v>382</v>
      </c>
      <c r="BJ129" s="213">
        <v>0</v>
      </c>
      <c r="BK129" s="47">
        <v>136.93273180801651</v>
      </c>
      <c r="BL129" s="55">
        <v>8946000</v>
      </c>
      <c r="BM129" s="41">
        <v>29.868785683282695</v>
      </c>
      <c r="BN129" s="56">
        <v>8370000</v>
      </c>
      <c r="BO129" s="41">
        <v>27.945644552769522</v>
      </c>
      <c r="BP129" s="56">
        <v>1827000</v>
      </c>
      <c r="BQ129" s="41">
        <v>6.0999632733464662</v>
      </c>
      <c r="BR129" s="39">
        <v>1238000</v>
      </c>
      <c r="BS129" s="41">
        <v>4.1334179159293516</v>
      </c>
      <c r="BT129" s="39">
        <v>2642000</v>
      </c>
      <c r="BU129" s="41">
        <v>8.8210744215552062</v>
      </c>
      <c r="BV129" s="56">
        <v>575000</v>
      </c>
      <c r="BW129" s="41">
        <v>1.9198023438282525</v>
      </c>
      <c r="BX129" s="40">
        <v>6353000</v>
      </c>
      <c r="BY129" s="41">
        <v>21.211311809288507</v>
      </c>
      <c r="BZ129" s="57">
        <v>786.46153846153845</v>
      </c>
      <c r="CA129" s="58">
        <v>160.61538461538461</v>
      </c>
      <c r="CB129" s="59">
        <v>658.37362637362639</v>
      </c>
      <c r="CC129" s="47">
        <v>108.83516483516483</v>
      </c>
      <c r="CD129" s="58">
        <v>184.26373626373626</v>
      </c>
      <c r="CE129" s="59">
        <v>77.450549450549445</v>
      </c>
      <c r="CF129" s="59">
        <v>558.50549450549454</v>
      </c>
      <c r="CG129" s="59">
        <v>48</v>
      </c>
      <c r="CH129" s="47">
        <v>50.549450549450547</v>
      </c>
      <c r="CI129" s="43">
        <v>1138</v>
      </c>
      <c r="CJ129" s="44">
        <v>332.3029366306028</v>
      </c>
      <c r="CK129" s="60">
        <v>23.757129426512066</v>
      </c>
      <c r="CL129" s="53">
        <v>758.09</v>
      </c>
      <c r="CM129" s="41">
        <v>23.757129426512066</v>
      </c>
      <c r="CN129" s="53" t="s">
        <v>382</v>
      </c>
      <c r="CO129" s="41">
        <v>0</v>
      </c>
      <c r="CP129" s="54">
        <v>2432.91</v>
      </c>
      <c r="CQ129" s="41">
        <v>76.242870573487934</v>
      </c>
      <c r="CR129" s="43">
        <v>6874</v>
      </c>
      <c r="CS129" s="52">
        <v>60.459703229560667</v>
      </c>
      <c r="CT129" s="41">
        <v>635.29999999999995</v>
      </c>
      <c r="CU129" s="41">
        <v>55.850549450549444</v>
      </c>
      <c r="CV129" s="52">
        <v>224</v>
      </c>
      <c r="CW129" s="38">
        <v>3</v>
      </c>
      <c r="CX129" s="38">
        <v>4</v>
      </c>
      <c r="CY129" s="51">
        <v>4</v>
      </c>
      <c r="CZ129" s="41">
        <v>4.7366153846153844</v>
      </c>
      <c r="DA129" s="39">
        <v>4603000</v>
      </c>
      <c r="DB129" s="39">
        <v>2076000</v>
      </c>
      <c r="DC129" s="39">
        <v>2372000</v>
      </c>
      <c r="DD129" s="39">
        <v>2372000</v>
      </c>
      <c r="DE129" s="39">
        <v>2292000</v>
      </c>
      <c r="DF129" s="62">
        <v>2330000</v>
      </c>
      <c r="DG129" s="41">
        <v>98.37</v>
      </c>
      <c r="DH129" s="41">
        <v>45.769999999999996</v>
      </c>
      <c r="DI129" s="41">
        <v>0</v>
      </c>
      <c r="DJ129" s="37" t="s">
        <v>390</v>
      </c>
      <c r="DK129" s="40">
        <v>80000</v>
      </c>
      <c r="DL129" s="40">
        <v>79000</v>
      </c>
      <c r="DM129" s="40">
        <v>0</v>
      </c>
      <c r="DN129" s="40">
        <v>13922.69</v>
      </c>
      <c r="DO129" s="40">
        <v>2789.09</v>
      </c>
      <c r="DP129" s="40">
        <v>226633</v>
      </c>
      <c r="DQ129" s="64">
        <v>0</v>
      </c>
      <c r="DR129" s="40">
        <v>0</v>
      </c>
      <c r="DS129" s="98">
        <v>0</v>
      </c>
      <c r="DT129" s="38">
        <v>7</v>
      </c>
      <c r="DU129" s="66">
        <v>1625</v>
      </c>
      <c r="DV129" s="41">
        <v>42.857142857142854</v>
      </c>
      <c r="DW129" s="41">
        <v>57.142857142857139</v>
      </c>
      <c r="DX129" s="41">
        <v>14.285714285714285</v>
      </c>
      <c r="DY129" s="41">
        <v>0</v>
      </c>
      <c r="DZ129" s="41">
        <v>0</v>
      </c>
      <c r="EA129" s="41">
        <v>57.142857142857139</v>
      </c>
      <c r="EB129" s="41">
        <v>42.857142857142854</v>
      </c>
      <c r="EC129" s="40">
        <v>130</v>
      </c>
      <c r="ED129" s="184">
        <v>87.5</v>
      </c>
    </row>
    <row r="130" spans="1:134" s="13" customFormat="1">
      <c r="A130" s="156" t="s">
        <v>277</v>
      </c>
      <c r="B130" s="285">
        <v>2014</v>
      </c>
      <c r="C130" s="259">
        <v>5</v>
      </c>
      <c r="D130" s="80" t="s">
        <v>342</v>
      </c>
      <c r="E130" s="56">
        <v>1307.4000000000001</v>
      </c>
      <c r="F130" s="56">
        <v>91210</v>
      </c>
      <c r="G130" s="82">
        <v>5.3975664151423057</v>
      </c>
      <c r="H130" s="179">
        <v>69.8</v>
      </c>
      <c r="I130" s="56">
        <v>43926</v>
      </c>
      <c r="J130" s="56">
        <v>48.159193070935203</v>
      </c>
      <c r="K130" s="56">
        <v>47284</v>
      </c>
      <c r="L130" s="84">
        <v>51.840806929064797</v>
      </c>
      <c r="M130" s="160">
        <v>23.539085626576036</v>
      </c>
      <c r="N130" s="160">
        <v>46.269049446332637</v>
      </c>
      <c r="O130" s="160">
        <v>30.191864927091327</v>
      </c>
      <c r="P130" s="160">
        <v>32.70913277052955</v>
      </c>
      <c r="Q130" s="160">
        <v>37.099002302379127</v>
      </c>
      <c r="R130" s="160">
        <v>30.191864927091327</v>
      </c>
      <c r="S130" s="83">
        <v>3.4603092541241711</v>
      </c>
      <c r="T130" s="83">
        <v>3.7</v>
      </c>
      <c r="U130" s="38">
        <v>68</v>
      </c>
      <c r="V130" s="41">
        <v>8.9</v>
      </c>
      <c r="W130" s="40">
        <v>39594</v>
      </c>
      <c r="X130" s="41">
        <v>2.4</v>
      </c>
      <c r="Y130" s="85" t="s">
        <v>350</v>
      </c>
      <c r="Z130" s="43">
        <v>6646</v>
      </c>
      <c r="AA130" s="45">
        <v>28</v>
      </c>
      <c r="AB130" s="63">
        <v>956</v>
      </c>
      <c r="AC130" s="63">
        <v>244554.04199999999</v>
      </c>
      <c r="AD130" s="43">
        <v>60</v>
      </c>
      <c r="AE130" s="44">
        <v>1.63</v>
      </c>
      <c r="AF130" s="44">
        <v>3.5893000000000002</v>
      </c>
      <c r="AG130" s="41">
        <v>69.41</v>
      </c>
      <c r="AH130" s="41">
        <v>30.590000000000003</v>
      </c>
      <c r="AI130" s="44">
        <v>5.05</v>
      </c>
      <c r="AJ130" s="41">
        <v>2.9401999999999999</v>
      </c>
      <c r="AK130" s="41">
        <v>12.34748802060869</v>
      </c>
      <c r="AL130" s="41">
        <v>16.116500000000002</v>
      </c>
      <c r="AM130" s="39">
        <v>169491</v>
      </c>
      <c r="AN130" s="39">
        <v>180164</v>
      </c>
      <c r="AO130" s="40">
        <v>172170</v>
      </c>
      <c r="AP130" s="40">
        <v>214856</v>
      </c>
      <c r="AQ130" s="39">
        <v>41547350</v>
      </c>
      <c r="AR130" s="44">
        <v>1167.2571219868516</v>
      </c>
      <c r="AS130" s="39">
        <v>35594</v>
      </c>
      <c r="AT130" s="46">
        <v>43104000</v>
      </c>
      <c r="AU130" s="50">
        <v>1199.3989648839668</v>
      </c>
      <c r="AV130" s="39">
        <v>35938</v>
      </c>
      <c r="AW130" s="46">
        <v>44734000</v>
      </c>
      <c r="AX130" s="47">
        <v>1231.4595606452679</v>
      </c>
      <c r="AY130" s="39">
        <v>36326</v>
      </c>
      <c r="AZ130" s="41">
        <v>68.300000000000011</v>
      </c>
      <c r="BA130" s="41">
        <v>24.225072950503769</v>
      </c>
      <c r="BB130" s="46">
        <v>3135000</v>
      </c>
      <c r="BC130" s="48">
        <v>2043.6766623207302</v>
      </c>
      <c r="BD130" s="40">
        <v>1534</v>
      </c>
      <c r="BE130" s="46">
        <v>5181000</v>
      </c>
      <c r="BF130" s="47">
        <v>2904.1479820627801</v>
      </c>
      <c r="BG130" s="40">
        <v>1784</v>
      </c>
      <c r="BH130" s="49" t="s">
        <v>382</v>
      </c>
      <c r="BI130" s="49" t="s">
        <v>382</v>
      </c>
      <c r="BJ130" s="213">
        <v>0</v>
      </c>
      <c r="BK130" s="47">
        <v>184.26186049010369</v>
      </c>
      <c r="BL130" s="55">
        <v>20319000</v>
      </c>
      <c r="BM130" s="41">
        <v>11.801707614566997</v>
      </c>
      <c r="BN130" s="56">
        <v>55616000</v>
      </c>
      <c r="BO130" s="41">
        <v>32.302956380321774</v>
      </c>
      <c r="BP130" s="56">
        <v>24819000</v>
      </c>
      <c r="BQ130" s="41">
        <v>14.415403380379857</v>
      </c>
      <c r="BR130" s="39">
        <v>9543000</v>
      </c>
      <c r="BS130" s="41">
        <v>5.5427774873671369</v>
      </c>
      <c r="BT130" s="39">
        <v>20683000</v>
      </c>
      <c r="BU130" s="41">
        <v>12.013126560957193</v>
      </c>
      <c r="BV130" s="56">
        <v>28047000</v>
      </c>
      <c r="BW130" s="41">
        <v>16.290294476389615</v>
      </c>
      <c r="BX130" s="40">
        <v>13143000</v>
      </c>
      <c r="BY130" s="41">
        <v>7.633734100017425</v>
      </c>
      <c r="BZ130" s="57">
        <v>222.77162591821073</v>
      </c>
      <c r="CA130" s="58">
        <v>272.10832145598073</v>
      </c>
      <c r="CB130" s="59">
        <v>553.13013923911853</v>
      </c>
      <c r="CC130" s="47">
        <v>104.62668567043087</v>
      </c>
      <c r="CD130" s="58">
        <v>198.75013704637649</v>
      </c>
      <c r="CE130" s="59">
        <v>56.627562767240434</v>
      </c>
      <c r="CF130" s="59">
        <v>144.09604210064686</v>
      </c>
      <c r="CG130" s="59">
        <v>28.012279355333845</v>
      </c>
      <c r="CH130" s="47">
        <v>307.49917772174103</v>
      </c>
      <c r="CI130" s="43">
        <v>1316</v>
      </c>
      <c r="CJ130" s="44">
        <v>308.26405329516047</v>
      </c>
      <c r="CK130" s="60">
        <v>45.392350653383744</v>
      </c>
      <c r="CL130" s="53">
        <v>9676.6299999999992</v>
      </c>
      <c r="CM130" s="41">
        <v>23.849689698176636</v>
      </c>
      <c r="CN130" s="53">
        <v>8740.59</v>
      </c>
      <c r="CO130" s="41">
        <v>21.542660955207104</v>
      </c>
      <c r="CP130" s="54">
        <v>22156.19</v>
      </c>
      <c r="CQ130" s="41">
        <v>54.607673993305951</v>
      </c>
      <c r="CR130" s="43">
        <v>32123</v>
      </c>
      <c r="CS130" s="52">
        <v>72.530585561747031</v>
      </c>
      <c r="CT130" s="41">
        <v>1245</v>
      </c>
      <c r="CU130" s="41">
        <v>13.649819098783029</v>
      </c>
      <c r="CV130" s="52">
        <v>955</v>
      </c>
      <c r="CW130" s="38">
        <v>3</v>
      </c>
      <c r="CX130" s="38">
        <v>19</v>
      </c>
      <c r="CY130" s="51">
        <v>3</v>
      </c>
      <c r="CZ130" s="41">
        <v>7.0606841355114573</v>
      </c>
      <c r="DA130" s="39">
        <v>13693000</v>
      </c>
      <c r="DB130" s="39">
        <v>20395000</v>
      </c>
      <c r="DC130" s="39">
        <v>15014000</v>
      </c>
      <c r="DD130" s="39">
        <v>18389200</v>
      </c>
      <c r="DE130" s="39">
        <v>14288000</v>
      </c>
      <c r="DF130" s="62">
        <v>15462000</v>
      </c>
      <c r="DG130" s="41">
        <v>92.41</v>
      </c>
      <c r="DH130" s="41">
        <v>39.589999999999996</v>
      </c>
      <c r="DI130" s="41">
        <v>4.87</v>
      </c>
      <c r="DJ130" s="37" t="s">
        <v>390</v>
      </c>
      <c r="DK130" s="40">
        <v>33000</v>
      </c>
      <c r="DL130" s="40">
        <v>176000</v>
      </c>
      <c r="DM130" s="40">
        <v>0</v>
      </c>
      <c r="DN130" s="40">
        <v>26187</v>
      </c>
      <c r="DO130" s="40">
        <v>0</v>
      </c>
      <c r="DP130" s="40">
        <v>302031</v>
      </c>
      <c r="DQ130" s="64">
        <v>8</v>
      </c>
      <c r="DR130" s="40">
        <v>13500</v>
      </c>
      <c r="DS130" s="98">
        <v>0</v>
      </c>
      <c r="DT130" s="38">
        <v>7</v>
      </c>
      <c r="DU130" s="66">
        <v>13030</v>
      </c>
      <c r="DV130" s="41">
        <v>28.571428571428569</v>
      </c>
      <c r="DW130" s="41">
        <v>71.428571428571431</v>
      </c>
      <c r="DX130" s="41">
        <v>0</v>
      </c>
      <c r="DY130" s="41">
        <v>0</v>
      </c>
      <c r="DZ130" s="41">
        <v>0</v>
      </c>
      <c r="EA130" s="41">
        <v>57.142857142857139</v>
      </c>
      <c r="EB130" s="41">
        <v>42.857142857142854</v>
      </c>
      <c r="EC130" s="40">
        <v>675</v>
      </c>
      <c r="ED130" s="184">
        <v>135.12592592592591</v>
      </c>
    </row>
    <row r="131" spans="1:134" s="13" customFormat="1">
      <c r="A131" s="156" t="s">
        <v>278</v>
      </c>
      <c r="B131" s="285">
        <v>2014</v>
      </c>
      <c r="C131" s="259">
        <v>11</v>
      </c>
      <c r="D131" s="80" t="s">
        <v>345</v>
      </c>
      <c r="E131" s="56">
        <v>8096.1</v>
      </c>
      <c r="F131" s="56">
        <v>14658</v>
      </c>
      <c r="G131" s="82">
        <v>6.2096949496413307</v>
      </c>
      <c r="H131" s="179">
        <v>1.8</v>
      </c>
      <c r="I131" s="56">
        <v>7459</v>
      </c>
      <c r="J131" s="56">
        <v>50.886887706371944</v>
      </c>
      <c r="K131" s="56">
        <v>7199</v>
      </c>
      <c r="L131" s="84">
        <v>49.113112293628056</v>
      </c>
      <c r="M131" s="160">
        <v>27.084186109974073</v>
      </c>
      <c r="N131" s="160">
        <v>50.191021967526261</v>
      </c>
      <c r="O131" s="160">
        <v>22.724791922499659</v>
      </c>
      <c r="P131" s="160">
        <v>38.975303588484103</v>
      </c>
      <c r="Q131" s="160">
        <v>38.299904489016235</v>
      </c>
      <c r="R131" s="160">
        <v>22.724791922499659</v>
      </c>
      <c r="S131" s="83">
        <v>3.9046026321529848</v>
      </c>
      <c r="T131" s="83">
        <v>1.9</v>
      </c>
      <c r="U131" s="38">
        <v>86</v>
      </c>
      <c r="V131" s="41">
        <v>6.5</v>
      </c>
      <c r="W131" s="40">
        <v>50561</v>
      </c>
      <c r="X131" s="41">
        <v>2.4</v>
      </c>
      <c r="Y131" s="85" t="s">
        <v>351</v>
      </c>
      <c r="Z131" s="43">
        <v>1676</v>
      </c>
      <c r="AA131" s="45">
        <v>8</v>
      </c>
      <c r="AB131" s="63">
        <v>165</v>
      </c>
      <c r="AC131" s="63">
        <v>19020.804</v>
      </c>
      <c r="AD131" s="43">
        <v>62</v>
      </c>
      <c r="AE131" s="44">
        <v>1.44</v>
      </c>
      <c r="AF131" s="44">
        <v>4.3052000000000001</v>
      </c>
      <c r="AG131" s="41">
        <v>66.13</v>
      </c>
      <c r="AH131" s="41">
        <v>33.870000000000005</v>
      </c>
      <c r="AI131" s="44">
        <v>6.05</v>
      </c>
      <c r="AJ131" s="41">
        <v>4.9861000000000004</v>
      </c>
      <c r="AK131" s="41">
        <v>5.0934449093444911</v>
      </c>
      <c r="AL131" s="41">
        <v>8.6098999999999997</v>
      </c>
      <c r="AM131" s="39">
        <v>36023</v>
      </c>
      <c r="AN131" s="39">
        <v>38519</v>
      </c>
      <c r="AO131" s="40">
        <v>37084</v>
      </c>
      <c r="AP131" s="40">
        <v>40669</v>
      </c>
      <c r="AQ131" s="39">
        <v>3050000</v>
      </c>
      <c r="AR131" s="44">
        <v>610</v>
      </c>
      <c r="AS131" s="39">
        <v>5000</v>
      </c>
      <c r="AT131" s="46">
        <v>3262000</v>
      </c>
      <c r="AU131" s="50">
        <v>635.37202960654463</v>
      </c>
      <c r="AV131" s="39">
        <v>5134</v>
      </c>
      <c r="AW131" s="46">
        <v>3488000</v>
      </c>
      <c r="AX131" s="47">
        <v>674.66150870406193</v>
      </c>
      <c r="AY131" s="39">
        <v>5170</v>
      </c>
      <c r="AZ131" s="41">
        <v>65.600000000000009</v>
      </c>
      <c r="BA131" s="41">
        <v>20.502901353965182</v>
      </c>
      <c r="BB131" s="46">
        <v>5069000</v>
      </c>
      <c r="BC131" s="48">
        <v>3035.3293413173651</v>
      </c>
      <c r="BD131" s="40">
        <v>1670</v>
      </c>
      <c r="BE131" s="46">
        <v>576000</v>
      </c>
      <c r="BF131" s="47">
        <v>963.21070234113711</v>
      </c>
      <c r="BG131" s="40">
        <v>598</v>
      </c>
      <c r="BH131" s="46">
        <v>84000</v>
      </c>
      <c r="BI131" s="49">
        <v>3652.1739130434785</v>
      </c>
      <c r="BJ131" s="45">
        <v>23</v>
      </c>
      <c r="BK131" s="47">
        <v>198.53230324400565</v>
      </c>
      <c r="BL131" s="55">
        <v>1790000</v>
      </c>
      <c r="BM131" s="41">
        <v>4.8268795167727321</v>
      </c>
      <c r="BN131" s="56">
        <v>8099000</v>
      </c>
      <c r="BO131" s="41">
        <v>21.839607377844892</v>
      </c>
      <c r="BP131" s="56">
        <v>4013000</v>
      </c>
      <c r="BQ131" s="41">
        <v>10.821378492072052</v>
      </c>
      <c r="BR131" s="39">
        <v>4473000</v>
      </c>
      <c r="BS131" s="41">
        <v>12.061805630460576</v>
      </c>
      <c r="BT131" s="39">
        <v>3633000</v>
      </c>
      <c r="BU131" s="41">
        <v>9.7966778125337086</v>
      </c>
      <c r="BV131" s="56">
        <v>9838000</v>
      </c>
      <c r="BW131" s="41">
        <v>26.528961277100638</v>
      </c>
      <c r="BX131" s="40">
        <v>5238000</v>
      </c>
      <c r="BY131" s="41">
        <v>14.124689893215404</v>
      </c>
      <c r="BZ131" s="57">
        <v>122.11761495429117</v>
      </c>
      <c r="CA131" s="58">
        <v>273.77541274389409</v>
      </c>
      <c r="CB131" s="59">
        <v>468.00382043935053</v>
      </c>
      <c r="CC131" s="47">
        <v>305.15759312320915</v>
      </c>
      <c r="CD131" s="58">
        <v>205.89439214081048</v>
      </c>
      <c r="CE131" s="59">
        <v>84.527220630372497</v>
      </c>
      <c r="CF131" s="59">
        <v>357.34752353663526</v>
      </c>
      <c r="CG131" s="59">
        <v>41.956610724519031</v>
      </c>
      <c r="CH131" s="47">
        <v>671.1693273297858</v>
      </c>
      <c r="CI131" s="43">
        <v>1275</v>
      </c>
      <c r="CJ131" s="44">
        <v>374.468085106383</v>
      </c>
      <c r="CK131" s="60">
        <v>33.504889448505139</v>
      </c>
      <c r="CL131" s="53">
        <v>1990.7759999999998</v>
      </c>
      <c r="CM131" s="41">
        <v>12.345640425725083</v>
      </c>
      <c r="CN131" s="53">
        <v>1347</v>
      </c>
      <c r="CO131" s="41">
        <v>8.3533143123343301</v>
      </c>
      <c r="CP131" s="54">
        <v>10722.56</v>
      </c>
      <c r="CQ131" s="41">
        <v>66.495110551494861</v>
      </c>
      <c r="CR131" s="43">
        <v>9323</v>
      </c>
      <c r="CS131" s="52">
        <v>51.464120991097282</v>
      </c>
      <c r="CT131" s="41">
        <v>1769.4999999999998</v>
      </c>
      <c r="CU131" s="41">
        <v>120.71906126347386</v>
      </c>
      <c r="CV131" s="52">
        <v>175.1</v>
      </c>
      <c r="CW131" s="38">
        <v>3</v>
      </c>
      <c r="CX131" s="38">
        <v>10</v>
      </c>
      <c r="CY131" s="51">
        <v>5</v>
      </c>
      <c r="CZ131" s="41">
        <v>3.1316004911993449</v>
      </c>
      <c r="DA131" s="39">
        <v>8026000</v>
      </c>
      <c r="DB131" s="39">
        <v>7437000</v>
      </c>
      <c r="DC131" s="39">
        <v>8201000</v>
      </c>
      <c r="DD131" s="39">
        <v>6833000</v>
      </c>
      <c r="DE131" s="39">
        <v>7911000</v>
      </c>
      <c r="DF131" s="62">
        <v>7883000</v>
      </c>
      <c r="DG131" s="41">
        <v>100.36</v>
      </c>
      <c r="DH131" s="41">
        <v>123.13000000000001</v>
      </c>
      <c r="DI131" s="41">
        <v>1.24</v>
      </c>
      <c r="DJ131" s="37" t="s">
        <v>390</v>
      </c>
      <c r="DK131" s="40">
        <v>38000</v>
      </c>
      <c r="DL131" s="40">
        <v>117000</v>
      </c>
      <c r="DM131" s="40">
        <v>0</v>
      </c>
      <c r="DN131" s="40">
        <v>4679</v>
      </c>
      <c r="DO131" s="40">
        <v>17958</v>
      </c>
      <c r="DP131" s="40">
        <v>229029</v>
      </c>
      <c r="DQ131" s="64">
        <v>0</v>
      </c>
      <c r="DR131" s="40">
        <v>0</v>
      </c>
      <c r="DS131" s="98">
        <v>0</v>
      </c>
      <c r="DT131" s="38">
        <v>9</v>
      </c>
      <c r="DU131" s="66">
        <v>1628.6666666666667</v>
      </c>
      <c r="DV131" s="41">
        <v>33.333333333333329</v>
      </c>
      <c r="DW131" s="41">
        <v>66.666666666666657</v>
      </c>
      <c r="DX131" s="41">
        <v>11.111111111111111</v>
      </c>
      <c r="DY131" s="41">
        <v>0</v>
      </c>
      <c r="DZ131" s="41">
        <v>0</v>
      </c>
      <c r="EA131" s="41">
        <v>55.555555555555557</v>
      </c>
      <c r="EB131" s="41">
        <v>44.444444444444443</v>
      </c>
      <c r="EC131" s="40">
        <v>198</v>
      </c>
      <c r="ED131" s="184">
        <v>74.030303030303031</v>
      </c>
    </row>
    <row r="132" spans="1:134" s="13" customFormat="1">
      <c r="A132" s="156" t="s">
        <v>279</v>
      </c>
      <c r="B132" s="285">
        <v>2014</v>
      </c>
      <c r="C132" s="259">
        <v>10</v>
      </c>
      <c r="D132" s="80" t="s">
        <v>345</v>
      </c>
      <c r="E132" s="56">
        <v>7127.5</v>
      </c>
      <c r="F132" s="56">
        <v>7761</v>
      </c>
      <c r="G132" s="82">
        <v>5.8366289376789853</v>
      </c>
      <c r="H132" s="179">
        <v>1.1000000000000001</v>
      </c>
      <c r="I132" s="56">
        <v>3848</v>
      </c>
      <c r="J132" s="56">
        <v>49.581239530988277</v>
      </c>
      <c r="K132" s="56">
        <v>3913</v>
      </c>
      <c r="L132" s="84">
        <v>50.418760469011723</v>
      </c>
      <c r="M132" s="160">
        <v>24.597345702873341</v>
      </c>
      <c r="N132" s="160">
        <v>44.388609715242886</v>
      </c>
      <c r="O132" s="160">
        <v>31.014044581883777</v>
      </c>
      <c r="P132" s="160">
        <v>31.761370957350859</v>
      </c>
      <c r="Q132" s="160">
        <v>37.224584460765364</v>
      </c>
      <c r="R132" s="160">
        <v>31.014044581883777</v>
      </c>
      <c r="S132" s="83">
        <v>1.6824249165739709</v>
      </c>
      <c r="T132" s="83">
        <v>2</v>
      </c>
      <c r="U132" s="38">
        <v>113</v>
      </c>
      <c r="V132" s="41">
        <v>2.2999999999999998</v>
      </c>
      <c r="W132" s="40">
        <v>42965</v>
      </c>
      <c r="X132" s="41">
        <v>2.4</v>
      </c>
      <c r="Y132" s="85" t="s">
        <v>351</v>
      </c>
      <c r="Z132" s="43">
        <v>1042</v>
      </c>
      <c r="AA132" s="45">
        <v>2</v>
      </c>
      <c r="AB132" s="63">
        <v>122</v>
      </c>
      <c r="AC132" s="63">
        <v>16441.319</v>
      </c>
      <c r="AD132" s="43">
        <v>74</v>
      </c>
      <c r="AE132" s="44">
        <v>2.92</v>
      </c>
      <c r="AF132" s="44">
        <v>5.6622000000000003</v>
      </c>
      <c r="AG132" s="41">
        <v>65.81</v>
      </c>
      <c r="AH132" s="41">
        <v>34.19</v>
      </c>
      <c r="AI132" s="44">
        <v>2.17</v>
      </c>
      <c r="AJ132" s="41">
        <v>14.148900000000001</v>
      </c>
      <c r="AK132" s="41">
        <v>1.7213212734589791</v>
      </c>
      <c r="AL132" s="41">
        <v>13.6044</v>
      </c>
      <c r="AM132" s="39">
        <v>23589</v>
      </c>
      <c r="AN132" s="39">
        <v>22862</v>
      </c>
      <c r="AO132" s="40">
        <v>24363</v>
      </c>
      <c r="AP132" s="40">
        <v>27223</v>
      </c>
      <c r="AQ132" s="39">
        <v>1245000</v>
      </c>
      <c r="AR132" s="44">
        <v>457.72058823529414</v>
      </c>
      <c r="AS132" s="39">
        <v>2720</v>
      </c>
      <c r="AT132" s="46">
        <v>3225000</v>
      </c>
      <c r="AU132" s="50">
        <v>449.16</v>
      </c>
      <c r="AV132" s="39">
        <v>2872</v>
      </c>
      <c r="AW132" s="46">
        <v>1328000</v>
      </c>
      <c r="AX132" s="47">
        <v>451.85437223545426</v>
      </c>
      <c r="AY132" s="39">
        <v>2939</v>
      </c>
      <c r="AZ132" s="41">
        <v>65.5</v>
      </c>
      <c r="BA132" s="41">
        <v>21.537938074174889</v>
      </c>
      <c r="BB132" s="46">
        <v>4528000</v>
      </c>
      <c r="BC132" s="48">
        <v>1657.3938506588579</v>
      </c>
      <c r="BD132" s="40">
        <v>2732</v>
      </c>
      <c r="BE132" s="46">
        <v>245000</v>
      </c>
      <c r="BF132" s="47">
        <v>914.17910447761199</v>
      </c>
      <c r="BG132" s="40">
        <v>268</v>
      </c>
      <c r="BH132" s="46">
        <v>3000</v>
      </c>
      <c r="BI132" s="49">
        <v>3000</v>
      </c>
      <c r="BJ132" s="45">
        <v>1</v>
      </c>
      <c r="BK132" s="47">
        <v>241.14863810615989</v>
      </c>
      <c r="BL132" s="55">
        <v>3687000</v>
      </c>
      <c r="BM132" s="41">
        <v>15.133604235931536</v>
      </c>
      <c r="BN132" s="56">
        <v>3644000</v>
      </c>
      <c r="BO132" s="41">
        <v>14.957107088617985</v>
      </c>
      <c r="BP132" s="56">
        <v>1515000</v>
      </c>
      <c r="BQ132" s="41">
        <v>6.218446004186676</v>
      </c>
      <c r="BR132" s="39">
        <v>1001000</v>
      </c>
      <c r="BS132" s="41">
        <v>4.108689406066576</v>
      </c>
      <c r="BT132" s="39">
        <v>1430000</v>
      </c>
      <c r="BU132" s="41">
        <v>5.869556294380823</v>
      </c>
      <c r="BV132" s="56">
        <v>6216000</v>
      </c>
      <c r="BW132" s="41">
        <v>25.514099248860976</v>
      </c>
      <c r="BX132" s="40">
        <v>6870000</v>
      </c>
      <c r="BY132" s="41">
        <v>28.198497721955423</v>
      </c>
      <c r="BZ132" s="57">
        <v>475.06764592191729</v>
      </c>
      <c r="CA132" s="58">
        <v>195.20680324700425</v>
      </c>
      <c r="CB132" s="59">
        <v>351.88764334492976</v>
      </c>
      <c r="CC132" s="47">
        <v>128.97822445561138</v>
      </c>
      <c r="CD132" s="58">
        <v>137.09573508568482</v>
      </c>
      <c r="CE132" s="59">
        <v>117.63947944852467</v>
      </c>
      <c r="CF132" s="59">
        <v>885.19520680324706</v>
      </c>
      <c r="CG132" s="59">
        <v>47.158871279474297</v>
      </c>
      <c r="CH132" s="47">
        <v>800.92771550057978</v>
      </c>
      <c r="CI132" s="43">
        <v>1516</v>
      </c>
      <c r="CJ132" s="44">
        <v>313.71214698877168</v>
      </c>
      <c r="CK132" s="60">
        <v>28.975000000000001</v>
      </c>
      <c r="CL132" s="53">
        <v>498.37</v>
      </c>
      <c r="CM132" s="41">
        <v>28.975000000000001</v>
      </c>
      <c r="CN132" s="53" t="s">
        <v>382</v>
      </c>
      <c r="CO132" s="41">
        <v>0</v>
      </c>
      <c r="CP132" s="54">
        <v>1221.6300000000001</v>
      </c>
      <c r="CQ132" s="41">
        <v>71.025000000000006</v>
      </c>
      <c r="CR132" s="43">
        <v>3695</v>
      </c>
      <c r="CS132" s="52">
        <v>30.392422192151557</v>
      </c>
      <c r="CT132" s="41">
        <v>1985.3999999999999</v>
      </c>
      <c r="CU132" s="41">
        <v>255.81754928488596</v>
      </c>
      <c r="CV132" s="52">
        <v>89.06</v>
      </c>
      <c r="CW132" s="38">
        <v>2</v>
      </c>
      <c r="CX132" s="38">
        <v>8</v>
      </c>
      <c r="CY132" s="51">
        <v>2</v>
      </c>
      <c r="CZ132" s="41">
        <v>6.4494266202808914</v>
      </c>
      <c r="DA132" s="39">
        <v>6647000</v>
      </c>
      <c r="DB132" s="39">
        <v>6363000</v>
      </c>
      <c r="DC132" s="39">
        <v>5288000</v>
      </c>
      <c r="DD132" s="39">
        <v>5878000</v>
      </c>
      <c r="DE132" s="39">
        <v>4403000</v>
      </c>
      <c r="DF132" s="62">
        <v>4148000</v>
      </c>
      <c r="DG132" s="41">
        <v>106.15</v>
      </c>
      <c r="DH132" s="41">
        <v>122.19</v>
      </c>
      <c r="DI132" s="41">
        <v>1.9800000000000002</v>
      </c>
      <c r="DJ132" s="37" t="s">
        <v>390</v>
      </c>
      <c r="DK132" s="40">
        <v>46000</v>
      </c>
      <c r="DL132" s="40">
        <v>120000</v>
      </c>
      <c r="DM132" s="40">
        <v>0</v>
      </c>
      <c r="DN132" s="40">
        <v>1700</v>
      </c>
      <c r="DO132" s="40">
        <v>0</v>
      </c>
      <c r="DP132" s="40">
        <v>273208</v>
      </c>
      <c r="DQ132" s="64">
        <v>0</v>
      </c>
      <c r="DR132" s="40">
        <v>0</v>
      </c>
      <c r="DS132" s="98">
        <v>0</v>
      </c>
      <c r="DT132" s="38">
        <v>9</v>
      </c>
      <c r="DU132" s="66">
        <v>862.33333333333337</v>
      </c>
      <c r="DV132" s="41">
        <v>11.111111111111111</v>
      </c>
      <c r="DW132" s="41">
        <v>88.888888888888886</v>
      </c>
      <c r="DX132" s="41">
        <v>0</v>
      </c>
      <c r="DY132" s="41">
        <v>0</v>
      </c>
      <c r="DZ132" s="41">
        <v>0</v>
      </c>
      <c r="EA132" s="41">
        <v>55.555555555555557</v>
      </c>
      <c r="EB132" s="41">
        <v>44.444444444444443</v>
      </c>
      <c r="EC132" s="40">
        <v>133</v>
      </c>
      <c r="ED132" s="184">
        <v>58.353383458646618</v>
      </c>
    </row>
    <row r="133" spans="1:134" s="13" customFormat="1">
      <c r="A133" s="156" t="s">
        <v>280</v>
      </c>
      <c r="B133" s="285">
        <v>2014</v>
      </c>
      <c r="C133" s="259">
        <v>10</v>
      </c>
      <c r="D133" s="80" t="s">
        <v>345</v>
      </c>
      <c r="E133" s="56">
        <v>3226.5</v>
      </c>
      <c r="F133" s="56">
        <v>6408</v>
      </c>
      <c r="G133" s="82">
        <v>4.5521292217327458</v>
      </c>
      <c r="H133" s="179">
        <v>2</v>
      </c>
      <c r="I133" s="56">
        <v>3219</v>
      </c>
      <c r="J133" s="56">
        <v>50.234082397003746</v>
      </c>
      <c r="K133" s="56">
        <v>3189</v>
      </c>
      <c r="L133" s="84">
        <v>49.765917602996254</v>
      </c>
      <c r="M133" s="160">
        <v>26.966292134831459</v>
      </c>
      <c r="N133" s="160">
        <v>48.267790262172284</v>
      </c>
      <c r="O133" s="160">
        <v>24.765917602996254</v>
      </c>
      <c r="P133" s="160">
        <v>34.847066167290883</v>
      </c>
      <c r="Q133" s="160">
        <v>40.387016229712856</v>
      </c>
      <c r="R133" s="160">
        <v>24.765917602996254</v>
      </c>
      <c r="S133" s="83">
        <v>5.9515915119363401</v>
      </c>
      <c r="T133" s="83">
        <v>2</v>
      </c>
      <c r="U133" s="38">
        <v>94</v>
      </c>
      <c r="V133" s="41">
        <v>5.6</v>
      </c>
      <c r="W133" s="40">
        <v>36711</v>
      </c>
      <c r="X133" s="41">
        <v>2.6</v>
      </c>
      <c r="Y133" s="42" t="s">
        <v>351</v>
      </c>
      <c r="Z133" s="43">
        <v>682</v>
      </c>
      <c r="AA133" s="45">
        <v>5</v>
      </c>
      <c r="AB133" s="67">
        <v>80</v>
      </c>
      <c r="AC133" s="63">
        <v>4615.33</v>
      </c>
      <c r="AD133" s="43">
        <v>36</v>
      </c>
      <c r="AE133" s="44">
        <v>-1.94</v>
      </c>
      <c r="AF133" s="44">
        <v>2.0830000000000002</v>
      </c>
      <c r="AG133" s="41">
        <v>53.08</v>
      </c>
      <c r="AH133" s="41">
        <v>46.92</v>
      </c>
      <c r="AI133" s="44">
        <v>4.7699999999999996</v>
      </c>
      <c r="AJ133" s="41">
        <v>14.2094</v>
      </c>
      <c r="AK133" s="41">
        <v>1.3484326659272663</v>
      </c>
      <c r="AL133" s="41">
        <v>7.7876000000000003</v>
      </c>
      <c r="AM133" s="39">
        <v>16532.552650000001</v>
      </c>
      <c r="AN133" s="39">
        <v>17919</v>
      </c>
      <c r="AO133" s="40">
        <v>17519</v>
      </c>
      <c r="AP133" s="40">
        <v>21283</v>
      </c>
      <c r="AQ133" s="39">
        <v>1236179</v>
      </c>
      <c r="AR133" s="44">
        <v>568.09696691176475</v>
      </c>
      <c r="AS133" s="39">
        <v>2176</v>
      </c>
      <c r="AT133" s="46">
        <v>1273000</v>
      </c>
      <c r="AU133" s="50">
        <v>577.32426303854879</v>
      </c>
      <c r="AV133" s="39">
        <v>2177</v>
      </c>
      <c r="AW133" s="46">
        <v>1359000</v>
      </c>
      <c r="AX133" s="47">
        <v>616.88606445755784</v>
      </c>
      <c r="AY133" s="39">
        <v>2203</v>
      </c>
      <c r="AZ133" s="41">
        <v>69.5</v>
      </c>
      <c r="BA133" s="41">
        <v>26.37312755333636</v>
      </c>
      <c r="BB133" s="46">
        <v>1939000</v>
      </c>
      <c r="BC133" s="48">
        <v>3378.0487804878048</v>
      </c>
      <c r="BD133" s="40">
        <v>574</v>
      </c>
      <c r="BE133" s="46">
        <v>99000</v>
      </c>
      <c r="BF133" s="47">
        <v>622.64150943396226</v>
      </c>
      <c r="BG133" s="40">
        <v>159</v>
      </c>
      <c r="BH133" s="49" t="s">
        <v>382</v>
      </c>
      <c r="BI133" s="49" t="s">
        <v>382</v>
      </c>
      <c r="BJ133" s="213">
        <v>0</v>
      </c>
      <c r="BK133" s="47">
        <v>202.66899764498086</v>
      </c>
      <c r="BL133" s="55">
        <v>882000</v>
      </c>
      <c r="BM133" s="41">
        <v>5.0345339345853075</v>
      </c>
      <c r="BN133" s="56">
        <v>1813000</v>
      </c>
      <c r="BO133" s="41">
        <v>10.3487641988698</v>
      </c>
      <c r="BP133" s="56">
        <v>1922000</v>
      </c>
      <c r="BQ133" s="41">
        <v>10.970945830241451</v>
      </c>
      <c r="BR133" s="39">
        <v>6658000</v>
      </c>
      <c r="BS133" s="41">
        <v>38.004452308921742</v>
      </c>
      <c r="BT133" s="39">
        <v>831000</v>
      </c>
      <c r="BU133" s="41">
        <v>4.7434214281637077</v>
      </c>
      <c r="BV133" s="56">
        <v>4857000</v>
      </c>
      <c r="BW133" s="41">
        <v>27.724185170386441</v>
      </c>
      <c r="BX133" s="40">
        <v>556000</v>
      </c>
      <c r="BY133" s="41">
        <v>3.1736971288315541</v>
      </c>
      <c r="BZ133" s="57">
        <v>137.64044943820224</v>
      </c>
      <c r="CA133" s="58">
        <v>299.93757802746569</v>
      </c>
      <c r="CB133" s="59">
        <v>217.22846441947564</v>
      </c>
      <c r="CC133" s="47">
        <v>1039.0137328339576</v>
      </c>
      <c r="CD133" s="58">
        <v>81.304619225967542</v>
      </c>
      <c r="CE133" s="59">
        <v>65.699126092384518</v>
      </c>
      <c r="CF133" s="59">
        <v>86.766541822721592</v>
      </c>
      <c r="CG133" s="59">
        <v>48.377028714107368</v>
      </c>
      <c r="CH133" s="47">
        <v>757.95880149812729</v>
      </c>
      <c r="CI133" s="43">
        <v>1204</v>
      </c>
      <c r="CJ133" s="44">
        <v>152.06536541080345</v>
      </c>
      <c r="CK133" s="60">
        <v>23.952308638496422</v>
      </c>
      <c r="CL133" s="53">
        <v>1110.7124299999998</v>
      </c>
      <c r="CM133" s="41">
        <v>23.658997439359148</v>
      </c>
      <c r="CN133" s="53">
        <v>12.77</v>
      </c>
      <c r="CO133" s="41">
        <v>0.27201045845918587</v>
      </c>
      <c r="CP133" s="54">
        <v>3570.2</v>
      </c>
      <c r="CQ133" s="41">
        <v>76.047904368910352</v>
      </c>
      <c r="CR133" s="43">
        <v>4906</v>
      </c>
      <c r="CS133" s="52">
        <v>41.540970240521808</v>
      </c>
      <c r="CT133" s="41">
        <v>961.1</v>
      </c>
      <c r="CU133" s="41">
        <v>149.98439450686641</v>
      </c>
      <c r="CV133" s="52">
        <v>55</v>
      </c>
      <c r="CW133" s="38">
        <v>1</v>
      </c>
      <c r="CX133" s="38">
        <v>2</v>
      </c>
      <c r="CY133" s="51">
        <v>2</v>
      </c>
      <c r="CZ133" s="41">
        <v>3.4130774032459428</v>
      </c>
      <c r="DA133" s="39">
        <v>3576000</v>
      </c>
      <c r="DB133" s="39">
        <v>3043799</v>
      </c>
      <c r="DC133" s="39">
        <v>2503000</v>
      </c>
      <c r="DD133" s="39">
        <v>2501000</v>
      </c>
      <c r="DE133" s="39">
        <v>3273000</v>
      </c>
      <c r="DF133" s="62">
        <v>3217000</v>
      </c>
      <c r="DG133" s="41">
        <v>101.74000000000001</v>
      </c>
      <c r="DH133" s="41">
        <v>200.99</v>
      </c>
      <c r="DI133" s="41">
        <v>0.5</v>
      </c>
      <c r="DJ133" s="37" t="s">
        <v>390</v>
      </c>
      <c r="DK133" s="40">
        <v>16000</v>
      </c>
      <c r="DL133" s="40">
        <v>114000</v>
      </c>
      <c r="DM133" s="40">
        <v>0</v>
      </c>
      <c r="DN133" s="40">
        <v>56193</v>
      </c>
      <c r="DO133" s="40">
        <v>0</v>
      </c>
      <c r="DP133" s="40">
        <v>219849</v>
      </c>
      <c r="DQ133" s="64">
        <v>0</v>
      </c>
      <c r="DR133" s="40">
        <v>0</v>
      </c>
      <c r="DS133" s="98">
        <v>0</v>
      </c>
      <c r="DT133" s="38">
        <v>9</v>
      </c>
      <c r="DU133" s="66">
        <v>712</v>
      </c>
      <c r="DV133" s="41">
        <v>44.444444444444443</v>
      </c>
      <c r="DW133" s="41">
        <v>55.555555555555557</v>
      </c>
      <c r="DX133" s="41">
        <v>0</v>
      </c>
      <c r="DY133" s="41">
        <v>0</v>
      </c>
      <c r="DZ133" s="41">
        <v>0</v>
      </c>
      <c r="EA133" s="41">
        <v>33.333333333333329</v>
      </c>
      <c r="EB133" s="41">
        <v>66.666666666666657</v>
      </c>
      <c r="EC133" s="40">
        <v>114</v>
      </c>
      <c r="ED133" s="184">
        <v>56.210526315789473</v>
      </c>
    </row>
    <row r="134" spans="1:134" s="13" customFormat="1">
      <c r="A134" s="156" t="s">
        <v>281</v>
      </c>
      <c r="B134" s="285">
        <v>2014</v>
      </c>
      <c r="C134" s="259">
        <v>8</v>
      </c>
      <c r="D134" s="80" t="s">
        <v>344</v>
      </c>
      <c r="E134" s="56">
        <v>3356</v>
      </c>
      <c r="F134" s="56">
        <v>1147</v>
      </c>
      <c r="G134" s="82">
        <v>-5.7518488085456037</v>
      </c>
      <c r="H134" s="179">
        <v>0.3</v>
      </c>
      <c r="I134" s="56">
        <v>605</v>
      </c>
      <c r="J134" s="56">
        <v>52.746294681778551</v>
      </c>
      <c r="K134" s="56">
        <v>542</v>
      </c>
      <c r="L134" s="84">
        <v>47.253705318221442</v>
      </c>
      <c r="M134" s="160">
        <v>20.74978204010462</v>
      </c>
      <c r="N134" s="160">
        <v>42.458587619877939</v>
      </c>
      <c r="O134" s="160">
        <v>36.791630340017441</v>
      </c>
      <c r="P134" s="160">
        <v>26.678291194420229</v>
      </c>
      <c r="Q134" s="160">
        <v>36.53007846556234</v>
      </c>
      <c r="R134" s="160">
        <v>36.791630340017441</v>
      </c>
      <c r="S134" s="83">
        <v>3.1141868512110724</v>
      </c>
      <c r="T134" s="83">
        <v>1.4</v>
      </c>
      <c r="U134" s="38">
        <v>30</v>
      </c>
      <c r="V134" s="41">
        <v>7.7</v>
      </c>
      <c r="W134" s="40">
        <v>47007</v>
      </c>
      <c r="X134" s="41">
        <v>2.4</v>
      </c>
      <c r="Y134" s="42" t="s">
        <v>351</v>
      </c>
      <c r="Z134" s="38">
        <v>126</v>
      </c>
      <c r="AA134" s="45">
        <v>1</v>
      </c>
      <c r="AB134" s="67">
        <v>27</v>
      </c>
      <c r="AC134" s="63">
        <v>1376.3</v>
      </c>
      <c r="AD134" s="43">
        <v>22</v>
      </c>
      <c r="AE134" s="44">
        <v>-7.75</v>
      </c>
      <c r="AF134" s="44">
        <v>9.2944000000000013</v>
      </c>
      <c r="AG134" s="41">
        <v>34.21</v>
      </c>
      <c r="AH134" s="41">
        <v>65.789999999999992</v>
      </c>
      <c r="AI134" s="44">
        <v>8.07</v>
      </c>
      <c r="AJ134" s="41">
        <v>21.289499999999997</v>
      </c>
      <c r="AK134" s="41">
        <v>1.1280039234919077</v>
      </c>
      <c r="AL134" s="41">
        <v>11.803199999999999</v>
      </c>
      <c r="AM134" s="39">
        <v>10397</v>
      </c>
      <c r="AN134" s="39">
        <v>7336</v>
      </c>
      <c r="AO134" s="40">
        <v>6591</v>
      </c>
      <c r="AP134" s="40">
        <v>7088</v>
      </c>
      <c r="AQ134" s="39">
        <v>71484</v>
      </c>
      <c r="AR134" s="44">
        <v>129.97090909090909</v>
      </c>
      <c r="AS134" s="39">
        <v>550</v>
      </c>
      <c r="AT134" s="46">
        <v>74000</v>
      </c>
      <c r="AU134" s="50">
        <v>134.30127041742287</v>
      </c>
      <c r="AV134" s="39">
        <v>551</v>
      </c>
      <c r="AW134" s="46">
        <v>74000</v>
      </c>
      <c r="AX134" s="47">
        <v>134.30127041742287</v>
      </c>
      <c r="AY134" s="39">
        <v>551</v>
      </c>
      <c r="AZ134" s="41">
        <v>58.099999999999994</v>
      </c>
      <c r="BA134" s="41">
        <v>23.593466424682397</v>
      </c>
      <c r="BB134" s="46">
        <v>1399000</v>
      </c>
      <c r="BC134" s="48">
        <v>2100.6006006006005</v>
      </c>
      <c r="BD134" s="40">
        <v>666</v>
      </c>
      <c r="BE134" s="46">
        <v>43000</v>
      </c>
      <c r="BF134" s="47">
        <v>383.92857142857144</v>
      </c>
      <c r="BG134" s="40">
        <v>112</v>
      </c>
      <c r="BH134" s="49" t="s">
        <v>382</v>
      </c>
      <c r="BI134" s="49" t="s">
        <v>382</v>
      </c>
      <c r="BJ134" s="213">
        <v>0</v>
      </c>
      <c r="BK134" s="47">
        <v>217.56249736147757</v>
      </c>
      <c r="BL134" s="55">
        <v>1286000</v>
      </c>
      <c r="BM134" s="41">
        <v>19.511455014413595</v>
      </c>
      <c r="BN134" s="56">
        <v>463000</v>
      </c>
      <c r="BO134" s="41">
        <v>7.0247306933697464</v>
      </c>
      <c r="BP134" s="56">
        <v>446000</v>
      </c>
      <c r="BQ134" s="41">
        <v>6.7668032165073582</v>
      </c>
      <c r="BR134" s="39">
        <v>726000</v>
      </c>
      <c r="BS134" s="41">
        <v>11.015020482476103</v>
      </c>
      <c r="BT134" s="39">
        <v>701000</v>
      </c>
      <c r="BU134" s="41">
        <v>10.635715369443179</v>
      </c>
      <c r="BV134" s="56">
        <v>2661000</v>
      </c>
      <c r="BW134" s="41">
        <v>40.373236231224396</v>
      </c>
      <c r="BX134" s="40">
        <v>308000</v>
      </c>
      <c r="BY134" s="41">
        <v>4.6730389925656191</v>
      </c>
      <c r="BZ134" s="57">
        <v>1121.1857018308631</v>
      </c>
      <c r="CA134" s="58">
        <v>388.84045335658237</v>
      </c>
      <c r="CB134" s="59">
        <v>211.85701830863121</v>
      </c>
      <c r="CC134" s="47">
        <v>632.95553618134261</v>
      </c>
      <c r="CD134" s="58">
        <v>551.87445510026157</v>
      </c>
      <c r="CE134" s="59">
        <v>191.80470793374019</v>
      </c>
      <c r="CF134" s="59">
        <v>268.52659110723624</v>
      </c>
      <c r="CG134" s="59">
        <v>59.285091543156057</v>
      </c>
      <c r="CH134" s="47">
        <v>2319.9651264167392</v>
      </c>
      <c r="CI134" s="43" t="s">
        <v>382</v>
      </c>
      <c r="CJ134" s="44">
        <v>230.49001814882033</v>
      </c>
      <c r="CK134" s="60">
        <v>3.8922155688622757</v>
      </c>
      <c r="CL134" s="53">
        <v>13</v>
      </c>
      <c r="CM134" s="41">
        <v>3.8922155688622757</v>
      </c>
      <c r="CN134" s="53" t="s">
        <v>382</v>
      </c>
      <c r="CO134" s="41">
        <v>0</v>
      </c>
      <c r="CP134" s="54">
        <v>321</v>
      </c>
      <c r="CQ134" s="41">
        <v>96.107784431137716</v>
      </c>
      <c r="CR134" s="43">
        <v>703</v>
      </c>
      <c r="CS134" s="52">
        <v>46.799431009957324</v>
      </c>
      <c r="CT134" s="41">
        <v>984.65</v>
      </c>
      <c r="CU134" s="41">
        <v>858.45684394071486</v>
      </c>
      <c r="CV134" s="52">
        <v>104</v>
      </c>
      <c r="CW134" s="38">
        <v>2</v>
      </c>
      <c r="CX134" s="38">
        <v>5</v>
      </c>
      <c r="CY134" s="51">
        <v>0</v>
      </c>
      <c r="CZ134" s="97">
        <v>4.4821272885789014</v>
      </c>
      <c r="DA134" s="39">
        <v>1879000</v>
      </c>
      <c r="DB134" s="39">
        <v>1929000</v>
      </c>
      <c r="DC134" s="39">
        <v>1335000</v>
      </c>
      <c r="DD134" s="39">
        <v>1459000</v>
      </c>
      <c r="DE134" s="53">
        <v>1513000</v>
      </c>
      <c r="DF134" s="62">
        <v>1533000</v>
      </c>
      <c r="DG134" s="41">
        <v>98.7</v>
      </c>
      <c r="DH134" s="41">
        <v>121.96000000000001</v>
      </c>
      <c r="DI134" s="41">
        <v>3.02</v>
      </c>
      <c r="DJ134" s="37" t="s">
        <v>390</v>
      </c>
      <c r="DK134" s="40">
        <v>13000</v>
      </c>
      <c r="DL134" s="40">
        <v>88000</v>
      </c>
      <c r="DM134" s="40">
        <v>0</v>
      </c>
      <c r="DN134" s="40">
        <v>11892.69</v>
      </c>
      <c r="DO134" s="40">
        <v>0</v>
      </c>
      <c r="DP134" s="40">
        <v>185518</v>
      </c>
      <c r="DQ134" s="64">
        <v>0</v>
      </c>
      <c r="DR134" s="40">
        <v>0</v>
      </c>
      <c r="DS134" s="98">
        <v>0</v>
      </c>
      <c r="DT134" s="38">
        <v>9</v>
      </c>
      <c r="DU134" s="66">
        <v>127.44444444444444</v>
      </c>
      <c r="DV134" s="41">
        <v>22.222222222222221</v>
      </c>
      <c r="DW134" s="41">
        <v>77.777777777777786</v>
      </c>
      <c r="DX134" s="41">
        <v>0</v>
      </c>
      <c r="DY134" s="41">
        <v>0</v>
      </c>
      <c r="DZ134" s="41">
        <v>0</v>
      </c>
      <c r="EA134" s="41">
        <v>66.666666666666657</v>
      </c>
      <c r="EB134" s="41">
        <v>33.333333333333329</v>
      </c>
      <c r="EC134" s="40">
        <v>35</v>
      </c>
      <c r="ED134" s="184">
        <v>32.771428571428572</v>
      </c>
    </row>
    <row r="135" spans="1:134" s="13" customFormat="1">
      <c r="A135" s="156" t="s">
        <v>282</v>
      </c>
      <c r="B135" s="285">
        <v>2014</v>
      </c>
      <c r="C135" s="259">
        <v>4</v>
      </c>
      <c r="D135" s="80" t="s">
        <v>342</v>
      </c>
      <c r="E135" s="56">
        <v>4825.8999999999996</v>
      </c>
      <c r="F135" s="56">
        <v>62799</v>
      </c>
      <c r="G135" s="82">
        <v>2.8463339938749774</v>
      </c>
      <c r="H135" s="179">
        <v>13</v>
      </c>
      <c r="I135" s="56">
        <v>30974</v>
      </c>
      <c r="J135" s="56">
        <v>49.322441440150321</v>
      </c>
      <c r="K135" s="56">
        <v>31825</v>
      </c>
      <c r="L135" s="84">
        <v>50.677558559849679</v>
      </c>
      <c r="M135" s="160">
        <v>27.850761954808195</v>
      </c>
      <c r="N135" s="160">
        <v>53.222185066641195</v>
      </c>
      <c r="O135" s="160">
        <v>18.927052978550613</v>
      </c>
      <c r="P135" s="160">
        <v>44.241150336788806</v>
      </c>
      <c r="Q135" s="160">
        <v>36.831796684660581</v>
      </c>
      <c r="R135" s="160">
        <v>18.927052978550613</v>
      </c>
      <c r="S135" s="83">
        <v>4.594762777712373</v>
      </c>
      <c r="T135" s="83">
        <v>4.5999999999999996</v>
      </c>
      <c r="U135" s="38">
        <v>108</v>
      </c>
      <c r="V135" s="41">
        <v>4.3</v>
      </c>
      <c r="W135" s="40">
        <v>47678</v>
      </c>
      <c r="X135" s="41">
        <v>2.5</v>
      </c>
      <c r="Y135" s="42" t="s">
        <v>350</v>
      </c>
      <c r="Z135" s="43">
        <v>5321</v>
      </c>
      <c r="AA135" s="45">
        <v>0</v>
      </c>
      <c r="AB135" s="63">
        <v>657</v>
      </c>
      <c r="AC135" s="63">
        <v>171226.448</v>
      </c>
      <c r="AD135" s="43">
        <v>45</v>
      </c>
      <c r="AE135" s="44">
        <v>-2.41</v>
      </c>
      <c r="AF135" s="44">
        <v>2.6827999999999999</v>
      </c>
      <c r="AG135" s="41">
        <v>66.36</v>
      </c>
      <c r="AH135" s="41">
        <v>33.64</v>
      </c>
      <c r="AI135" s="44">
        <v>6.21</v>
      </c>
      <c r="AJ135" s="41">
        <v>3.7532000000000001</v>
      </c>
      <c r="AK135" s="41">
        <v>5.8603145173685833</v>
      </c>
      <c r="AL135" s="41">
        <v>7.3824000000000005</v>
      </c>
      <c r="AM135" s="39">
        <v>109718</v>
      </c>
      <c r="AN135" s="39">
        <v>116962.05720000001</v>
      </c>
      <c r="AO135" s="40">
        <v>108141.4546</v>
      </c>
      <c r="AP135" s="40">
        <v>133789</v>
      </c>
      <c r="AQ135" s="39">
        <v>20565000</v>
      </c>
      <c r="AR135" s="44">
        <v>906.06688108560604</v>
      </c>
      <c r="AS135" s="39">
        <v>22697</v>
      </c>
      <c r="AT135" s="46">
        <v>21558661.890000001</v>
      </c>
      <c r="AU135" s="50">
        <v>932.30677607680332</v>
      </c>
      <c r="AV135" s="39">
        <v>23124</v>
      </c>
      <c r="AW135" s="46">
        <v>22158000</v>
      </c>
      <c r="AX135" s="47">
        <v>943.01400178746223</v>
      </c>
      <c r="AY135" s="39">
        <v>23497</v>
      </c>
      <c r="AZ135" s="41">
        <v>72.7</v>
      </c>
      <c r="BA135" s="41">
        <v>14.3975826701281</v>
      </c>
      <c r="BB135" s="46">
        <v>4528000</v>
      </c>
      <c r="BC135" s="48">
        <v>2365.7262277951932</v>
      </c>
      <c r="BD135" s="40">
        <v>1914</v>
      </c>
      <c r="BE135" s="46">
        <v>9545000</v>
      </c>
      <c r="BF135" s="47">
        <v>5279.3141592920356</v>
      </c>
      <c r="BG135" s="40">
        <v>1808</v>
      </c>
      <c r="BH135" s="49" t="s">
        <v>382</v>
      </c>
      <c r="BI135" s="49" t="s">
        <v>382</v>
      </c>
      <c r="BJ135" s="213">
        <v>0</v>
      </c>
      <c r="BK135" s="47">
        <v>130.69074767464326</v>
      </c>
      <c r="BL135" s="55">
        <v>21207085.940000001</v>
      </c>
      <c r="BM135" s="41">
        <v>19.610505533221254</v>
      </c>
      <c r="BN135" s="56">
        <v>21404213.43</v>
      </c>
      <c r="BO135" s="41">
        <v>19.792792234200927</v>
      </c>
      <c r="BP135" s="56">
        <v>9012968.6400000006</v>
      </c>
      <c r="BQ135" s="41">
        <v>8.3344251956886097</v>
      </c>
      <c r="BR135" s="39">
        <v>8147752.9000000004</v>
      </c>
      <c r="BS135" s="41">
        <v>7.534347424291596</v>
      </c>
      <c r="BT135" s="39">
        <v>17435883.07</v>
      </c>
      <c r="BU135" s="41">
        <v>16.123218550074579</v>
      </c>
      <c r="BV135" s="56">
        <v>9480912.6399999987</v>
      </c>
      <c r="BW135" s="41">
        <v>8.7671399226058551</v>
      </c>
      <c r="BX135" s="40">
        <v>21452637.990000002</v>
      </c>
      <c r="BY135" s="41">
        <v>19.837571139917184</v>
      </c>
      <c r="BZ135" s="57">
        <v>337.69782862784439</v>
      </c>
      <c r="CA135" s="58">
        <v>143.52089428175609</v>
      </c>
      <c r="CB135" s="59">
        <v>262.68098632143824</v>
      </c>
      <c r="CC135" s="47">
        <v>129.74335419353812</v>
      </c>
      <c r="CD135" s="58">
        <v>244.21820506695968</v>
      </c>
      <c r="CE135" s="59">
        <v>78.155865061545569</v>
      </c>
      <c r="CF135" s="59">
        <v>341.60795538145516</v>
      </c>
      <c r="CG135" s="59">
        <v>33.427666204875869</v>
      </c>
      <c r="CH135" s="47">
        <v>150.97235051513556</v>
      </c>
      <c r="CI135" s="43" t="s">
        <v>382</v>
      </c>
      <c r="CJ135" s="44">
        <v>274.0775418138486</v>
      </c>
      <c r="CK135" s="60">
        <v>46.365505638980622</v>
      </c>
      <c r="CL135" s="53">
        <v>5398.71</v>
      </c>
      <c r="CM135" s="41">
        <v>18.688287951481922</v>
      </c>
      <c r="CN135" s="53">
        <v>7995.45</v>
      </c>
      <c r="CO135" s="41">
        <v>27.677217687498707</v>
      </c>
      <c r="CP135" s="54">
        <v>15494.05</v>
      </c>
      <c r="CQ135" s="41">
        <v>53.634528977229458</v>
      </c>
      <c r="CR135" s="43">
        <v>38494</v>
      </c>
      <c r="CS135" s="52">
        <v>62.887722761988883</v>
      </c>
      <c r="CT135" s="41">
        <v>2291.114</v>
      </c>
      <c r="CU135" s="41">
        <v>36.483287950445074</v>
      </c>
      <c r="CV135" s="52">
        <v>1817.37</v>
      </c>
      <c r="CW135" s="38">
        <v>1</v>
      </c>
      <c r="CX135" s="38">
        <v>10</v>
      </c>
      <c r="CY135" s="51">
        <v>1</v>
      </c>
      <c r="CZ135" s="41">
        <v>5.1448112231086478</v>
      </c>
      <c r="DA135" s="39">
        <v>15800500</v>
      </c>
      <c r="DB135" s="39">
        <v>22731100</v>
      </c>
      <c r="DC135" s="39">
        <v>16733000</v>
      </c>
      <c r="DD135" s="39">
        <v>28575000</v>
      </c>
      <c r="DE135" s="39">
        <v>12267000</v>
      </c>
      <c r="DF135" s="62">
        <v>10566000</v>
      </c>
      <c r="DG135" s="41">
        <v>116.10000000000001</v>
      </c>
      <c r="DH135" s="41">
        <v>54.81</v>
      </c>
      <c r="DI135" s="41">
        <v>4.01</v>
      </c>
      <c r="DJ135" s="37" t="s">
        <v>390</v>
      </c>
      <c r="DK135" s="40">
        <v>0</v>
      </c>
      <c r="DL135" s="40">
        <v>236338</v>
      </c>
      <c r="DM135" s="40">
        <v>12184</v>
      </c>
      <c r="DN135" s="40">
        <v>23398</v>
      </c>
      <c r="DO135" s="40">
        <v>19216</v>
      </c>
      <c r="DP135" s="40">
        <v>337492</v>
      </c>
      <c r="DQ135" s="64">
        <v>0</v>
      </c>
      <c r="DR135" s="40">
        <v>0</v>
      </c>
      <c r="DS135" s="98">
        <v>0</v>
      </c>
      <c r="DT135" s="38">
        <v>11</v>
      </c>
      <c r="DU135" s="66">
        <v>5709</v>
      </c>
      <c r="DV135" s="41">
        <v>9.0909090909090917</v>
      </c>
      <c r="DW135" s="41">
        <v>90.909090909090907</v>
      </c>
      <c r="DX135" s="41">
        <v>0</v>
      </c>
      <c r="DY135" s="41">
        <v>0</v>
      </c>
      <c r="DZ135" s="41">
        <v>0</v>
      </c>
      <c r="EA135" s="41">
        <v>63.636363636363633</v>
      </c>
      <c r="EB135" s="41">
        <v>36.363636363636367</v>
      </c>
      <c r="EC135" s="40">
        <v>451.35</v>
      </c>
      <c r="ED135" s="184">
        <v>139.13592555666332</v>
      </c>
    </row>
    <row r="136" spans="1:134" s="13" customFormat="1">
      <c r="A136" s="156" t="s">
        <v>283</v>
      </c>
      <c r="B136" s="285">
        <v>2014</v>
      </c>
      <c r="C136" s="259">
        <v>9</v>
      </c>
      <c r="D136" s="80" t="s">
        <v>344</v>
      </c>
      <c r="E136" s="56">
        <v>7520.5</v>
      </c>
      <c r="F136" s="56">
        <v>3990</v>
      </c>
      <c r="G136" s="82">
        <v>-5.2031361368496079</v>
      </c>
      <c r="H136" s="179">
        <v>0.5</v>
      </c>
      <c r="I136" s="56">
        <v>2054</v>
      </c>
      <c r="J136" s="56">
        <v>51.478696741854634</v>
      </c>
      <c r="K136" s="56">
        <v>1936</v>
      </c>
      <c r="L136" s="84">
        <v>48.521303258145366</v>
      </c>
      <c r="M136" s="160">
        <v>22.030075187969924</v>
      </c>
      <c r="N136" s="160">
        <v>48.020050125313283</v>
      </c>
      <c r="O136" s="160">
        <v>29.949874686716793</v>
      </c>
      <c r="P136" s="160">
        <v>31.378446115288224</v>
      </c>
      <c r="Q136" s="160">
        <v>38.671679197994983</v>
      </c>
      <c r="R136" s="160">
        <v>29.949874686716793</v>
      </c>
      <c r="S136" s="83">
        <v>2.4734982332155475</v>
      </c>
      <c r="T136" s="83">
        <v>3</v>
      </c>
      <c r="U136" s="38">
        <v>82</v>
      </c>
      <c r="V136" s="41">
        <v>7.1</v>
      </c>
      <c r="W136" s="40">
        <v>34212</v>
      </c>
      <c r="X136" s="41">
        <v>2.4</v>
      </c>
      <c r="Y136" s="42" t="s">
        <v>351</v>
      </c>
      <c r="Z136" s="43">
        <v>503</v>
      </c>
      <c r="AA136" s="45">
        <v>8</v>
      </c>
      <c r="AB136" s="67">
        <v>94</v>
      </c>
      <c r="AC136" s="63">
        <v>9465.0159999999996</v>
      </c>
      <c r="AD136" s="43">
        <v>70</v>
      </c>
      <c r="AE136" s="44">
        <v>5.53</v>
      </c>
      <c r="AF136" s="44">
        <v>3.6507999999999998</v>
      </c>
      <c r="AG136" s="41">
        <v>51.93</v>
      </c>
      <c r="AH136" s="41">
        <v>48.07</v>
      </c>
      <c r="AI136" s="44">
        <v>9.94</v>
      </c>
      <c r="AJ136" s="41">
        <v>6.3959999999999999</v>
      </c>
      <c r="AK136" s="41">
        <v>6.274748705452331</v>
      </c>
      <c r="AL136" s="41">
        <v>14.0152</v>
      </c>
      <c r="AM136" s="39">
        <v>18934.264879999999</v>
      </c>
      <c r="AN136" s="39">
        <v>17376</v>
      </c>
      <c r="AO136" s="40">
        <v>15753</v>
      </c>
      <c r="AP136" s="40">
        <v>16840</v>
      </c>
      <c r="AQ136" s="39">
        <v>794000</v>
      </c>
      <c r="AR136" s="44">
        <v>486.51960784313724</v>
      </c>
      <c r="AS136" s="39">
        <v>1632</v>
      </c>
      <c r="AT136" s="46">
        <v>788000</v>
      </c>
      <c r="AU136" s="50">
        <v>479.61</v>
      </c>
      <c r="AV136" s="39">
        <v>1643</v>
      </c>
      <c r="AW136" s="46">
        <v>859000</v>
      </c>
      <c r="AX136" s="47">
        <v>516.53638003607932</v>
      </c>
      <c r="AY136" s="39">
        <v>1663</v>
      </c>
      <c r="AZ136" s="41">
        <v>60.099999999999994</v>
      </c>
      <c r="BA136" s="41">
        <v>22.068550811785929</v>
      </c>
      <c r="BB136" s="46">
        <v>2851000</v>
      </c>
      <c r="BC136" s="48">
        <v>3065.5913978494623</v>
      </c>
      <c r="BD136" s="40">
        <v>930</v>
      </c>
      <c r="BE136" s="46">
        <v>246000</v>
      </c>
      <c r="BF136" s="47">
        <v>914.49814126394051</v>
      </c>
      <c r="BG136" s="40">
        <v>269</v>
      </c>
      <c r="BH136" s="49" t="s">
        <v>382</v>
      </c>
      <c r="BI136" s="49" t="s">
        <v>382</v>
      </c>
      <c r="BJ136" s="213">
        <v>0</v>
      </c>
      <c r="BK136" s="47">
        <v>114.3700856926188</v>
      </c>
      <c r="BL136" s="55">
        <v>3400000</v>
      </c>
      <c r="BM136" s="41">
        <v>21.583190503396178</v>
      </c>
      <c r="BN136" s="56">
        <v>2965000</v>
      </c>
      <c r="BO136" s="41">
        <v>18.821811718402845</v>
      </c>
      <c r="BP136" s="56">
        <v>1119000</v>
      </c>
      <c r="BQ136" s="41">
        <v>7.1034088745000963</v>
      </c>
      <c r="BR136" s="39">
        <v>941000</v>
      </c>
      <c r="BS136" s="41">
        <v>5.9734653716752364</v>
      </c>
      <c r="BT136" s="39">
        <v>1156000</v>
      </c>
      <c r="BU136" s="41">
        <v>7.3382847711546999</v>
      </c>
      <c r="BV136" s="56">
        <v>5154000</v>
      </c>
      <c r="BW136" s="41">
        <v>32.717577604265848</v>
      </c>
      <c r="BX136" s="40">
        <v>1018000</v>
      </c>
      <c r="BY136" s="41">
        <v>6.4622611566050914</v>
      </c>
      <c r="BZ136" s="57">
        <v>852.13032581453638</v>
      </c>
      <c r="CA136" s="58">
        <v>280.45112781954884</v>
      </c>
      <c r="CB136" s="59">
        <v>590.47619047619048</v>
      </c>
      <c r="CC136" s="47">
        <v>235.83959899749374</v>
      </c>
      <c r="CD136" s="58">
        <v>233.58395989974937</v>
      </c>
      <c r="CE136" s="59">
        <v>152.63157894736841</v>
      </c>
      <c r="CF136" s="59">
        <v>255.13784461152883</v>
      </c>
      <c r="CG136" s="59">
        <v>56.140350877192979</v>
      </c>
      <c r="CH136" s="47">
        <v>1291.7293233082708</v>
      </c>
      <c r="CI136" s="43">
        <v>1483</v>
      </c>
      <c r="CJ136" s="44">
        <v>215.8749248346362</v>
      </c>
      <c r="CK136" s="60">
        <v>41.266384831962434</v>
      </c>
      <c r="CL136" s="53">
        <v>359.39</v>
      </c>
      <c r="CM136" s="41">
        <v>30.569992259469387</v>
      </c>
      <c r="CN136" s="53">
        <v>125.75</v>
      </c>
      <c r="CO136" s="41">
        <v>10.696392572493044</v>
      </c>
      <c r="CP136" s="54">
        <v>690.49</v>
      </c>
      <c r="CQ136" s="41">
        <v>58.733615168037559</v>
      </c>
      <c r="CR136" s="43">
        <v>1323</v>
      </c>
      <c r="CS136" s="52">
        <v>78.835978835978835</v>
      </c>
      <c r="CT136" s="41">
        <v>1571.83</v>
      </c>
      <c r="CU136" s="41">
        <v>393.9423558897243</v>
      </c>
      <c r="CV136" s="52">
        <v>32.01</v>
      </c>
      <c r="CW136" s="38">
        <v>3</v>
      </c>
      <c r="CX136" s="38">
        <v>9</v>
      </c>
      <c r="CY136" s="51">
        <v>2</v>
      </c>
      <c r="CZ136" s="41">
        <v>5.0431077694235587</v>
      </c>
      <c r="DA136" s="39">
        <v>2624000</v>
      </c>
      <c r="DB136" s="39">
        <v>2605000</v>
      </c>
      <c r="DC136" s="39">
        <v>2717000</v>
      </c>
      <c r="DD136" s="39">
        <v>2678000</v>
      </c>
      <c r="DE136" s="39">
        <v>2236000</v>
      </c>
      <c r="DF136" s="62">
        <v>2621000</v>
      </c>
      <c r="DG136" s="41">
        <v>85.31</v>
      </c>
      <c r="DH136" s="41">
        <v>100.85</v>
      </c>
      <c r="DI136" s="41">
        <v>6.9999999999999993E-2</v>
      </c>
      <c r="DJ136" s="37" t="s">
        <v>390</v>
      </c>
      <c r="DK136" s="40">
        <v>51000</v>
      </c>
      <c r="DL136" s="40">
        <v>72000</v>
      </c>
      <c r="DM136" s="40">
        <v>0</v>
      </c>
      <c r="DN136" s="40">
        <v>4488</v>
      </c>
      <c r="DO136" s="40">
        <v>15893</v>
      </c>
      <c r="DP136" s="40">
        <v>189625</v>
      </c>
      <c r="DQ136" s="64">
        <v>3</v>
      </c>
      <c r="DR136" s="40">
        <v>25639</v>
      </c>
      <c r="DS136" s="98">
        <v>0</v>
      </c>
      <c r="DT136" s="38">
        <v>6</v>
      </c>
      <c r="DU136" s="66">
        <v>665</v>
      </c>
      <c r="DV136" s="41">
        <v>50</v>
      </c>
      <c r="DW136" s="41">
        <v>50</v>
      </c>
      <c r="DX136" s="41">
        <v>0</v>
      </c>
      <c r="DY136" s="41">
        <v>0</v>
      </c>
      <c r="DZ136" s="41">
        <v>0</v>
      </c>
      <c r="EA136" s="41">
        <v>50</v>
      </c>
      <c r="EB136" s="41">
        <v>50</v>
      </c>
      <c r="EC136" s="40">
        <v>74</v>
      </c>
      <c r="ED136" s="184">
        <v>53.918918918918919</v>
      </c>
    </row>
    <row r="137" spans="1:134" s="13" customFormat="1">
      <c r="A137" s="156" t="s">
        <v>284</v>
      </c>
      <c r="B137" s="285">
        <v>2014</v>
      </c>
      <c r="C137" s="259">
        <v>9</v>
      </c>
      <c r="D137" s="80" t="s">
        <v>344</v>
      </c>
      <c r="E137" s="56">
        <v>6261.3</v>
      </c>
      <c r="F137" s="56">
        <v>3098</v>
      </c>
      <c r="G137" s="82">
        <v>-1.7755231452124285</v>
      </c>
      <c r="H137" s="179">
        <v>0.5</v>
      </c>
      <c r="I137" s="56">
        <v>1564</v>
      </c>
      <c r="J137" s="56">
        <v>50.484183344092962</v>
      </c>
      <c r="K137" s="56">
        <v>1534</v>
      </c>
      <c r="L137" s="84">
        <v>49.515816655907038</v>
      </c>
      <c r="M137" s="160">
        <v>22.659780503550678</v>
      </c>
      <c r="N137" s="160">
        <v>45.384118786313749</v>
      </c>
      <c r="O137" s="160">
        <v>31.956100710135573</v>
      </c>
      <c r="P137" s="160">
        <v>32.375726275016135</v>
      </c>
      <c r="Q137" s="160">
        <v>35.668173014848286</v>
      </c>
      <c r="R137" s="160">
        <v>31.956100710135573</v>
      </c>
      <c r="S137" s="83">
        <v>7.3792190602250161</v>
      </c>
      <c r="T137" s="83">
        <v>1.7</v>
      </c>
      <c r="U137" s="38">
        <v>84</v>
      </c>
      <c r="V137" s="41">
        <v>6.3</v>
      </c>
      <c r="W137" s="40">
        <v>36503</v>
      </c>
      <c r="X137" s="41">
        <v>2.4</v>
      </c>
      <c r="Y137" s="42" t="s">
        <v>351</v>
      </c>
      <c r="Z137" s="43">
        <v>654</v>
      </c>
      <c r="AA137" s="45">
        <v>0</v>
      </c>
      <c r="AB137" s="67">
        <v>22</v>
      </c>
      <c r="AC137" s="63">
        <v>1894.8510000000001</v>
      </c>
      <c r="AD137" s="43">
        <v>24</v>
      </c>
      <c r="AE137" s="44">
        <v>6.04</v>
      </c>
      <c r="AF137" s="44">
        <v>2.5918000000000001</v>
      </c>
      <c r="AG137" s="41">
        <v>69.400000000000006</v>
      </c>
      <c r="AH137" s="41">
        <v>30.599999999999994</v>
      </c>
      <c r="AI137" s="44">
        <v>4.33</v>
      </c>
      <c r="AJ137" s="41">
        <v>23.8657</v>
      </c>
      <c r="AK137" s="41">
        <v>0.80581450466108395</v>
      </c>
      <c r="AL137" s="41">
        <v>7.0952000000000002</v>
      </c>
      <c r="AM137" s="39">
        <v>13548</v>
      </c>
      <c r="AN137" s="39">
        <v>10980</v>
      </c>
      <c r="AO137" s="40">
        <v>11893.130140000001</v>
      </c>
      <c r="AP137" s="40">
        <v>13098</v>
      </c>
      <c r="AQ137" s="39">
        <v>362000</v>
      </c>
      <c r="AR137" s="44">
        <v>401.33037694013302</v>
      </c>
      <c r="AS137" s="39">
        <v>902</v>
      </c>
      <c r="AT137" s="46">
        <v>372000</v>
      </c>
      <c r="AU137" s="50">
        <v>411.96013289036546</v>
      </c>
      <c r="AV137" s="39">
        <v>903</v>
      </c>
      <c r="AW137" s="46">
        <v>384000</v>
      </c>
      <c r="AX137" s="47">
        <v>424.77876106194691</v>
      </c>
      <c r="AY137" s="39">
        <v>904</v>
      </c>
      <c r="AZ137" s="41">
        <v>61.7</v>
      </c>
      <c r="BA137" s="41">
        <v>28.650442477876105</v>
      </c>
      <c r="BB137" s="46">
        <v>2633000</v>
      </c>
      <c r="BC137" s="48">
        <v>3534.2281879194629</v>
      </c>
      <c r="BD137" s="40">
        <v>745</v>
      </c>
      <c r="BE137" s="46">
        <v>106000</v>
      </c>
      <c r="BF137" s="47">
        <v>721.08843537414964</v>
      </c>
      <c r="BG137" s="40">
        <v>147</v>
      </c>
      <c r="BH137" s="46">
        <v>1000</v>
      </c>
      <c r="BI137" s="49">
        <v>333.33333333333331</v>
      </c>
      <c r="BJ137" s="45">
        <v>3</v>
      </c>
      <c r="BK137" s="47">
        <v>278.18959346991039</v>
      </c>
      <c r="BL137" s="55">
        <v>816000</v>
      </c>
      <c r="BM137" s="41">
        <v>6.861103766581671</v>
      </c>
      <c r="BN137" s="56">
        <v>1470000</v>
      </c>
      <c r="BO137" s="41">
        <v>12.360076638327275</v>
      </c>
      <c r="BP137" s="56">
        <v>952000</v>
      </c>
      <c r="BQ137" s="41">
        <v>8.0046210610119495</v>
      </c>
      <c r="BR137" s="39">
        <v>1112000</v>
      </c>
      <c r="BS137" s="41">
        <v>9.349935525047572</v>
      </c>
      <c r="BT137" s="39">
        <v>708000</v>
      </c>
      <c r="BU137" s="41">
        <v>5.9530165033576266</v>
      </c>
      <c r="BV137" s="56">
        <v>6032130.1399999997</v>
      </c>
      <c r="BW137" s="41">
        <v>50.719449539295127</v>
      </c>
      <c r="BX137" s="40">
        <v>803000</v>
      </c>
      <c r="BY137" s="41">
        <v>6.7517969663787776</v>
      </c>
      <c r="BZ137" s="57">
        <v>263.39573918657197</v>
      </c>
      <c r="CA137" s="58">
        <v>307.29502905100065</v>
      </c>
      <c r="CB137" s="59">
        <v>387.02388637830859</v>
      </c>
      <c r="CC137" s="47">
        <v>358.94125242091673</v>
      </c>
      <c r="CD137" s="58">
        <v>163.65397030342157</v>
      </c>
      <c r="CE137" s="59">
        <v>87.475790832795354</v>
      </c>
      <c r="CF137" s="59">
        <v>259.1994835377663</v>
      </c>
      <c r="CG137" s="59">
        <v>64.880568108457069</v>
      </c>
      <c r="CH137" s="47">
        <v>1947.1046287927695</v>
      </c>
      <c r="CI137" s="43">
        <v>968</v>
      </c>
      <c r="CJ137" s="44">
        <v>319.69026548672565</v>
      </c>
      <c r="CK137" s="60">
        <v>59.166430260047278</v>
      </c>
      <c r="CL137" s="53">
        <v>387.33000000000004</v>
      </c>
      <c r="CM137" s="41">
        <v>18.313475177304966</v>
      </c>
      <c r="CN137" s="53">
        <v>864.04</v>
      </c>
      <c r="CO137" s="41">
        <v>40.852955082742312</v>
      </c>
      <c r="CP137" s="54">
        <v>863.63</v>
      </c>
      <c r="CQ137" s="41">
        <v>40.833569739952722</v>
      </c>
      <c r="CR137" s="43">
        <v>1466</v>
      </c>
      <c r="CS137" s="52">
        <v>34.720327421555254</v>
      </c>
      <c r="CT137" s="41">
        <v>931.63000000000011</v>
      </c>
      <c r="CU137" s="41">
        <v>300.71981923821824</v>
      </c>
      <c r="CV137" s="52">
        <v>32</v>
      </c>
      <c r="CW137" s="38">
        <v>1</v>
      </c>
      <c r="CX137" s="38">
        <v>0</v>
      </c>
      <c r="CY137" s="51">
        <v>1</v>
      </c>
      <c r="CZ137" s="41">
        <v>3.7088444157520981</v>
      </c>
      <c r="DA137" s="39">
        <v>2384000</v>
      </c>
      <c r="DB137" s="39">
        <v>3442000</v>
      </c>
      <c r="DC137" s="39">
        <v>2379000</v>
      </c>
      <c r="DD137" s="39">
        <v>3441000</v>
      </c>
      <c r="DE137" s="39">
        <v>1837000</v>
      </c>
      <c r="DF137" s="62">
        <v>1703000</v>
      </c>
      <c r="DG137" s="41">
        <v>107.87</v>
      </c>
      <c r="DH137" s="41">
        <v>91.34</v>
      </c>
      <c r="DI137" s="41">
        <v>8.5</v>
      </c>
      <c r="DJ137" s="37" t="s">
        <v>390</v>
      </c>
      <c r="DK137" s="40">
        <v>41000</v>
      </c>
      <c r="DL137" s="40">
        <v>101000</v>
      </c>
      <c r="DM137" s="40">
        <v>0</v>
      </c>
      <c r="DN137" s="40">
        <v>13235</v>
      </c>
      <c r="DO137" s="40">
        <v>0</v>
      </c>
      <c r="DP137" s="40">
        <v>195994</v>
      </c>
      <c r="DQ137" s="64">
        <v>2</v>
      </c>
      <c r="DR137" s="40">
        <v>3132</v>
      </c>
      <c r="DS137" s="98">
        <v>0</v>
      </c>
      <c r="DT137" s="38">
        <v>8</v>
      </c>
      <c r="DU137" s="66">
        <v>387.25</v>
      </c>
      <c r="DV137" s="41">
        <v>25</v>
      </c>
      <c r="DW137" s="41">
        <v>75</v>
      </c>
      <c r="DX137" s="41">
        <v>12.5</v>
      </c>
      <c r="DY137" s="41">
        <v>0</v>
      </c>
      <c r="DZ137" s="41">
        <v>12.5</v>
      </c>
      <c r="EA137" s="41">
        <v>12.5</v>
      </c>
      <c r="EB137" s="41">
        <v>37.5</v>
      </c>
      <c r="EC137" s="40">
        <v>68.36</v>
      </c>
      <c r="ED137" s="184">
        <v>45.318899941486251</v>
      </c>
    </row>
    <row r="138" spans="1:134" s="13" customFormat="1">
      <c r="A138" s="156" t="s">
        <v>285</v>
      </c>
      <c r="B138" s="285">
        <v>2014</v>
      </c>
      <c r="C138" s="259">
        <v>10</v>
      </c>
      <c r="D138" s="80" t="s">
        <v>345</v>
      </c>
      <c r="E138" s="56">
        <v>22308.5</v>
      </c>
      <c r="F138" s="56">
        <v>6840</v>
      </c>
      <c r="G138" s="82">
        <v>-1.0702921608330922</v>
      </c>
      <c r="H138" s="179">
        <v>0.3</v>
      </c>
      <c r="I138" s="56">
        <v>3723</v>
      </c>
      <c r="J138" s="56">
        <v>54.429824561403507</v>
      </c>
      <c r="K138" s="56">
        <v>3117</v>
      </c>
      <c r="L138" s="84">
        <v>45.570175438596486</v>
      </c>
      <c r="M138" s="160">
        <v>24.561403508771928</v>
      </c>
      <c r="N138" s="160">
        <v>50.277777777777779</v>
      </c>
      <c r="O138" s="160">
        <v>25.160818713450293</v>
      </c>
      <c r="P138" s="160">
        <v>36.271929824561404</v>
      </c>
      <c r="Q138" s="160">
        <v>38.567251461988306</v>
      </c>
      <c r="R138" s="160">
        <v>25.160818713450293</v>
      </c>
      <c r="S138" s="83">
        <v>28.064466139779949</v>
      </c>
      <c r="T138" s="83">
        <v>5.6</v>
      </c>
      <c r="U138" s="38">
        <v>3</v>
      </c>
      <c r="V138" s="41">
        <v>11.5</v>
      </c>
      <c r="W138" s="40">
        <v>42958</v>
      </c>
      <c r="X138" s="41">
        <v>2.2999999999999998</v>
      </c>
      <c r="Y138" s="42" t="s">
        <v>351</v>
      </c>
      <c r="Z138" s="43">
        <v>695</v>
      </c>
      <c r="AA138" s="45">
        <v>2</v>
      </c>
      <c r="AB138" s="67">
        <v>26</v>
      </c>
      <c r="AC138" s="63">
        <v>1669.692</v>
      </c>
      <c r="AD138" s="43">
        <v>51</v>
      </c>
      <c r="AE138" s="44">
        <v>21.16</v>
      </c>
      <c r="AF138" s="44">
        <v>5.4347000000000003</v>
      </c>
      <c r="AG138" s="41">
        <v>56.17</v>
      </c>
      <c r="AH138" s="41">
        <v>43.83</v>
      </c>
      <c r="AI138" s="44">
        <v>7.35</v>
      </c>
      <c r="AJ138" s="41">
        <v>12.047599999999999</v>
      </c>
      <c r="AK138" s="41">
        <v>3.199791883454735</v>
      </c>
      <c r="AL138" s="41">
        <v>13.226199999999999</v>
      </c>
      <c r="AM138" s="39">
        <v>38105</v>
      </c>
      <c r="AN138" s="39">
        <v>31465</v>
      </c>
      <c r="AO138" s="40">
        <v>21213</v>
      </c>
      <c r="AP138" s="40">
        <v>28749</v>
      </c>
      <c r="AQ138" s="39">
        <v>1131000</v>
      </c>
      <c r="AR138" s="44">
        <v>310.97058014847403</v>
      </c>
      <c r="AS138" s="39">
        <v>3637</v>
      </c>
      <c r="AT138" s="46">
        <v>1213000</v>
      </c>
      <c r="AU138" s="50">
        <v>334.52840595697739</v>
      </c>
      <c r="AV138" s="39">
        <v>3626</v>
      </c>
      <c r="AW138" s="46">
        <v>1238000</v>
      </c>
      <c r="AX138" s="47">
        <v>338.43630399125203</v>
      </c>
      <c r="AY138" s="39">
        <v>3658</v>
      </c>
      <c r="AZ138" s="41">
        <v>50.6</v>
      </c>
      <c r="BA138" s="41">
        <v>18.206670311645709</v>
      </c>
      <c r="BB138" s="46">
        <v>3466000</v>
      </c>
      <c r="BC138" s="48">
        <v>4387.341772151899</v>
      </c>
      <c r="BD138" s="40">
        <v>790</v>
      </c>
      <c r="BE138" s="46">
        <v>295000</v>
      </c>
      <c r="BF138" s="47">
        <v>585.31746031746036</v>
      </c>
      <c r="BG138" s="40">
        <v>504</v>
      </c>
      <c r="BH138" s="49" t="s">
        <v>382</v>
      </c>
      <c r="BI138" s="49" t="s">
        <v>382</v>
      </c>
      <c r="BJ138" s="213">
        <v>0</v>
      </c>
      <c r="BK138" s="47">
        <v>9.1869905981196247</v>
      </c>
      <c r="BL138" s="55">
        <v>3257000</v>
      </c>
      <c r="BM138" s="41">
        <v>15.353792485739875</v>
      </c>
      <c r="BN138" s="56">
        <v>2362000</v>
      </c>
      <c r="BO138" s="41">
        <v>11.134681563192382</v>
      </c>
      <c r="BP138" s="56">
        <v>1010000</v>
      </c>
      <c r="BQ138" s="41">
        <v>4.7612313204167256</v>
      </c>
      <c r="BR138" s="39">
        <v>2447000</v>
      </c>
      <c r="BS138" s="41">
        <v>11.535379248573987</v>
      </c>
      <c r="BT138" s="39">
        <v>2292000</v>
      </c>
      <c r="BU138" s="41">
        <v>10.804695234054588</v>
      </c>
      <c r="BV138" s="56">
        <v>4140000</v>
      </c>
      <c r="BW138" s="41">
        <v>19.51633432329232</v>
      </c>
      <c r="BX138" s="40">
        <v>5705000</v>
      </c>
      <c r="BY138" s="41">
        <v>26.89388582473012</v>
      </c>
      <c r="BZ138" s="57">
        <v>476.16959064327483</v>
      </c>
      <c r="CA138" s="58">
        <v>147.66081871345028</v>
      </c>
      <c r="CB138" s="59">
        <v>269.44444444444446</v>
      </c>
      <c r="CC138" s="47">
        <v>357.74853801169593</v>
      </c>
      <c r="CD138" s="58">
        <v>278.94736842105266</v>
      </c>
      <c r="CE138" s="59">
        <v>75.877192982456137</v>
      </c>
      <c r="CF138" s="59">
        <v>834.06432748538009</v>
      </c>
      <c r="CG138" s="59">
        <v>56.140350877192979</v>
      </c>
      <c r="CH138" s="47">
        <v>605.26315789473688</v>
      </c>
      <c r="CI138" s="43">
        <v>1655</v>
      </c>
      <c r="CJ138" s="44">
        <v>322.03389830508473</v>
      </c>
      <c r="CK138" s="60">
        <v>0</v>
      </c>
      <c r="CL138" s="53" t="s">
        <v>382</v>
      </c>
      <c r="CM138" s="41">
        <v>0</v>
      </c>
      <c r="CN138" s="53" t="s">
        <v>382</v>
      </c>
      <c r="CO138" s="41">
        <v>0</v>
      </c>
      <c r="CP138" s="54">
        <v>1900</v>
      </c>
      <c r="CQ138" s="41">
        <v>100</v>
      </c>
      <c r="CR138" s="43">
        <v>2920</v>
      </c>
      <c r="CS138" s="52">
        <v>36.335616438356169</v>
      </c>
      <c r="CT138" s="41">
        <v>2374.922</v>
      </c>
      <c r="CU138" s="41">
        <v>347.21081871345029</v>
      </c>
      <c r="CV138" s="52">
        <v>81.42</v>
      </c>
      <c r="CW138" s="38">
        <v>6</v>
      </c>
      <c r="CX138" s="38">
        <v>5</v>
      </c>
      <c r="CY138" s="51">
        <v>2</v>
      </c>
      <c r="CZ138" s="97">
        <v>1.8</v>
      </c>
      <c r="DA138" s="39">
        <v>4306000</v>
      </c>
      <c r="DB138" s="39">
        <v>4425000</v>
      </c>
      <c r="DC138" s="39">
        <v>2151000</v>
      </c>
      <c r="DD138" s="39">
        <v>2151000</v>
      </c>
      <c r="DE138" s="39">
        <v>4055000</v>
      </c>
      <c r="DF138" s="62">
        <v>4032000</v>
      </c>
      <c r="DG138" s="41">
        <v>100.57000000000001</v>
      </c>
      <c r="DH138" s="41">
        <v>220.99</v>
      </c>
      <c r="DI138" s="41">
        <v>13.25</v>
      </c>
      <c r="DJ138" s="37" t="s">
        <v>390</v>
      </c>
      <c r="DK138" s="40">
        <v>48000</v>
      </c>
      <c r="DL138" s="40">
        <v>115000</v>
      </c>
      <c r="DM138" s="40">
        <v>0</v>
      </c>
      <c r="DN138" s="40">
        <v>0</v>
      </c>
      <c r="DO138" s="40">
        <v>7025.27</v>
      </c>
      <c r="DP138" s="40">
        <v>208696</v>
      </c>
      <c r="DQ138" s="64">
        <v>0</v>
      </c>
      <c r="DR138" s="40">
        <v>0</v>
      </c>
      <c r="DS138" s="98">
        <v>0</v>
      </c>
      <c r="DT138" s="38">
        <v>9</v>
      </c>
      <c r="DU138" s="66">
        <v>760</v>
      </c>
      <c r="DV138" s="41">
        <v>11.111111111111111</v>
      </c>
      <c r="DW138" s="41">
        <v>88.888888888888886</v>
      </c>
      <c r="DX138" s="41">
        <v>22.222222222222221</v>
      </c>
      <c r="DY138" s="41">
        <v>11.111111111111111</v>
      </c>
      <c r="DZ138" s="41">
        <v>0</v>
      </c>
      <c r="EA138" s="41">
        <v>44.444444444444443</v>
      </c>
      <c r="EB138" s="41">
        <v>55.555555555555557</v>
      </c>
      <c r="EC138" s="40">
        <v>129</v>
      </c>
      <c r="ED138" s="184">
        <v>53.02325581395349</v>
      </c>
    </row>
    <row r="139" spans="1:134" s="13" customFormat="1">
      <c r="A139" s="156" t="s">
        <v>286</v>
      </c>
      <c r="B139" s="285">
        <v>2014</v>
      </c>
      <c r="C139" s="259">
        <v>9</v>
      </c>
      <c r="D139" s="80" t="s">
        <v>344</v>
      </c>
      <c r="E139" s="56">
        <v>10753.8</v>
      </c>
      <c r="F139" s="56">
        <v>2921</v>
      </c>
      <c r="G139" s="82">
        <v>4.061275382971143</v>
      </c>
      <c r="H139" s="179">
        <v>0.3</v>
      </c>
      <c r="I139" s="56">
        <v>1471</v>
      </c>
      <c r="J139" s="56">
        <v>50.359465936323176</v>
      </c>
      <c r="K139" s="56">
        <v>1450</v>
      </c>
      <c r="L139" s="84">
        <v>49.640534063676824</v>
      </c>
      <c r="M139" s="160">
        <v>26.29236562820952</v>
      </c>
      <c r="N139" s="160">
        <v>49.195480999657654</v>
      </c>
      <c r="O139" s="160">
        <v>24.512153372132829</v>
      </c>
      <c r="P139" s="160">
        <v>36.768230058199251</v>
      </c>
      <c r="Q139" s="160">
        <v>38.71961656966792</v>
      </c>
      <c r="R139" s="160">
        <v>24.512153372132829</v>
      </c>
      <c r="S139" s="83">
        <v>13.301920985864443</v>
      </c>
      <c r="T139" s="83">
        <v>1.5</v>
      </c>
      <c r="U139" s="38">
        <v>49</v>
      </c>
      <c r="V139" s="41">
        <v>5.4</v>
      </c>
      <c r="W139" s="40">
        <v>45495</v>
      </c>
      <c r="X139" s="41">
        <v>2.4</v>
      </c>
      <c r="Y139" s="42" t="s">
        <v>351</v>
      </c>
      <c r="Z139" s="43">
        <v>444</v>
      </c>
      <c r="AA139" s="45">
        <v>15</v>
      </c>
      <c r="AB139" s="67">
        <v>39</v>
      </c>
      <c r="AC139" s="63">
        <v>1887.008</v>
      </c>
      <c r="AD139" s="43">
        <v>24</v>
      </c>
      <c r="AE139" s="44">
        <v>0.28999999999999998</v>
      </c>
      <c r="AF139" s="44">
        <v>8.6382000000000012</v>
      </c>
      <c r="AG139" s="41">
        <v>61.02</v>
      </c>
      <c r="AH139" s="41">
        <v>38.979999999999997</v>
      </c>
      <c r="AI139" s="44">
        <v>2.5099999999999998</v>
      </c>
      <c r="AJ139" s="41">
        <v>33.200000000000003</v>
      </c>
      <c r="AK139" s="41">
        <v>0.83930899608865706</v>
      </c>
      <c r="AL139" s="41">
        <v>13.1751</v>
      </c>
      <c r="AM139" s="39">
        <v>11895</v>
      </c>
      <c r="AN139" s="39">
        <v>11690</v>
      </c>
      <c r="AO139" s="40">
        <v>12249</v>
      </c>
      <c r="AP139" s="40">
        <v>12552</v>
      </c>
      <c r="AQ139" s="39">
        <v>496000</v>
      </c>
      <c r="AR139" s="44">
        <v>456.3017479300828</v>
      </c>
      <c r="AS139" s="39">
        <v>1087</v>
      </c>
      <c r="AT139" s="46">
        <v>519000</v>
      </c>
      <c r="AU139" s="50">
        <v>476.58402203856747</v>
      </c>
      <c r="AV139" s="39">
        <v>1089</v>
      </c>
      <c r="AW139" s="46">
        <v>532000</v>
      </c>
      <c r="AX139" s="47">
        <v>486.73376029277216</v>
      </c>
      <c r="AY139" s="39">
        <v>1093</v>
      </c>
      <c r="AZ139" s="41">
        <v>55.800000000000004</v>
      </c>
      <c r="BA139" s="41">
        <v>18.572735590118938</v>
      </c>
      <c r="BB139" s="46">
        <v>3599000</v>
      </c>
      <c r="BC139" s="48">
        <v>5277.1260997067448</v>
      </c>
      <c r="BD139" s="40">
        <v>682</v>
      </c>
      <c r="BE139" s="46">
        <v>168000</v>
      </c>
      <c r="BF139" s="47">
        <v>1354.8387096774193</v>
      </c>
      <c r="BG139" s="40">
        <v>124</v>
      </c>
      <c r="BH139" s="49" t="s">
        <v>382</v>
      </c>
      <c r="BI139" s="49" t="s">
        <v>382</v>
      </c>
      <c r="BJ139" s="213">
        <v>0</v>
      </c>
      <c r="BK139" s="47">
        <v>154.26917469178878</v>
      </c>
      <c r="BL139" s="55">
        <v>2542000</v>
      </c>
      <c r="BM139" s="41">
        <v>20.774762994442629</v>
      </c>
      <c r="BN139" s="56">
        <v>1808000</v>
      </c>
      <c r="BO139" s="41">
        <v>14.776070611310885</v>
      </c>
      <c r="BP139" s="56">
        <v>674000</v>
      </c>
      <c r="BQ139" s="41">
        <v>5.5083360575351428</v>
      </c>
      <c r="BR139" s="39">
        <v>200000</v>
      </c>
      <c r="BS139" s="41">
        <v>1.6345210853220007</v>
      </c>
      <c r="BT139" s="39">
        <v>1381000</v>
      </c>
      <c r="BU139" s="41">
        <v>11.286368094148415</v>
      </c>
      <c r="BV139" s="56">
        <v>4262000</v>
      </c>
      <c r="BW139" s="41">
        <v>34.831644328211837</v>
      </c>
      <c r="BX139" s="40">
        <v>1369000</v>
      </c>
      <c r="BY139" s="41">
        <v>11.188296829029094</v>
      </c>
      <c r="BZ139" s="57">
        <v>870.24991441287227</v>
      </c>
      <c r="CA139" s="58">
        <v>230.74289626840124</v>
      </c>
      <c r="CB139" s="59">
        <v>451.90003423485109</v>
      </c>
      <c r="CC139" s="47">
        <v>68.46970215679562</v>
      </c>
      <c r="CD139" s="58">
        <v>362.54707292023278</v>
      </c>
      <c r="CE139" s="59">
        <v>167.06607326258131</v>
      </c>
      <c r="CF139" s="59">
        <v>468.67511126326599</v>
      </c>
      <c r="CG139" s="59">
        <v>110.23622047244095</v>
      </c>
      <c r="CH139" s="47">
        <v>1459.0893529613147</v>
      </c>
      <c r="CI139" s="43">
        <v>1290</v>
      </c>
      <c r="CJ139" s="44">
        <v>186.64226898444647</v>
      </c>
      <c r="CK139" s="60">
        <v>0.15430698012163022</v>
      </c>
      <c r="CL139" s="53">
        <v>2.04</v>
      </c>
      <c r="CM139" s="41">
        <v>0.15430698012163022</v>
      </c>
      <c r="CN139" s="53" t="s">
        <v>382</v>
      </c>
      <c r="CO139" s="41">
        <v>0</v>
      </c>
      <c r="CP139" s="95">
        <v>1320</v>
      </c>
      <c r="CQ139" s="41">
        <v>99.845693019878368</v>
      </c>
      <c r="CR139" s="43">
        <v>1282</v>
      </c>
      <c r="CS139" s="52">
        <v>67.550702028081119</v>
      </c>
      <c r="CT139" s="41">
        <v>1323.96</v>
      </c>
      <c r="CU139" s="41">
        <v>453.25573433755568</v>
      </c>
      <c r="CV139" s="52">
        <v>70</v>
      </c>
      <c r="CW139" s="38">
        <v>1</v>
      </c>
      <c r="CX139" s="38">
        <v>1</v>
      </c>
      <c r="CY139" s="51">
        <v>1</v>
      </c>
      <c r="CZ139" s="41">
        <v>8.1636425881547421</v>
      </c>
      <c r="DA139" s="39">
        <v>2487000</v>
      </c>
      <c r="DB139" s="39">
        <v>2377000</v>
      </c>
      <c r="DC139" s="39">
        <v>2401000</v>
      </c>
      <c r="DD139" s="39">
        <v>1990000</v>
      </c>
      <c r="DE139" s="39">
        <v>2364000</v>
      </c>
      <c r="DF139" s="62">
        <v>2005000</v>
      </c>
      <c r="DG139" s="41">
        <v>117.91</v>
      </c>
      <c r="DH139" s="41">
        <v>93.02</v>
      </c>
      <c r="DI139" s="41">
        <v>0.89999999999999991</v>
      </c>
      <c r="DJ139" s="37" t="s">
        <v>390</v>
      </c>
      <c r="DK139" s="40">
        <v>23000</v>
      </c>
      <c r="DL139" s="40">
        <v>126000</v>
      </c>
      <c r="DM139" s="40">
        <v>0</v>
      </c>
      <c r="DN139" s="40">
        <v>5689.03</v>
      </c>
      <c r="DO139" s="40">
        <v>0</v>
      </c>
      <c r="DP139" s="40">
        <v>190810</v>
      </c>
      <c r="DQ139" s="64">
        <v>0</v>
      </c>
      <c r="DR139" s="40">
        <v>0</v>
      </c>
      <c r="DS139" s="98">
        <v>0</v>
      </c>
      <c r="DT139" s="38">
        <v>12</v>
      </c>
      <c r="DU139" s="66">
        <v>243.41666666666666</v>
      </c>
      <c r="DV139" s="41">
        <v>16.666666666666664</v>
      </c>
      <c r="DW139" s="41">
        <v>83.333333333333343</v>
      </c>
      <c r="DX139" s="41">
        <v>0</v>
      </c>
      <c r="DY139" s="41">
        <v>0</v>
      </c>
      <c r="DZ139" s="41">
        <v>0</v>
      </c>
      <c r="EA139" s="41">
        <v>66.666666666666657</v>
      </c>
      <c r="EB139" s="41">
        <v>33.333333333333329</v>
      </c>
      <c r="EC139" s="40">
        <v>73</v>
      </c>
      <c r="ED139" s="184">
        <v>40.013698630136986</v>
      </c>
    </row>
    <row r="140" spans="1:134" s="13" customFormat="1">
      <c r="A140" s="156" t="s">
        <v>287</v>
      </c>
      <c r="B140" s="285">
        <v>2014</v>
      </c>
      <c r="C140" s="259">
        <v>3</v>
      </c>
      <c r="D140" s="80" t="s">
        <v>343</v>
      </c>
      <c r="E140" s="56">
        <v>149.4</v>
      </c>
      <c r="F140" s="56">
        <v>155289</v>
      </c>
      <c r="G140" s="82">
        <v>7.1771688867416668</v>
      </c>
      <c r="H140" s="179">
        <v>1039.7</v>
      </c>
      <c r="I140" s="56">
        <v>76686</v>
      </c>
      <c r="J140" s="56">
        <v>49.38276375016904</v>
      </c>
      <c r="K140" s="56">
        <v>78603</v>
      </c>
      <c r="L140" s="84">
        <v>50.617236249830967</v>
      </c>
      <c r="M140" s="160">
        <v>25.464778574142404</v>
      </c>
      <c r="N140" s="160">
        <v>54.193793507589071</v>
      </c>
      <c r="O140" s="160">
        <v>20.341427918268518</v>
      </c>
      <c r="P140" s="160">
        <v>37.049630044626468</v>
      </c>
      <c r="Q140" s="160">
        <v>42.60894203710501</v>
      </c>
      <c r="R140" s="160">
        <v>20.341427918268518</v>
      </c>
      <c r="S140" s="83">
        <v>0.42844657917735413</v>
      </c>
      <c r="T140" s="83">
        <v>16.100000000000001</v>
      </c>
      <c r="U140" s="38">
        <v>140</v>
      </c>
      <c r="V140" s="41">
        <v>3</v>
      </c>
      <c r="W140" s="40">
        <v>65007</v>
      </c>
      <c r="X140" s="41">
        <v>2.7</v>
      </c>
      <c r="Y140" s="42" t="s">
        <v>142</v>
      </c>
      <c r="Z140" s="43">
        <v>16315</v>
      </c>
      <c r="AA140" s="45">
        <v>0</v>
      </c>
      <c r="AB140" s="63">
        <v>1091</v>
      </c>
      <c r="AC140" s="63">
        <v>581284.64</v>
      </c>
      <c r="AD140" s="43">
        <v>52</v>
      </c>
      <c r="AE140" s="44">
        <v>3.68</v>
      </c>
      <c r="AF140" s="44">
        <v>3.42</v>
      </c>
      <c r="AG140" s="41">
        <v>86.8</v>
      </c>
      <c r="AH140" s="41">
        <v>13.200000000000003</v>
      </c>
      <c r="AI140" s="44">
        <v>3.04E-2</v>
      </c>
      <c r="AJ140" s="41">
        <v>23.53</v>
      </c>
      <c r="AK140" s="41">
        <v>0</v>
      </c>
      <c r="AL140" s="41">
        <v>7.15</v>
      </c>
      <c r="AM140" s="39">
        <v>136563</v>
      </c>
      <c r="AN140" s="39">
        <v>145016</v>
      </c>
      <c r="AO140" s="40">
        <v>155986</v>
      </c>
      <c r="AP140" s="40">
        <v>178135</v>
      </c>
      <c r="AQ140" s="39">
        <v>55954000</v>
      </c>
      <c r="AR140" s="44">
        <v>1069.8047913121618</v>
      </c>
      <c r="AS140" s="39">
        <v>52303</v>
      </c>
      <c r="AT140" s="46">
        <v>58148000</v>
      </c>
      <c r="AU140" s="50">
        <v>1100.3084375650462</v>
      </c>
      <c r="AV140" s="39">
        <v>52847</v>
      </c>
      <c r="AW140" s="46">
        <v>60204000</v>
      </c>
      <c r="AX140" s="47">
        <v>1142.2608431677609</v>
      </c>
      <c r="AY140" s="39">
        <v>52706</v>
      </c>
      <c r="AZ140" s="41">
        <v>80.900000000000006</v>
      </c>
      <c r="BA140" s="41">
        <v>15.351193412514705</v>
      </c>
      <c r="BB140" s="48" t="s">
        <v>382</v>
      </c>
      <c r="BC140" s="48" t="s">
        <v>382</v>
      </c>
      <c r="BD140" s="40">
        <v>0</v>
      </c>
      <c r="BE140" s="46">
        <v>14574000</v>
      </c>
      <c r="BF140" s="47">
        <v>3602.9666254635354</v>
      </c>
      <c r="BG140" s="40">
        <v>4045</v>
      </c>
      <c r="BH140" s="49" t="s">
        <v>382</v>
      </c>
      <c r="BI140" s="49" t="s">
        <v>382</v>
      </c>
      <c r="BJ140" s="213">
        <v>0</v>
      </c>
      <c r="BK140" s="47">
        <v>370.2744836582952</v>
      </c>
      <c r="BL140" s="55">
        <v>19704000</v>
      </c>
      <c r="BM140" s="41">
        <v>12.631902863077455</v>
      </c>
      <c r="BN140" s="56">
        <v>9813000</v>
      </c>
      <c r="BO140" s="41">
        <v>6.2909491877476187</v>
      </c>
      <c r="BP140" s="56">
        <v>61669000</v>
      </c>
      <c r="BQ140" s="41">
        <v>39.534958265485365</v>
      </c>
      <c r="BR140" s="39">
        <v>23010000</v>
      </c>
      <c r="BS140" s="41">
        <v>14.751323836754581</v>
      </c>
      <c r="BT140" s="39">
        <v>30070000</v>
      </c>
      <c r="BU140" s="41">
        <v>19.277371046119523</v>
      </c>
      <c r="BV140" s="56">
        <v>9954000</v>
      </c>
      <c r="BW140" s="41">
        <v>6.3813419153000916</v>
      </c>
      <c r="BX140" s="40">
        <v>1766000</v>
      </c>
      <c r="BY140" s="41">
        <v>1.1321528855153669</v>
      </c>
      <c r="BZ140" s="57">
        <v>126.88599965226126</v>
      </c>
      <c r="CA140" s="58">
        <v>397.12407189176309</v>
      </c>
      <c r="CB140" s="43" t="s">
        <v>382</v>
      </c>
      <c r="CC140" s="47">
        <v>148.17533759635262</v>
      </c>
      <c r="CD140" s="58">
        <v>148.82573781787505</v>
      </c>
      <c r="CE140" s="59">
        <v>63.191855186136813</v>
      </c>
      <c r="CF140" s="59">
        <v>11.372344467412374</v>
      </c>
      <c r="CG140" s="59">
        <v>44.813219223512291</v>
      </c>
      <c r="CH140" s="47">
        <v>64.099839653806768</v>
      </c>
      <c r="CI140" s="43" t="s">
        <v>382</v>
      </c>
      <c r="CJ140" s="44">
        <v>411.96448222213792</v>
      </c>
      <c r="CK140" s="60">
        <v>50.632267462618366</v>
      </c>
      <c r="CL140" s="53">
        <v>16486.059999999998</v>
      </c>
      <c r="CM140" s="41">
        <v>23.544450950429155</v>
      </c>
      <c r="CN140" s="53">
        <v>18967.16</v>
      </c>
      <c r="CO140" s="41">
        <v>27.0878165121892</v>
      </c>
      <c r="CP140" s="54">
        <v>34567.79</v>
      </c>
      <c r="CQ140" s="41">
        <v>49.367746818811504</v>
      </c>
      <c r="CR140" s="43">
        <v>39523</v>
      </c>
      <c r="CS140" s="52">
        <v>65.367001492801663</v>
      </c>
      <c r="CT140" s="41">
        <v>486.96999999999997</v>
      </c>
      <c r="CU140" s="41">
        <v>3.1358950086612705</v>
      </c>
      <c r="CV140" s="52">
        <v>1532</v>
      </c>
      <c r="CW140" s="38">
        <v>7</v>
      </c>
      <c r="CX140" s="38">
        <v>30</v>
      </c>
      <c r="CY140" s="51">
        <v>4</v>
      </c>
      <c r="CZ140" s="41">
        <v>6.4234556214541918</v>
      </c>
      <c r="DA140" s="39">
        <v>6411000</v>
      </c>
      <c r="DB140" s="39">
        <v>5863000</v>
      </c>
      <c r="DC140" s="39">
        <v>7409000</v>
      </c>
      <c r="DD140" s="39">
        <v>8241000</v>
      </c>
      <c r="DE140" s="39">
        <v>8574000</v>
      </c>
      <c r="DF140" s="62">
        <v>8231000</v>
      </c>
      <c r="DG140" s="41">
        <v>104.17</v>
      </c>
      <c r="DH140" s="41">
        <v>150.12</v>
      </c>
      <c r="DI140" s="41">
        <v>0.91</v>
      </c>
      <c r="DJ140" s="37" t="s">
        <v>390</v>
      </c>
      <c r="DK140" s="40">
        <v>112000</v>
      </c>
      <c r="DL140" s="40">
        <v>289000</v>
      </c>
      <c r="DM140" s="40">
        <v>0</v>
      </c>
      <c r="DN140" s="40">
        <v>21665.279999999999</v>
      </c>
      <c r="DO140" s="40">
        <v>0</v>
      </c>
      <c r="DP140" s="40">
        <v>421215</v>
      </c>
      <c r="DQ140" s="64">
        <v>0</v>
      </c>
      <c r="DR140" s="40">
        <v>7982</v>
      </c>
      <c r="DS140" s="98">
        <v>0</v>
      </c>
      <c r="DT140" s="38">
        <v>10</v>
      </c>
      <c r="DU140" s="66">
        <v>15528.9</v>
      </c>
      <c r="DV140" s="41">
        <v>30</v>
      </c>
      <c r="DW140" s="41">
        <v>70</v>
      </c>
      <c r="DX140" s="41">
        <v>0</v>
      </c>
      <c r="DY140" s="41">
        <v>10</v>
      </c>
      <c r="DZ140" s="41">
        <v>10</v>
      </c>
      <c r="EA140" s="41">
        <v>70</v>
      </c>
      <c r="EB140" s="41">
        <v>20</v>
      </c>
      <c r="EC140" s="40">
        <v>589</v>
      </c>
      <c r="ED140" s="184">
        <v>263.64855687606109</v>
      </c>
    </row>
    <row r="141" spans="1:134" s="13" customFormat="1">
      <c r="A141" s="156" t="s">
        <v>288</v>
      </c>
      <c r="B141" s="285">
        <v>2014</v>
      </c>
      <c r="C141" s="259">
        <v>10</v>
      </c>
      <c r="D141" s="80" t="s">
        <v>345</v>
      </c>
      <c r="E141" s="56">
        <v>12371.1</v>
      </c>
      <c r="F141" s="56">
        <v>9786</v>
      </c>
      <c r="G141" s="82">
        <v>-1.4501510574018126</v>
      </c>
      <c r="H141" s="179">
        <v>0.8</v>
      </c>
      <c r="I141" s="56">
        <v>4858</v>
      </c>
      <c r="J141" s="56">
        <v>49.642346208869817</v>
      </c>
      <c r="K141" s="56">
        <v>4928</v>
      </c>
      <c r="L141" s="84">
        <v>50.357653791130183</v>
      </c>
      <c r="M141" s="160">
        <v>25.301451052524015</v>
      </c>
      <c r="N141" s="160">
        <v>43.807480073574496</v>
      </c>
      <c r="O141" s="160">
        <v>30.891068873901489</v>
      </c>
      <c r="P141" s="160">
        <v>33.711424483956669</v>
      </c>
      <c r="Q141" s="160">
        <v>35.397506642141835</v>
      </c>
      <c r="R141" s="160">
        <v>30.891068873901489</v>
      </c>
      <c r="S141" s="83">
        <v>9.2918969652727093</v>
      </c>
      <c r="T141" s="83">
        <v>1.9</v>
      </c>
      <c r="U141" s="38">
        <v>15</v>
      </c>
      <c r="V141" s="41">
        <v>6</v>
      </c>
      <c r="W141" s="40">
        <v>37738</v>
      </c>
      <c r="X141" s="41">
        <v>2.4</v>
      </c>
      <c r="Y141" s="42" t="s">
        <v>351</v>
      </c>
      <c r="Z141" s="43">
        <v>1204</v>
      </c>
      <c r="AA141" s="45">
        <v>0</v>
      </c>
      <c r="AB141" s="67">
        <v>63</v>
      </c>
      <c r="AC141" s="63">
        <v>8966.7890000000007</v>
      </c>
      <c r="AD141" s="43">
        <v>34</v>
      </c>
      <c r="AE141" s="44">
        <v>-11.4</v>
      </c>
      <c r="AF141" s="44">
        <v>2.5270999999999999</v>
      </c>
      <c r="AG141" s="41">
        <v>51.09</v>
      </c>
      <c r="AH141" s="41">
        <v>48.91</v>
      </c>
      <c r="AI141" s="44">
        <v>8.44</v>
      </c>
      <c r="AJ141" s="41">
        <v>7.8396000000000008</v>
      </c>
      <c r="AK141" s="41">
        <v>2.0565127498277049</v>
      </c>
      <c r="AL141" s="41">
        <v>5.2027999999999999</v>
      </c>
      <c r="AM141" s="39">
        <v>36834</v>
      </c>
      <c r="AN141" s="39">
        <v>39070</v>
      </c>
      <c r="AO141" s="40">
        <v>40412</v>
      </c>
      <c r="AP141" s="40">
        <v>38824</v>
      </c>
      <c r="AQ141" s="39">
        <v>1779000</v>
      </c>
      <c r="AR141" s="44">
        <v>463.7643378519291</v>
      </c>
      <c r="AS141" s="39">
        <v>3836</v>
      </c>
      <c r="AT141" s="46">
        <v>1846000</v>
      </c>
      <c r="AU141" s="50">
        <v>482.11021154348396</v>
      </c>
      <c r="AV141" s="39">
        <v>3829</v>
      </c>
      <c r="AW141" s="46">
        <v>1873000</v>
      </c>
      <c r="AX141" s="47">
        <v>489.54521693674855</v>
      </c>
      <c r="AY141" s="39">
        <v>3826</v>
      </c>
      <c r="AZ141" s="41">
        <v>59.5</v>
      </c>
      <c r="BA141" s="41">
        <v>30.946157867224255</v>
      </c>
      <c r="BB141" s="46">
        <v>4695000</v>
      </c>
      <c r="BC141" s="48">
        <v>2701.380897583429</v>
      </c>
      <c r="BD141" s="40">
        <v>1738</v>
      </c>
      <c r="BE141" s="46">
        <v>553000</v>
      </c>
      <c r="BF141" s="47">
        <v>1455.2631578947369</v>
      </c>
      <c r="BG141" s="40">
        <v>380</v>
      </c>
      <c r="BH141" s="49" t="s">
        <v>382</v>
      </c>
      <c r="BI141" s="49" t="s">
        <v>382</v>
      </c>
      <c r="BJ141" s="213">
        <v>0</v>
      </c>
      <c r="BK141" s="47">
        <v>144.15978795113045</v>
      </c>
      <c r="BL141" s="55">
        <v>6235000</v>
      </c>
      <c r="BM141" s="41">
        <v>15.428585568642978</v>
      </c>
      <c r="BN141" s="56">
        <v>9027000</v>
      </c>
      <c r="BO141" s="41">
        <v>22.337424527368107</v>
      </c>
      <c r="BP141" s="56">
        <v>2536000</v>
      </c>
      <c r="BQ141" s="41">
        <v>6.2753637533405922</v>
      </c>
      <c r="BR141" s="39">
        <v>4027000</v>
      </c>
      <c r="BS141" s="41">
        <v>9.9648619222013259</v>
      </c>
      <c r="BT141" s="39">
        <v>3128000</v>
      </c>
      <c r="BU141" s="41">
        <v>7.7402751657923385</v>
      </c>
      <c r="BV141" s="56">
        <v>9367000</v>
      </c>
      <c r="BW141" s="41">
        <v>23.178758784519449</v>
      </c>
      <c r="BX141" s="40">
        <v>6092000</v>
      </c>
      <c r="BY141" s="41">
        <v>15.074730278135206</v>
      </c>
      <c r="BZ141" s="57">
        <v>637.13468219905985</v>
      </c>
      <c r="CA141" s="58">
        <v>259.14571837318618</v>
      </c>
      <c r="CB141" s="59">
        <v>471.89863069691398</v>
      </c>
      <c r="CC141" s="47">
        <v>411.50623339464539</v>
      </c>
      <c r="CD141" s="58">
        <v>260.57633353770694</v>
      </c>
      <c r="CE141" s="59">
        <v>450.54159002656854</v>
      </c>
      <c r="CF141" s="59">
        <v>622.5219701614551</v>
      </c>
      <c r="CG141" s="59">
        <v>59.063968935213573</v>
      </c>
      <c r="CH141" s="47">
        <v>957.1837318618434</v>
      </c>
      <c r="CI141" s="43">
        <v>1173</v>
      </c>
      <c r="CJ141" s="44">
        <v>358.86042864610562</v>
      </c>
      <c r="CK141" s="60">
        <v>25.044035994639103</v>
      </c>
      <c r="CL141" s="53">
        <v>523.22</v>
      </c>
      <c r="CM141" s="41">
        <v>25.044035994639103</v>
      </c>
      <c r="CN141" s="53" t="s">
        <v>382</v>
      </c>
      <c r="CO141" s="41">
        <v>0</v>
      </c>
      <c r="CP141" s="54">
        <v>1565.98</v>
      </c>
      <c r="CQ141" s="41">
        <v>74.955964005360912</v>
      </c>
      <c r="CR141" s="43">
        <v>5718</v>
      </c>
      <c r="CS141" s="52">
        <v>56.680657572577822</v>
      </c>
      <c r="CT141" s="41">
        <v>2667.7100000000005</v>
      </c>
      <c r="CU141" s="41">
        <v>272.60474146740245</v>
      </c>
      <c r="CV141" s="52">
        <v>94</v>
      </c>
      <c r="CW141" s="38">
        <v>6</v>
      </c>
      <c r="CX141" s="38">
        <v>10</v>
      </c>
      <c r="CY141" s="51">
        <v>6</v>
      </c>
      <c r="CZ141" s="41">
        <v>4.0436337625178824</v>
      </c>
      <c r="DA141" s="39">
        <v>6162000</v>
      </c>
      <c r="DB141" s="39">
        <v>6188000</v>
      </c>
      <c r="DC141" s="39">
        <v>6831000</v>
      </c>
      <c r="DD141" s="39">
        <v>6329000</v>
      </c>
      <c r="DE141" s="39">
        <v>8587000</v>
      </c>
      <c r="DF141" s="62">
        <v>6440000</v>
      </c>
      <c r="DG141" s="41">
        <v>133.34</v>
      </c>
      <c r="DH141" s="41">
        <v>42.19</v>
      </c>
      <c r="DI141" s="41">
        <v>4.62</v>
      </c>
      <c r="DJ141" s="37" t="s">
        <v>390</v>
      </c>
      <c r="DK141" s="40">
        <v>17000</v>
      </c>
      <c r="DL141" s="40">
        <v>121000</v>
      </c>
      <c r="DM141" s="40">
        <v>0</v>
      </c>
      <c r="DN141" s="40">
        <v>0</v>
      </c>
      <c r="DO141" s="40">
        <v>0</v>
      </c>
      <c r="DP141" s="40">
        <v>235871</v>
      </c>
      <c r="DQ141" s="64">
        <v>0</v>
      </c>
      <c r="DR141" s="40">
        <v>8450</v>
      </c>
      <c r="DS141" s="98">
        <v>3</v>
      </c>
      <c r="DT141" s="38">
        <v>9</v>
      </c>
      <c r="DU141" s="66">
        <v>1087.3333333333333</v>
      </c>
      <c r="DV141" s="41">
        <v>11.111111111111111</v>
      </c>
      <c r="DW141" s="41">
        <v>88.888888888888886</v>
      </c>
      <c r="DX141" s="41">
        <v>0</v>
      </c>
      <c r="DY141" s="41">
        <v>0</v>
      </c>
      <c r="DZ141" s="41">
        <v>0</v>
      </c>
      <c r="EA141" s="41">
        <v>33.333333333333329</v>
      </c>
      <c r="EB141" s="41">
        <v>66.666666666666657</v>
      </c>
      <c r="EC141" s="40">
        <v>183</v>
      </c>
      <c r="ED141" s="184">
        <v>53.475409836065573</v>
      </c>
    </row>
    <row r="142" spans="1:134" s="13" customFormat="1">
      <c r="A142" s="156" t="s">
        <v>289</v>
      </c>
      <c r="B142" s="285">
        <v>2014</v>
      </c>
      <c r="C142" s="259">
        <v>3</v>
      </c>
      <c r="D142" s="80" t="s">
        <v>343</v>
      </c>
      <c r="E142" s="56">
        <v>9.1999999999999993</v>
      </c>
      <c r="F142" s="56">
        <v>71769</v>
      </c>
      <c r="G142" s="82">
        <v>6.4916758168382938</v>
      </c>
      <c r="H142" s="179">
        <v>7764.7</v>
      </c>
      <c r="I142" s="56">
        <v>35893</v>
      </c>
      <c r="J142" s="56">
        <v>50.011843553623436</v>
      </c>
      <c r="K142" s="56">
        <v>35876</v>
      </c>
      <c r="L142" s="84">
        <v>49.988156446376571</v>
      </c>
      <c r="M142" s="160">
        <v>19.21999749195335</v>
      </c>
      <c r="N142" s="160">
        <v>64.972341818891167</v>
      </c>
      <c r="O142" s="160">
        <v>15.807660689155483</v>
      </c>
      <c r="P142" s="160">
        <v>37.049422452590953</v>
      </c>
      <c r="Q142" s="160">
        <v>47.142916858253564</v>
      </c>
      <c r="R142" s="160">
        <v>15.807660689155483</v>
      </c>
      <c r="S142" s="83">
        <v>0.39063115283443856</v>
      </c>
      <c r="T142" s="83">
        <v>18.899999999999999</v>
      </c>
      <c r="U142" s="38">
        <v>141</v>
      </c>
      <c r="V142" s="41">
        <v>3.3</v>
      </c>
      <c r="W142" s="40">
        <v>87101</v>
      </c>
      <c r="X142" s="41">
        <v>2.2999999999999998</v>
      </c>
      <c r="Y142" s="42" t="s">
        <v>142</v>
      </c>
      <c r="Z142" s="43">
        <v>8940</v>
      </c>
      <c r="AA142" s="45">
        <v>0</v>
      </c>
      <c r="AB142" s="63">
        <v>548</v>
      </c>
      <c r="AC142" s="63">
        <v>370723.82400000002</v>
      </c>
      <c r="AD142" s="43">
        <v>108</v>
      </c>
      <c r="AE142" s="44">
        <v>-4.87</v>
      </c>
      <c r="AF142" s="44">
        <v>9.838099999999999</v>
      </c>
      <c r="AG142" s="41">
        <v>87.5</v>
      </c>
      <c r="AH142" s="41">
        <v>12.5</v>
      </c>
      <c r="AI142" s="44">
        <v>2.2200000000000002</v>
      </c>
      <c r="AJ142" s="41">
        <v>9.8053999999999988</v>
      </c>
      <c r="AK142" s="41">
        <v>1.106952993844432</v>
      </c>
      <c r="AL142" s="41">
        <v>11.8912</v>
      </c>
      <c r="AM142" s="39">
        <v>105122</v>
      </c>
      <c r="AN142" s="39">
        <v>113026</v>
      </c>
      <c r="AO142" s="40">
        <v>119934.39999999999</v>
      </c>
      <c r="AP142" s="40">
        <v>180021</v>
      </c>
      <c r="AQ142" s="39">
        <v>25039000</v>
      </c>
      <c r="AR142" s="44">
        <v>893.7392918332381</v>
      </c>
      <c r="AS142" s="39">
        <v>28016</v>
      </c>
      <c r="AT142" s="46">
        <v>28295000</v>
      </c>
      <c r="AU142" s="50">
        <v>1007.8002564467873</v>
      </c>
      <c r="AV142" s="39">
        <v>28076</v>
      </c>
      <c r="AW142" s="46">
        <v>28962000</v>
      </c>
      <c r="AX142" s="47">
        <v>1028.8454706927175</v>
      </c>
      <c r="AY142" s="39">
        <v>28150</v>
      </c>
      <c r="AZ142" s="41">
        <v>75.400000000000006</v>
      </c>
      <c r="BA142" s="41">
        <v>0</v>
      </c>
      <c r="BB142" s="49">
        <v>0</v>
      </c>
      <c r="BC142" s="48" t="s">
        <v>382</v>
      </c>
      <c r="BD142" s="40">
        <v>0</v>
      </c>
      <c r="BE142" s="46">
        <v>11301000</v>
      </c>
      <c r="BF142" s="47">
        <v>6066.0225442834135</v>
      </c>
      <c r="BG142" s="40">
        <v>1863</v>
      </c>
      <c r="BH142" s="49" t="s">
        <v>382</v>
      </c>
      <c r="BI142" s="49" t="s">
        <v>382</v>
      </c>
      <c r="BJ142" s="213">
        <v>0</v>
      </c>
      <c r="BK142" s="47">
        <v>467.28819921516032</v>
      </c>
      <c r="BL142" s="55">
        <v>28213000</v>
      </c>
      <c r="BM142" s="41">
        <v>23.523692952147172</v>
      </c>
      <c r="BN142" s="56">
        <v>8196000</v>
      </c>
      <c r="BO142" s="41">
        <v>6.8337357755573054</v>
      </c>
      <c r="BP142" s="56">
        <v>22758000</v>
      </c>
      <c r="BQ142" s="41">
        <v>18.975373204018197</v>
      </c>
      <c r="BR142" s="39">
        <v>20362000</v>
      </c>
      <c r="BS142" s="41">
        <v>16.977614429221308</v>
      </c>
      <c r="BT142" s="39">
        <v>19056000</v>
      </c>
      <c r="BU142" s="41">
        <v>15.888685814912151</v>
      </c>
      <c r="BV142" s="56">
        <v>9330700</v>
      </c>
      <c r="BW142" s="41">
        <v>7.7798363105164148</v>
      </c>
      <c r="BX142" s="40">
        <v>12018700</v>
      </c>
      <c r="BY142" s="41">
        <v>10.021061513627449</v>
      </c>
      <c r="BZ142" s="57">
        <v>393.1084451504131</v>
      </c>
      <c r="CA142" s="58">
        <v>317.10069807298413</v>
      </c>
      <c r="CB142" s="43" t="s">
        <v>382</v>
      </c>
      <c r="CC142" s="47">
        <v>283.71581044740765</v>
      </c>
      <c r="CD142" s="58">
        <v>184.50863186055261</v>
      </c>
      <c r="CE142" s="59">
        <v>114.19972411486853</v>
      </c>
      <c r="CF142" s="59">
        <v>167.46366815756107</v>
      </c>
      <c r="CG142" s="59">
        <v>81.009906784266192</v>
      </c>
      <c r="CH142" s="47">
        <v>130.01017152252365</v>
      </c>
      <c r="CI142" s="43" t="s">
        <v>382</v>
      </c>
      <c r="CJ142" s="44">
        <v>502.80639431616339</v>
      </c>
      <c r="CK142" s="60">
        <v>34.061551388010876</v>
      </c>
      <c r="CL142" s="53">
        <v>6512.26</v>
      </c>
      <c r="CM142" s="41">
        <v>26.15552437081848</v>
      </c>
      <c r="CN142" s="53">
        <v>1968.46</v>
      </c>
      <c r="CO142" s="41">
        <v>7.9060270171923932</v>
      </c>
      <c r="CP142" s="54">
        <v>16417.510000000002</v>
      </c>
      <c r="CQ142" s="41">
        <v>65.938488775502833</v>
      </c>
      <c r="CR142" s="43">
        <v>13981</v>
      </c>
      <c r="CS142" s="52">
        <v>56.219154566912231</v>
      </c>
      <c r="CT142" s="41">
        <v>123.46</v>
      </c>
      <c r="CU142" s="41">
        <v>1.7202413298220678</v>
      </c>
      <c r="CV142" s="52">
        <v>89</v>
      </c>
      <c r="CW142" s="38">
        <v>2</v>
      </c>
      <c r="CX142" s="38">
        <v>10</v>
      </c>
      <c r="CY142" s="51">
        <v>1</v>
      </c>
      <c r="CZ142" s="41">
        <v>7.4042135183714421</v>
      </c>
      <c r="DA142" s="39">
        <v>6534000</v>
      </c>
      <c r="DB142" s="39">
        <v>6374000</v>
      </c>
      <c r="DC142" s="39">
        <v>12209000</v>
      </c>
      <c r="DD142" s="39">
        <v>10392000</v>
      </c>
      <c r="DE142" s="39">
        <v>13779000</v>
      </c>
      <c r="DF142" s="62">
        <v>15286000</v>
      </c>
      <c r="DG142" s="41">
        <v>90.14</v>
      </c>
      <c r="DH142" s="41">
        <v>64.8</v>
      </c>
      <c r="DI142" s="41">
        <v>1.53</v>
      </c>
      <c r="DJ142" s="37" t="s">
        <v>390</v>
      </c>
      <c r="DK142" s="40">
        <v>90000</v>
      </c>
      <c r="DL142" s="40">
        <v>254000</v>
      </c>
      <c r="DM142" s="40">
        <v>0</v>
      </c>
      <c r="DN142" s="40">
        <v>15982.1</v>
      </c>
      <c r="DO142" s="40">
        <v>1816</v>
      </c>
      <c r="DP142" s="40">
        <v>320000</v>
      </c>
      <c r="DQ142" s="64">
        <v>9</v>
      </c>
      <c r="DR142" s="40">
        <v>29996</v>
      </c>
      <c r="DS142" s="98">
        <v>0</v>
      </c>
      <c r="DT142" s="38">
        <v>12</v>
      </c>
      <c r="DU142" s="66">
        <v>5980.75</v>
      </c>
      <c r="DV142" s="41">
        <v>50</v>
      </c>
      <c r="DW142" s="41">
        <v>50</v>
      </c>
      <c r="DX142" s="41">
        <v>8.3333333333333321</v>
      </c>
      <c r="DY142" s="41">
        <v>16.666666666666664</v>
      </c>
      <c r="DZ142" s="41">
        <v>0</v>
      </c>
      <c r="EA142" s="41">
        <v>58.333333333333336</v>
      </c>
      <c r="EB142" s="41">
        <v>41.666666666666671</v>
      </c>
      <c r="EC142" s="40">
        <v>600.1</v>
      </c>
      <c r="ED142" s="184">
        <v>119.59506748875187</v>
      </c>
    </row>
    <row r="143" spans="1:134" s="13" customFormat="1">
      <c r="A143" s="156" t="s">
        <v>290</v>
      </c>
      <c r="B143" s="285">
        <v>2014</v>
      </c>
      <c r="C143" s="259">
        <v>9</v>
      </c>
      <c r="D143" s="80" t="s">
        <v>344</v>
      </c>
      <c r="E143" s="56">
        <v>3408.6</v>
      </c>
      <c r="F143" s="56">
        <v>3709</v>
      </c>
      <c r="G143" s="82">
        <v>-0.29569892473118281</v>
      </c>
      <c r="H143" s="179">
        <v>1.1000000000000001</v>
      </c>
      <c r="I143" s="56">
        <v>1880</v>
      </c>
      <c r="J143" s="56">
        <v>50.687516850903215</v>
      </c>
      <c r="K143" s="56">
        <v>1829</v>
      </c>
      <c r="L143" s="84">
        <v>49.312483149096792</v>
      </c>
      <c r="M143" s="160">
        <v>23.672148827177136</v>
      </c>
      <c r="N143" s="160">
        <v>42.626044755998919</v>
      </c>
      <c r="O143" s="160">
        <v>33.701806416823942</v>
      </c>
      <c r="P143" s="160">
        <v>30.304664330008091</v>
      </c>
      <c r="Q143" s="160">
        <v>35.993529253167971</v>
      </c>
      <c r="R143" s="160">
        <v>33.701806416823942</v>
      </c>
      <c r="S143" s="83">
        <v>1.8286026200873364</v>
      </c>
      <c r="T143" s="83">
        <v>0.9</v>
      </c>
      <c r="U143" s="38">
        <v>52</v>
      </c>
      <c r="V143" s="41">
        <v>6.4</v>
      </c>
      <c r="W143" s="40">
        <v>42681</v>
      </c>
      <c r="X143" s="41">
        <v>2.2999999999999998</v>
      </c>
      <c r="Y143" s="42" t="s">
        <v>351</v>
      </c>
      <c r="Z143" s="43">
        <v>558</v>
      </c>
      <c r="AA143" s="45">
        <v>1</v>
      </c>
      <c r="AB143" s="67">
        <v>47</v>
      </c>
      <c r="AC143" s="63">
        <v>3095.3380000000002</v>
      </c>
      <c r="AD143" s="43">
        <v>18</v>
      </c>
      <c r="AE143" s="44">
        <v>-9.69</v>
      </c>
      <c r="AF143" s="44">
        <v>6.8815999999999997</v>
      </c>
      <c r="AG143" s="41">
        <v>57.19</v>
      </c>
      <c r="AH143" s="41">
        <v>42.81</v>
      </c>
      <c r="AI143" s="44">
        <v>8.0299999999999994</v>
      </c>
      <c r="AJ143" s="41">
        <v>202.38459999999998</v>
      </c>
      <c r="AK143" s="41">
        <v>0</v>
      </c>
      <c r="AL143" s="41">
        <v>8.0532000000000004</v>
      </c>
      <c r="AM143" s="39">
        <v>12639</v>
      </c>
      <c r="AN143" s="39">
        <v>11497</v>
      </c>
      <c r="AO143" s="40">
        <v>10781</v>
      </c>
      <c r="AP143" s="40">
        <v>10229</v>
      </c>
      <c r="AQ143" s="39">
        <v>556000</v>
      </c>
      <c r="AR143" s="44">
        <v>381.86813186813185</v>
      </c>
      <c r="AS143" s="39">
        <v>1456</v>
      </c>
      <c r="AT143" s="46">
        <v>583000</v>
      </c>
      <c r="AU143" s="50">
        <v>400.13726835964309</v>
      </c>
      <c r="AV143" s="39">
        <v>1457</v>
      </c>
      <c r="AW143" s="46">
        <v>600000</v>
      </c>
      <c r="AX143" s="47">
        <v>409.55631399317406</v>
      </c>
      <c r="AY143" s="39">
        <v>1465</v>
      </c>
      <c r="AZ143" s="41">
        <v>64.400000000000006</v>
      </c>
      <c r="BA143" s="41">
        <v>32.150170648464169</v>
      </c>
      <c r="BB143" s="46">
        <v>1266000</v>
      </c>
      <c r="BC143" s="48">
        <v>1290.5198776758409</v>
      </c>
      <c r="BD143" s="40">
        <v>981</v>
      </c>
      <c r="BE143" s="46">
        <v>105000</v>
      </c>
      <c r="BF143" s="47">
        <v>801.52671755725191</v>
      </c>
      <c r="BG143" s="40">
        <v>131</v>
      </c>
      <c r="BH143" s="46">
        <v>5000</v>
      </c>
      <c r="BI143" s="49">
        <v>5000</v>
      </c>
      <c r="BJ143" s="45">
        <v>1</v>
      </c>
      <c r="BK143" s="47">
        <v>230.49027479757086</v>
      </c>
      <c r="BL143" s="55">
        <v>2011000</v>
      </c>
      <c r="BM143" s="41">
        <v>18.653186160838512</v>
      </c>
      <c r="BN143" s="56">
        <v>902000</v>
      </c>
      <c r="BO143" s="41">
        <v>8.3665708190334858</v>
      </c>
      <c r="BP143" s="56">
        <v>938000</v>
      </c>
      <c r="BQ143" s="41">
        <v>8.7004916056024495</v>
      </c>
      <c r="BR143" s="39">
        <v>334000</v>
      </c>
      <c r="BS143" s="41">
        <v>3.0980428531676099</v>
      </c>
      <c r="BT143" s="39">
        <v>901000</v>
      </c>
      <c r="BU143" s="41">
        <v>8.3572952416287904</v>
      </c>
      <c r="BV143" s="56">
        <v>3390000</v>
      </c>
      <c r="BW143" s="41">
        <v>31.444207401910766</v>
      </c>
      <c r="BX143" s="40">
        <v>2305000</v>
      </c>
      <c r="BY143" s="41">
        <v>21.380205917818383</v>
      </c>
      <c r="BZ143" s="57">
        <v>542.19466163386357</v>
      </c>
      <c r="CA143" s="58">
        <v>252.89835535184685</v>
      </c>
      <c r="CB143" s="59">
        <v>100.83580479913724</v>
      </c>
      <c r="CC143" s="47">
        <v>90.051226745753567</v>
      </c>
      <c r="CD143" s="58">
        <v>201.40199514693987</v>
      </c>
      <c r="CE143" s="59">
        <v>142.35643030466434</v>
      </c>
      <c r="CF143" s="59">
        <v>621.4613103262335</v>
      </c>
      <c r="CG143" s="59">
        <v>41.520625505527093</v>
      </c>
      <c r="CH143" s="47">
        <v>913.99299002426528</v>
      </c>
      <c r="CI143" s="43" t="s">
        <v>382</v>
      </c>
      <c r="CJ143" s="44">
        <v>200</v>
      </c>
      <c r="CK143" s="60">
        <v>25.77646804234374</v>
      </c>
      <c r="CL143" s="53">
        <v>223.64936</v>
      </c>
      <c r="CM143" s="41">
        <v>25.77646804234374</v>
      </c>
      <c r="CN143" s="53" t="s">
        <v>382</v>
      </c>
      <c r="CO143" s="41">
        <v>0</v>
      </c>
      <c r="CP143" s="54">
        <v>644</v>
      </c>
      <c r="CQ143" s="41">
        <v>74.223531957656263</v>
      </c>
      <c r="CR143" s="43">
        <v>1907</v>
      </c>
      <c r="CS143" s="52">
        <v>54.955427372836915</v>
      </c>
      <c r="CT143" s="41">
        <v>1093.99</v>
      </c>
      <c r="CU143" s="41">
        <v>294.95551361552981</v>
      </c>
      <c r="CV143" s="52">
        <v>11.5</v>
      </c>
      <c r="CW143" s="38">
        <v>2</v>
      </c>
      <c r="CX143" s="38">
        <v>2</v>
      </c>
      <c r="CY143" s="51">
        <v>1</v>
      </c>
      <c r="CZ143" s="41">
        <v>3.9981126988406577</v>
      </c>
      <c r="DA143" s="39">
        <v>1142000</v>
      </c>
      <c r="DB143" s="39">
        <v>1670000</v>
      </c>
      <c r="DC143" s="39">
        <v>1600000</v>
      </c>
      <c r="DD143" s="39">
        <v>1781000</v>
      </c>
      <c r="DE143" s="39">
        <v>1076000</v>
      </c>
      <c r="DF143" s="62">
        <v>1013000</v>
      </c>
      <c r="DG143" s="41">
        <v>106.22</v>
      </c>
      <c r="DH143" s="41">
        <v>87.2</v>
      </c>
      <c r="DI143" s="41">
        <v>3.61</v>
      </c>
      <c r="DJ143" s="37" t="s">
        <v>390</v>
      </c>
      <c r="DK143" s="40">
        <v>5000</v>
      </c>
      <c r="DL143" s="40">
        <v>120000</v>
      </c>
      <c r="DM143" s="40">
        <v>0</v>
      </c>
      <c r="DN143" s="40">
        <v>4420</v>
      </c>
      <c r="DO143" s="40">
        <v>5059</v>
      </c>
      <c r="DP143" s="40">
        <v>169290</v>
      </c>
      <c r="DQ143" s="64">
        <v>0</v>
      </c>
      <c r="DR143" s="40">
        <v>0</v>
      </c>
      <c r="DS143" s="98">
        <v>0</v>
      </c>
      <c r="DT143" s="38">
        <v>9</v>
      </c>
      <c r="DU143" s="66">
        <v>412.11111111111109</v>
      </c>
      <c r="DV143" s="41">
        <v>22.222222222222221</v>
      </c>
      <c r="DW143" s="41">
        <v>77.777777777777786</v>
      </c>
      <c r="DX143" s="41">
        <v>0</v>
      </c>
      <c r="DY143" s="41">
        <v>0</v>
      </c>
      <c r="DZ143" s="41">
        <v>0</v>
      </c>
      <c r="EA143" s="41">
        <v>44.444444444444443</v>
      </c>
      <c r="EB143" s="41">
        <v>55.555555555555557</v>
      </c>
      <c r="EC143" s="40">
        <v>57</v>
      </c>
      <c r="ED143" s="184">
        <v>65.070175438596493</v>
      </c>
    </row>
    <row r="144" spans="1:134" s="13" customFormat="1">
      <c r="A144" s="156" t="s">
        <v>291</v>
      </c>
      <c r="B144" s="285">
        <v>2014</v>
      </c>
      <c r="C144" s="259">
        <v>10</v>
      </c>
      <c r="D144" s="80" t="s">
        <v>345</v>
      </c>
      <c r="E144" s="56">
        <v>4110.1000000000004</v>
      </c>
      <c r="F144" s="56">
        <v>9054</v>
      </c>
      <c r="G144" s="82">
        <v>2.4208144796380093</v>
      </c>
      <c r="H144" s="179">
        <v>2.2000000000000002</v>
      </c>
      <c r="I144" s="56">
        <v>4758</v>
      </c>
      <c r="J144" s="56">
        <v>52.551358515573234</v>
      </c>
      <c r="K144" s="56">
        <v>4296</v>
      </c>
      <c r="L144" s="84">
        <v>47.448641484426773</v>
      </c>
      <c r="M144" s="160">
        <v>25.999558206317651</v>
      </c>
      <c r="N144" s="160">
        <v>48.188645902363596</v>
      </c>
      <c r="O144" s="160">
        <v>25.811795891318756</v>
      </c>
      <c r="P144" s="160">
        <v>37.066489949193723</v>
      </c>
      <c r="Q144" s="160">
        <v>37.121714159487517</v>
      </c>
      <c r="R144" s="160">
        <v>25.811795891318756</v>
      </c>
      <c r="S144" s="83">
        <v>19.990581587002591</v>
      </c>
      <c r="T144" s="83">
        <v>1.9</v>
      </c>
      <c r="U144" s="38">
        <v>10</v>
      </c>
      <c r="V144" s="41">
        <v>7.4</v>
      </c>
      <c r="W144" s="40">
        <v>40531</v>
      </c>
      <c r="X144" s="41">
        <v>2.4</v>
      </c>
      <c r="Y144" s="42" t="s">
        <v>351</v>
      </c>
      <c r="Z144" s="43">
        <v>863</v>
      </c>
      <c r="AA144" s="45">
        <v>4</v>
      </c>
      <c r="AB144" s="67">
        <v>74</v>
      </c>
      <c r="AC144" s="63">
        <v>9227.5810000000001</v>
      </c>
      <c r="AD144" s="43">
        <v>33</v>
      </c>
      <c r="AE144" s="44">
        <v>0.44</v>
      </c>
      <c r="AF144" s="44">
        <v>9.7021999999999995</v>
      </c>
      <c r="AG144" s="41">
        <v>57.14</v>
      </c>
      <c r="AH144" s="41">
        <v>42.86</v>
      </c>
      <c r="AI144" s="44">
        <v>4.46</v>
      </c>
      <c r="AJ144" s="41">
        <v>7.4289999999999994</v>
      </c>
      <c r="AK144" s="41">
        <v>4.3602103418054341</v>
      </c>
      <c r="AL144" s="41">
        <v>12.864600000000001</v>
      </c>
      <c r="AM144" s="39">
        <v>24985</v>
      </c>
      <c r="AN144" s="39">
        <v>24420</v>
      </c>
      <c r="AO144" s="40">
        <v>22719</v>
      </c>
      <c r="AP144" s="40">
        <v>28821</v>
      </c>
      <c r="AQ144" s="39">
        <v>1928000</v>
      </c>
      <c r="AR144" s="44">
        <v>610.31972143083249</v>
      </c>
      <c r="AS144" s="39">
        <v>3159</v>
      </c>
      <c r="AT144" s="46">
        <v>2119000</v>
      </c>
      <c r="AU144" s="50">
        <v>675.49</v>
      </c>
      <c r="AV144" s="39">
        <v>3137</v>
      </c>
      <c r="AW144" s="46">
        <v>3845000</v>
      </c>
      <c r="AX144" s="47">
        <v>1199.6879875195009</v>
      </c>
      <c r="AY144" s="39">
        <v>3205</v>
      </c>
      <c r="AZ144" s="41">
        <v>57.199999999999996</v>
      </c>
      <c r="BA144" s="41">
        <v>26.521060842433698</v>
      </c>
      <c r="BB144" s="46">
        <v>3374000</v>
      </c>
      <c r="BC144" s="48">
        <v>3050.6329113924053</v>
      </c>
      <c r="BD144" s="40">
        <v>1106</v>
      </c>
      <c r="BE144" s="46">
        <v>290000</v>
      </c>
      <c r="BF144" s="47">
        <v>947.71241830065355</v>
      </c>
      <c r="BG144" s="40">
        <v>306</v>
      </c>
      <c r="BH144" s="46">
        <v>2000</v>
      </c>
      <c r="BI144" s="49">
        <v>1000</v>
      </c>
      <c r="BJ144" s="45">
        <v>2</v>
      </c>
      <c r="BK144" s="47">
        <v>80.070543868992146</v>
      </c>
      <c r="BL144" s="55">
        <v>2802000</v>
      </c>
      <c r="BM144" s="41">
        <v>12.3332893173115</v>
      </c>
      <c r="BN144" s="56">
        <v>5425000</v>
      </c>
      <c r="BO144" s="41">
        <v>23.878691843831152</v>
      </c>
      <c r="BP144" s="56">
        <v>1640000</v>
      </c>
      <c r="BQ144" s="41">
        <v>7.2186275804392794</v>
      </c>
      <c r="BR144" s="39">
        <v>1046000</v>
      </c>
      <c r="BS144" s="41">
        <v>4.604075883621638</v>
      </c>
      <c r="BT144" s="39">
        <v>2033000</v>
      </c>
      <c r="BU144" s="41">
        <v>8.9484572384347896</v>
      </c>
      <c r="BV144" s="56">
        <v>5973000</v>
      </c>
      <c r="BW144" s="41">
        <v>26.290769840221838</v>
      </c>
      <c r="BX144" s="40">
        <v>3800000</v>
      </c>
      <c r="BY144" s="41">
        <v>16.726088296139796</v>
      </c>
      <c r="BZ144" s="57">
        <v>309.47647448641487</v>
      </c>
      <c r="CA144" s="58">
        <v>181.13540976364038</v>
      </c>
      <c r="CB144" s="59">
        <v>493.7044400265076</v>
      </c>
      <c r="CC144" s="47">
        <v>115.52904793461454</v>
      </c>
      <c r="CD144" s="58">
        <v>189.41904130770931</v>
      </c>
      <c r="CE144" s="59">
        <v>105.47824166114424</v>
      </c>
      <c r="CF144" s="59">
        <v>419.70399823282526</v>
      </c>
      <c r="CG144" s="59">
        <v>35.122597746852222</v>
      </c>
      <c r="CH144" s="47">
        <v>659.70841616964879</v>
      </c>
      <c r="CI144" s="43">
        <v>1372</v>
      </c>
      <c r="CJ144" s="44">
        <v>279.56318252730108</v>
      </c>
      <c r="CK144" s="60">
        <v>10.544454319160659</v>
      </c>
      <c r="CL144" s="53">
        <v>461.42</v>
      </c>
      <c r="CM144" s="41">
        <v>9.277720361441423</v>
      </c>
      <c r="CN144" s="53">
        <v>63</v>
      </c>
      <c r="CO144" s="41">
        <v>1.2667339577192354</v>
      </c>
      <c r="CP144" s="54">
        <v>4449</v>
      </c>
      <c r="CQ144" s="41">
        <v>89.45554568083935</v>
      </c>
      <c r="CR144" s="43">
        <v>4684</v>
      </c>
      <c r="CS144" s="52">
        <v>39.154568744662683</v>
      </c>
      <c r="CT144" s="41">
        <v>1415.6</v>
      </c>
      <c r="CU144" s="41">
        <v>156.35078418378615</v>
      </c>
      <c r="CV144" s="52">
        <v>209</v>
      </c>
      <c r="CW144" s="38">
        <v>2</v>
      </c>
      <c r="CX144" s="38">
        <v>4</v>
      </c>
      <c r="CY144" s="51">
        <v>1</v>
      </c>
      <c r="CZ144" s="41">
        <v>2.8074884029158382</v>
      </c>
      <c r="DA144" s="39">
        <v>6844000</v>
      </c>
      <c r="DB144" s="39">
        <v>7597000</v>
      </c>
      <c r="DC144" s="39">
        <v>4494000</v>
      </c>
      <c r="DD144" s="39">
        <v>6959000</v>
      </c>
      <c r="DE144" s="39">
        <v>5243000</v>
      </c>
      <c r="DF144" s="62">
        <v>4635000</v>
      </c>
      <c r="DG144" s="41">
        <v>113.12</v>
      </c>
      <c r="DH144" s="41">
        <v>87.45</v>
      </c>
      <c r="DI144" s="41">
        <v>3.64</v>
      </c>
      <c r="DJ144" s="37" t="s">
        <v>390</v>
      </c>
      <c r="DK144" s="40">
        <v>35000</v>
      </c>
      <c r="DL144" s="40">
        <v>120000</v>
      </c>
      <c r="DM144" s="40">
        <v>0</v>
      </c>
      <c r="DN144" s="40">
        <v>0</v>
      </c>
      <c r="DO144" s="40">
        <v>0</v>
      </c>
      <c r="DP144" s="40">
        <v>198000</v>
      </c>
      <c r="DQ144" s="64">
        <v>1</v>
      </c>
      <c r="DR144" s="40">
        <v>0</v>
      </c>
      <c r="DS144" s="98">
        <v>1</v>
      </c>
      <c r="DT144" s="38">
        <v>9</v>
      </c>
      <c r="DU144" s="66">
        <v>1006</v>
      </c>
      <c r="DV144" s="41">
        <v>33.333333333333329</v>
      </c>
      <c r="DW144" s="41">
        <v>66.666666666666657</v>
      </c>
      <c r="DX144" s="41">
        <v>11.111111111111111</v>
      </c>
      <c r="DY144" s="41">
        <v>0</v>
      </c>
      <c r="DZ144" s="41">
        <v>0</v>
      </c>
      <c r="EA144" s="41">
        <v>55.555555555555557</v>
      </c>
      <c r="EB144" s="41">
        <v>44.444444444444443</v>
      </c>
      <c r="EC144" s="40">
        <v>106</v>
      </c>
      <c r="ED144" s="184">
        <v>85.415094339622641</v>
      </c>
    </row>
    <row r="145" spans="1:134" s="13" customFormat="1">
      <c r="A145" s="156" t="s">
        <v>292</v>
      </c>
      <c r="B145" s="285">
        <v>2014</v>
      </c>
      <c r="C145" s="259">
        <v>10</v>
      </c>
      <c r="D145" s="80" t="s">
        <v>345</v>
      </c>
      <c r="E145" s="56">
        <v>26256.7</v>
      </c>
      <c r="F145" s="56">
        <v>6884</v>
      </c>
      <c r="G145" s="82">
        <v>-0.69244085401038658</v>
      </c>
      <c r="H145" s="179">
        <v>0.3</v>
      </c>
      <c r="I145" s="56">
        <v>3549</v>
      </c>
      <c r="J145" s="56">
        <v>51.554328878558977</v>
      </c>
      <c r="K145" s="56">
        <v>3335</v>
      </c>
      <c r="L145" s="84">
        <v>48.445671121441023</v>
      </c>
      <c r="M145" s="160">
        <v>26.496223126089486</v>
      </c>
      <c r="N145" s="160">
        <v>48.097036606624059</v>
      </c>
      <c r="O145" s="160">
        <v>25.406740267286459</v>
      </c>
      <c r="P145" s="160">
        <v>36.635676932016267</v>
      </c>
      <c r="Q145" s="160">
        <v>37.957582800697267</v>
      </c>
      <c r="R145" s="160">
        <v>25.406740267286459</v>
      </c>
      <c r="S145" s="83">
        <v>10.287443267776098</v>
      </c>
      <c r="T145" s="83">
        <v>2.9</v>
      </c>
      <c r="U145" s="38">
        <v>65</v>
      </c>
      <c r="V145" s="41">
        <v>14.2</v>
      </c>
      <c r="W145" s="40">
        <v>39147</v>
      </c>
      <c r="X145" s="41">
        <v>2.5</v>
      </c>
      <c r="Y145" s="42" t="s">
        <v>351</v>
      </c>
      <c r="Z145" s="43">
        <v>735</v>
      </c>
      <c r="AA145" s="45">
        <v>2</v>
      </c>
      <c r="AB145" s="63">
        <v>161</v>
      </c>
      <c r="AC145" s="63">
        <v>20935.8</v>
      </c>
      <c r="AD145" s="43">
        <v>77</v>
      </c>
      <c r="AE145" s="44">
        <v>-8.7100000000000009</v>
      </c>
      <c r="AF145" s="44">
        <v>4.7256999999999998</v>
      </c>
      <c r="AG145" s="41">
        <v>58.52</v>
      </c>
      <c r="AH145" s="41">
        <v>41.48</v>
      </c>
      <c r="AI145" s="44">
        <v>15.08</v>
      </c>
      <c r="AJ145" s="41">
        <v>16.683</v>
      </c>
      <c r="AK145" s="41">
        <v>1.4456465252515709</v>
      </c>
      <c r="AL145" s="41">
        <v>15.3367</v>
      </c>
      <c r="AM145" s="39">
        <v>20838</v>
      </c>
      <c r="AN145" s="39">
        <v>21870</v>
      </c>
      <c r="AO145" s="40">
        <v>23010</v>
      </c>
      <c r="AP145" s="40">
        <v>22664</v>
      </c>
      <c r="AQ145" s="39">
        <v>1437000</v>
      </c>
      <c r="AR145" s="44">
        <v>587.00980392156862</v>
      </c>
      <c r="AS145" s="39">
        <v>2448</v>
      </c>
      <c r="AT145" s="46">
        <v>1632000</v>
      </c>
      <c r="AU145" s="50">
        <v>667.21177432542925</v>
      </c>
      <c r="AV145" s="39">
        <v>2446</v>
      </c>
      <c r="AW145" s="46">
        <v>1682000</v>
      </c>
      <c r="AX145" s="47">
        <v>685.13238289205708</v>
      </c>
      <c r="AY145" s="39">
        <v>2455</v>
      </c>
      <c r="AZ145" s="41">
        <v>61.3</v>
      </c>
      <c r="BA145" s="41">
        <v>21.914460285132385</v>
      </c>
      <c r="BB145" s="46">
        <v>1550000</v>
      </c>
      <c r="BC145" s="48">
        <v>1479.0076335877864</v>
      </c>
      <c r="BD145" s="40">
        <v>1048</v>
      </c>
      <c r="BE145" s="46">
        <v>1319000</v>
      </c>
      <c r="BF145" s="47">
        <v>5015.209125475285</v>
      </c>
      <c r="BG145" s="40">
        <v>263</v>
      </c>
      <c r="BH145" s="49" t="s">
        <v>382</v>
      </c>
      <c r="BI145" s="49" t="s">
        <v>382</v>
      </c>
      <c r="BJ145" s="213">
        <v>0</v>
      </c>
      <c r="BK145" s="47">
        <v>99.302735662491756</v>
      </c>
      <c r="BL145" s="55">
        <v>4544000</v>
      </c>
      <c r="BM145" s="41">
        <v>19.747935680139069</v>
      </c>
      <c r="BN145" s="56">
        <v>3681000</v>
      </c>
      <c r="BO145" s="41">
        <v>15.997392438070404</v>
      </c>
      <c r="BP145" s="56">
        <v>263000</v>
      </c>
      <c r="BQ145" s="41">
        <v>1.1429813124728379</v>
      </c>
      <c r="BR145" s="39">
        <v>2200000</v>
      </c>
      <c r="BS145" s="41">
        <v>9.5610604085180348</v>
      </c>
      <c r="BT145" s="39">
        <v>2202000</v>
      </c>
      <c r="BU145" s="41">
        <v>9.5697522816166884</v>
      </c>
      <c r="BV145" s="56">
        <v>8195000</v>
      </c>
      <c r="BW145" s="41">
        <v>35.614950021729683</v>
      </c>
      <c r="BX145" s="40">
        <v>1925000</v>
      </c>
      <c r="BY145" s="41">
        <v>8.3659278574532809</v>
      </c>
      <c r="BZ145" s="57">
        <v>660.0813480534573</v>
      </c>
      <c r="CA145" s="58">
        <v>38.204532248692622</v>
      </c>
      <c r="CB145" s="59">
        <v>413.56769320162698</v>
      </c>
      <c r="CC145" s="47">
        <v>319.58163858221963</v>
      </c>
      <c r="CD145" s="58">
        <v>254.35793143521209</v>
      </c>
      <c r="CE145" s="59">
        <v>121.15049389889599</v>
      </c>
      <c r="CF145" s="59">
        <v>279.63393375944219</v>
      </c>
      <c r="CG145" s="59">
        <v>65.514235909355023</v>
      </c>
      <c r="CH145" s="47">
        <v>1190.4416037187682</v>
      </c>
      <c r="CI145" s="43">
        <v>1391</v>
      </c>
      <c r="CJ145" s="44">
        <v>241.9551934826884</v>
      </c>
      <c r="CK145" s="60">
        <v>0</v>
      </c>
      <c r="CL145" s="53" t="s">
        <v>382</v>
      </c>
      <c r="CM145" s="41">
        <v>0</v>
      </c>
      <c r="CN145" s="53" t="s">
        <v>382</v>
      </c>
      <c r="CO145" s="41">
        <v>0</v>
      </c>
      <c r="CP145" s="54">
        <v>3571.4</v>
      </c>
      <c r="CQ145" s="41">
        <v>100</v>
      </c>
      <c r="CR145" s="43">
        <v>3869</v>
      </c>
      <c r="CS145" s="52">
        <v>82.165934349961233</v>
      </c>
      <c r="CT145" s="41">
        <v>2318.75</v>
      </c>
      <c r="CU145" s="41">
        <v>336.83178384660079</v>
      </c>
      <c r="CV145" s="52">
        <v>174</v>
      </c>
      <c r="CW145" s="38">
        <v>2</v>
      </c>
      <c r="CX145" s="38">
        <v>9</v>
      </c>
      <c r="CY145" s="51">
        <v>4</v>
      </c>
      <c r="CZ145" s="41">
        <v>3.1621150493898895</v>
      </c>
      <c r="DA145" s="39">
        <v>2247000</v>
      </c>
      <c r="DB145" s="39">
        <v>2247000</v>
      </c>
      <c r="DC145" s="39">
        <v>3115000</v>
      </c>
      <c r="DD145" s="39">
        <v>3106000</v>
      </c>
      <c r="DE145" s="39">
        <v>2564000</v>
      </c>
      <c r="DF145" s="62">
        <v>2564000</v>
      </c>
      <c r="DG145" s="41">
        <v>100</v>
      </c>
      <c r="DH145" s="41">
        <v>93.63</v>
      </c>
      <c r="DI145" s="41">
        <v>11.559999999999999</v>
      </c>
      <c r="DJ145" s="37" t="s">
        <v>390</v>
      </c>
      <c r="DK145" s="40">
        <v>97000</v>
      </c>
      <c r="DL145" s="40">
        <v>120000</v>
      </c>
      <c r="DM145" s="40">
        <v>0</v>
      </c>
      <c r="DN145" s="40">
        <v>4462</v>
      </c>
      <c r="DO145" s="40">
        <v>0</v>
      </c>
      <c r="DP145" s="40">
        <v>223889</v>
      </c>
      <c r="DQ145" s="64">
        <v>4</v>
      </c>
      <c r="DR145" s="40">
        <v>1400</v>
      </c>
      <c r="DS145" s="98">
        <v>0</v>
      </c>
      <c r="DT145" s="38">
        <v>9</v>
      </c>
      <c r="DU145" s="66">
        <v>764.88888888888891</v>
      </c>
      <c r="DV145" s="41">
        <v>11.111111111111111</v>
      </c>
      <c r="DW145" s="41">
        <v>88.888888888888886</v>
      </c>
      <c r="DX145" s="41">
        <v>0</v>
      </c>
      <c r="DY145" s="41">
        <v>0</v>
      </c>
      <c r="DZ145" s="41">
        <v>0</v>
      </c>
      <c r="EA145" s="41">
        <v>77.777777777777786</v>
      </c>
      <c r="EB145" s="41">
        <v>22.222222222222221</v>
      </c>
      <c r="EC145" s="40">
        <v>102</v>
      </c>
      <c r="ED145" s="184">
        <v>67.490196078431367</v>
      </c>
    </row>
    <row r="146" spans="1:134" s="13" customFormat="1">
      <c r="A146" s="156" t="s">
        <v>293</v>
      </c>
      <c r="B146" s="285">
        <v>2014</v>
      </c>
      <c r="C146" s="259">
        <v>3</v>
      </c>
      <c r="D146" s="80" t="s">
        <v>343</v>
      </c>
      <c r="E146" s="56">
        <v>22.4</v>
      </c>
      <c r="F146" s="56">
        <v>74166</v>
      </c>
      <c r="G146" s="82">
        <v>6.695246863850846</v>
      </c>
      <c r="H146" s="179">
        <v>3306.7</v>
      </c>
      <c r="I146" s="56">
        <v>35938</v>
      </c>
      <c r="J146" s="56">
        <v>48.456165898120432</v>
      </c>
      <c r="K146" s="56">
        <v>38228</v>
      </c>
      <c r="L146" s="84">
        <v>51.543834101879568</v>
      </c>
      <c r="M146" s="160">
        <v>23.950327643394548</v>
      </c>
      <c r="N146" s="160">
        <v>57.711080549038641</v>
      </c>
      <c r="O146" s="160">
        <v>18.338591807566811</v>
      </c>
      <c r="P146" s="160">
        <v>38.308658954237792</v>
      </c>
      <c r="Q146" s="160">
        <v>43.3527492381954</v>
      </c>
      <c r="R146" s="160">
        <v>18.338591807566811</v>
      </c>
      <c r="S146" s="83">
        <v>0.20191222756695765</v>
      </c>
      <c r="T146" s="83">
        <v>35.1</v>
      </c>
      <c r="U146" s="38">
        <v>144</v>
      </c>
      <c r="V146" s="41">
        <v>4.5</v>
      </c>
      <c r="W146" s="40">
        <v>85860</v>
      </c>
      <c r="X146" s="41">
        <v>2.6</v>
      </c>
      <c r="Y146" s="42" t="s">
        <v>142</v>
      </c>
      <c r="Z146" s="43">
        <v>11459</v>
      </c>
      <c r="AA146" s="45">
        <v>72</v>
      </c>
      <c r="AB146" s="63">
        <v>859</v>
      </c>
      <c r="AC146" s="63">
        <v>266962.91800000001</v>
      </c>
      <c r="AD146" s="43">
        <v>56</v>
      </c>
      <c r="AE146" s="44">
        <v>6.2</v>
      </c>
      <c r="AF146" s="44">
        <v>3.99</v>
      </c>
      <c r="AG146" s="41">
        <v>82.94</v>
      </c>
      <c r="AH146" s="41">
        <v>17.060000000000002</v>
      </c>
      <c r="AI146" s="44">
        <v>1.43</v>
      </c>
      <c r="AJ146" s="41">
        <v>3.0068999999999999</v>
      </c>
      <c r="AK146" s="41">
        <v>5.6951794477051862</v>
      </c>
      <c r="AL146" s="41">
        <v>10.816199999999998</v>
      </c>
      <c r="AM146" s="39">
        <v>95379</v>
      </c>
      <c r="AN146" s="39">
        <v>96411</v>
      </c>
      <c r="AO146" s="40">
        <v>98188</v>
      </c>
      <c r="AP146" s="40">
        <v>119097</v>
      </c>
      <c r="AQ146" s="39">
        <v>22296000</v>
      </c>
      <c r="AR146" s="44">
        <v>828.97085068411661</v>
      </c>
      <c r="AS146" s="39">
        <v>26896</v>
      </c>
      <c r="AT146" s="46">
        <v>23812000</v>
      </c>
      <c r="AU146" s="50">
        <v>864.35079313223707</v>
      </c>
      <c r="AV146" s="39">
        <v>27549</v>
      </c>
      <c r="AW146" s="46">
        <v>24755000</v>
      </c>
      <c r="AX146" s="47">
        <v>885.84719985686172</v>
      </c>
      <c r="AY146" s="39">
        <v>27945</v>
      </c>
      <c r="AZ146" s="41">
        <v>84.3</v>
      </c>
      <c r="BA146" s="41">
        <v>7.339416711397388</v>
      </c>
      <c r="BB146" s="48" t="s">
        <v>382</v>
      </c>
      <c r="BC146" s="48" t="s">
        <v>382</v>
      </c>
      <c r="BD146" s="40">
        <v>0</v>
      </c>
      <c r="BE146" s="46">
        <v>18334000</v>
      </c>
      <c r="BF146" s="47">
        <v>6212.8092172145034</v>
      </c>
      <c r="BG146" s="40">
        <v>2951</v>
      </c>
      <c r="BH146" s="49" t="s">
        <v>382</v>
      </c>
      <c r="BI146" s="49" t="s">
        <v>382</v>
      </c>
      <c r="BJ146" s="213">
        <v>0</v>
      </c>
      <c r="BK146" s="47">
        <v>380.39151860103505</v>
      </c>
      <c r="BL146" s="55">
        <v>23004000</v>
      </c>
      <c r="BM146" s="41">
        <v>23.42971797561696</v>
      </c>
      <c r="BN146" s="56">
        <v>5397000</v>
      </c>
      <c r="BO146" s="41">
        <v>5.4968782783170207</v>
      </c>
      <c r="BP146" s="56">
        <v>17661000</v>
      </c>
      <c r="BQ146" s="41">
        <v>17.987839035270873</v>
      </c>
      <c r="BR146" s="39">
        <v>13910000</v>
      </c>
      <c r="BS146" s="41">
        <v>14.167422058808551</v>
      </c>
      <c r="BT146" s="39">
        <v>25498000</v>
      </c>
      <c r="BU146" s="41">
        <v>25.969872584867034</v>
      </c>
      <c r="BV146" s="56">
        <v>6783000</v>
      </c>
      <c r="BW146" s="41">
        <v>6.9085279529042714</v>
      </c>
      <c r="BX146" s="40">
        <v>5930000</v>
      </c>
      <c r="BY146" s="41">
        <v>6.0397421142152918</v>
      </c>
      <c r="BZ146" s="57">
        <v>310.16908017150718</v>
      </c>
      <c r="CA146" s="58">
        <v>238.12798317288247</v>
      </c>
      <c r="CB146" s="43" t="s">
        <v>382</v>
      </c>
      <c r="CC146" s="47">
        <v>187.55224766065314</v>
      </c>
      <c r="CD146" s="58">
        <v>276.83844349162689</v>
      </c>
      <c r="CE146" s="59">
        <v>72.769193430952186</v>
      </c>
      <c r="CF146" s="59">
        <v>79.955774883369742</v>
      </c>
      <c r="CG146" s="59">
        <v>66.957905239597665</v>
      </c>
      <c r="CH146" s="47">
        <v>91.45700186069088</v>
      </c>
      <c r="CI146" s="43" t="s">
        <v>382</v>
      </c>
      <c r="CJ146" s="44">
        <v>508.10520665593128</v>
      </c>
      <c r="CK146" s="60">
        <v>60.335712363696935</v>
      </c>
      <c r="CL146" s="53">
        <v>6768</v>
      </c>
      <c r="CM146" s="41">
        <v>21.68035570134413</v>
      </c>
      <c r="CN146" s="53">
        <v>5875.12</v>
      </c>
      <c r="CO146" s="41">
        <v>18.820137616442217</v>
      </c>
      <c r="CP146" s="54">
        <v>12382.09</v>
      </c>
      <c r="CQ146" s="41">
        <v>39.664319669925554</v>
      </c>
      <c r="CR146" s="43">
        <v>14197</v>
      </c>
      <c r="CS146" s="52">
        <v>65.527928435584982</v>
      </c>
      <c r="CT146" s="41">
        <v>211.45000000000002</v>
      </c>
      <c r="CU146" s="41">
        <v>2.8510368632527037</v>
      </c>
      <c r="CV146" s="52">
        <v>361.6</v>
      </c>
      <c r="CW146" s="38">
        <v>3</v>
      </c>
      <c r="CX146" s="38">
        <v>15</v>
      </c>
      <c r="CY146" s="51">
        <v>7</v>
      </c>
      <c r="CZ146" s="41">
        <v>15.095501982040288</v>
      </c>
      <c r="DA146" s="39">
        <v>12653000</v>
      </c>
      <c r="DB146" s="39">
        <v>15878000</v>
      </c>
      <c r="DC146" s="39">
        <v>12742000</v>
      </c>
      <c r="DD146" s="39">
        <v>20518000</v>
      </c>
      <c r="DE146" s="39">
        <v>6060000</v>
      </c>
      <c r="DF146" s="62">
        <v>8049000</v>
      </c>
      <c r="DG146" s="41">
        <v>75.290000000000006</v>
      </c>
      <c r="DH146" s="41">
        <v>70.179999999999993</v>
      </c>
      <c r="DI146" s="41">
        <v>1.69</v>
      </c>
      <c r="DJ146" s="37" t="s">
        <v>390</v>
      </c>
      <c r="DK146" s="40">
        <v>23000</v>
      </c>
      <c r="DL146" s="40">
        <v>367000</v>
      </c>
      <c r="DM146" s="40">
        <v>0</v>
      </c>
      <c r="DN146" s="40">
        <v>21527</v>
      </c>
      <c r="DO146" s="40">
        <v>0</v>
      </c>
      <c r="DP146" s="40">
        <v>300000</v>
      </c>
      <c r="DQ146" s="64">
        <v>3</v>
      </c>
      <c r="DR146" s="40">
        <v>17996</v>
      </c>
      <c r="DS146" s="98">
        <v>0</v>
      </c>
      <c r="DT146" s="38">
        <v>13</v>
      </c>
      <c r="DU146" s="66">
        <v>5705.0769230769229</v>
      </c>
      <c r="DV146" s="41">
        <v>46.153846153846153</v>
      </c>
      <c r="DW146" s="41">
        <v>53.846153846153847</v>
      </c>
      <c r="DX146" s="41">
        <v>0</v>
      </c>
      <c r="DY146" s="41">
        <v>15.384615384615385</v>
      </c>
      <c r="DZ146" s="41">
        <v>15.384615384615385</v>
      </c>
      <c r="EA146" s="41">
        <v>46.153846153846153</v>
      </c>
      <c r="EB146" s="41">
        <v>38.461538461538467</v>
      </c>
      <c r="EC146" s="40">
        <v>395</v>
      </c>
      <c r="ED146" s="184">
        <v>187.76202531645569</v>
      </c>
    </row>
    <row r="147" spans="1:134" s="13" customFormat="1">
      <c r="A147" s="156" t="s">
        <v>294</v>
      </c>
      <c r="B147" s="285">
        <v>2014</v>
      </c>
      <c r="C147" s="259">
        <v>4</v>
      </c>
      <c r="D147" s="80" t="s">
        <v>342</v>
      </c>
      <c r="E147" s="56">
        <v>2688.4</v>
      </c>
      <c r="F147" s="56">
        <v>47584</v>
      </c>
      <c r="G147" s="82">
        <v>5.3559171925163289</v>
      </c>
      <c r="H147" s="179">
        <v>17.7</v>
      </c>
      <c r="I147" s="56">
        <v>22891</v>
      </c>
      <c r="J147" s="56">
        <v>48.106506388702087</v>
      </c>
      <c r="K147" s="56">
        <v>24693</v>
      </c>
      <c r="L147" s="84">
        <v>51.893493611297913</v>
      </c>
      <c r="M147" s="160">
        <v>25.067249495628786</v>
      </c>
      <c r="N147" s="160">
        <v>43.827757229320781</v>
      </c>
      <c r="O147" s="160">
        <v>31.104993275050436</v>
      </c>
      <c r="P147" s="160">
        <v>33.553295225285815</v>
      </c>
      <c r="Q147" s="160">
        <v>35.341711499663752</v>
      </c>
      <c r="R147" s="160">
        <v>31.104993275050436</v>
      </c>
      <c r="S147" s="83">
        <v>1.8020047302624169</v>
      </c>
      <c r="T147" s="83">
        <v>4.5</v>
      </c>
      <c r="U147" s="80">
        <v>120</v>
      </c>
      <c r="V147" s="84">
        <v>3.9</v>
      </c>
      <c r="W147" s="81">
        <v>49475</v>
      </c>
      <c r="X147" s="84">
        <v>2.5</v>
      </c>
      <c r="Y147" s="85" t="s">
        <v>350</v>
      </c>
      <c r="Z147" s="46">
        <v>5086</v>
      </c>
      <c r="AA147" s="45">
        <v>0</v>
      </c>
      <c r="AB147" s="63">
        <v>641</v>
      </c>
      <c r="AC147" s="92">
        <v>141921.894</v>
      </c>
      <c r="AD147" s="43">
        <v>59</v>
      </c>
      <c r="AE147" s="44">
        <v>-3.08</v>
      </c>
      <c r="AF147" s="44">
        <v>4.8567</v>
      </c>
      <c r="AG147" s="41">
        <v>79.72</v>
      </c>
      <c r="AH147" s="41">
        <v>20.28</v>
      </c>
      <c r="AI147" s="44">
        <v>1.54</v>
      </c>
      <c r="AJ147" s="41">
        <v>4.2007000000000003</v>
      </c>
      <c r="AK147" s="41">
        <v>6.4912602231334908</v>
      </c>
      <c r="AL147" s="41">
        <v>15.4579</v>
      </c>
      <c r="AM147" s="39">
        <v>82240</v>
      </c>
      <c r="AN147" s="39">
        <v>88284.407999999996</v>
      </c>
      <c r="AO147" s="81">
        <v>91634</v>
      </c>
      <c r="AP147" s="81">
        <v>98715</v>
      </c>
      <c r="AQ147" s="56">
        <v>20941351.190000001</v>
      </c>
      <c r="AR147" s="44">
        <v>1062.6890891099158</v>
      </c>
      <c r="AS147" s="56">
        <v>19706</v>
      </c>
      <c r="AT147" s="46">
        <v>22990408.050000001</v>
      </c>
      <c r="AU147" s="50">
        <v>1164.7790074982267</v>
      </c>
      <c r="AV147" s="56">
        <v>19738</v>
      </c>
      <c r="AW147" s="46">
        <v>24617000</v>
      </c>
      <c r="AX147" s="47">
        <v>1220.2944529817082</v>
      </c>
      <c r="AY147" s="56">
        <v>20173</v>
      </c>
      <c r="AZ147" s="84">
        <v>75</v>
      </c>
      <c r="BA147" s="84">
        <v>22</v>
      </c>
      <c r="BB147" s="46">
        <v>3802000</v>
      </c>
      <c r="BC147" s="48">
        <v>2789.4350696991928</v>
      </c>
      <c r="BD147" s="81">
        <v>1363</v>
      </c>
      <c r="BE147" s="46">
        <v>4199000</v>
      </c>
      <c r="BF147" s="47">
        <v>3430.5555555555557</v>
      </c>
      <c r="BG147" s="40">
        <v>1224</v>
      </c>
      <c r="BH147" s="46">
        <v>82000</v>
      </c>
      <c r="BI147" s="49">
        <v>5466.666666666667</v>
      </c>
      <c r="BJ147" s="45">
        <v>15</v>
      </c>
      <c r="BK147" s="47">
        <v>227.64141266055046</v>
      </c>
      <c r="BL147" s="55">
        <v>33388000</v>
      </c>
      <c r="BM147" s="84">
        <v>36.436257284414083</v>
      </c>
      <c r="BN147" s="56">
        <v>23856000</v>
      </c>
      <c r="BO147" s="41">
        <v>26.034004845363075</v>
      </c>
      <c r="BP147" s="56">
        <v>11280000</v>
      </c>
      <c r="BQ147" s="41">
        <v>12.309841325272279</v>
      </c>
      <c r="BR147" s="56">
        <v>4417000</v>
      </c>
      <c r="BS147" s="41">
        <v>4.8202632210751464</v>
      </c>
      <c r="BT147" s="56">
        <v>8181000</v>
      </c>
      <c r="BU147" s="41">
        <v>8.9279088547918892</v>
      </c>
      <c r="BV147" s="56">
        <v>2648000</v>
      </c>
      <c r="BW147" s="41">
        <v>2.8897570770674639</v>
      </c>
      <c r="BX147" s="81">
        <v>7864000</v>
      </c>
      <c r="BY147" s="41">
        <v>8.5819673920160646</v>
      </c>
      <c r="BZ147" s="57">
        <v>701.6644250168124</v>
      </c>
      <c r="CA147" s="58">
        <v>237.0544720914593</v>
      </c>
      <c r="CB147" s="59">
        <v>429.07279757901813</v>
      </c>
      <c r="CC147" s="47">
        <v>92.825319435104234</v>
      </c>
      <c r="CD147" s="58">
        <v>147.86482851378614</v>
      </c>
      <c r="CE147" s="59">
        <v>72.272192333557499</v>
      </c>
      <c r="CF147" s="59">
        <v>165.26563550773369</v>
      </c>
      <c r="CG147" s="59">
        <v>24.062710154673841</v>
      </c>
      <c r="CH147" s="47">
        <v>55.648957632817755</v>
      </c>
      <c r="CI147" s="43">
        <v>1202</v>
      </c>
      <c r="CJ147" s="44">
        <v>330.73910672681308</v>
      </c>
      <c r="CK147" s="60">
        <v>79.016750506648222</v>
      </c>
      <c r="CL147" s="53">
        <v>6639.8883999999998</v>
      </c>
      <c r="CM147" s="84">
        <v>32.056331800660878</v>
      </c>
      <c r="CN147" s="53">
        <v>4952</v>
      </c>
      <c r="CO147" s="84">
        <v>23.907473366099445</v>
      </c>
      <c r="CP147" s="54">
        <v>4346.3</v>
      </c>
      <c r="CQ147" s="84">
        <v>20.983249493351781</v>
      </c>
      <c r="CR147" s="43">
        <v>26875</v>
      </c>
      <c r="CS147" s="52">
        <v>78.370232558139534</v>
      </c>
      <c r="CT147" s="84">
        <v>1203.8679999999999</v>
      </c>
      <c r="CU147" s="41">
        <v>25.299848688634832</v>
      </c>
      <c r="CV147" s="87">
        <v>547.51</v>
      </c>
      <c r="CW147" s="80">
        <v>4</v>
      </c>
      <c r="CX147" s="80">
        <v>23</v>
      </c>
      <c r="CY147" s="51">
        <v>3</v>
      </c>
      <c r="CZ147" s="41">
        <v>6.1619872225958305</v>
      </c>
      <c r="DA147" s="56">
        <v>19705322</v>
      </c>
      <c r="DB147" s="56">
        <v>24306610</v>
      </c>
      <c r="DC147" s="56">
        <v>18756000</v>
      </c>
      <c r="DD147" s="56">
        <v>19846000</v>
      </c>
      <c r="DE147" s="56">
        <v>17148000</v>
      </c>
      <c r="DF147" s="55">
        <v>18005000</v>
      </c>
      <c r="DG147" s="41">
        <v>95.240000000000009</v>
      </c>
      <c r="DH147" s="41">
        <v>47.8</v>
      </c>
      <c r="DI147" s="41">
        <v>2.2399999999999998</v>
      </c>
      <c r="DJ147" s="37" t="s">
        <v>390</v>
      </c>
      <c r="DK147" s="81">
        <v>68900</v>
      </c>
      <c r="DL147" s="40">
        <v>202000</v>
      </c>
      <c r="DM147" s="81">
        <v>0</v>
      </c>
      <c r="DN147" s="81">
        <v>4963</v>
      </c>
      <c r="DO147" s="81">
        <v>0</v>
      </c>
      <c r="DP147" s="40">
        <v>290000</v>
      </c>
      <c r="DQ147" s="64">
        <v>8</v>
      </c>
      <c r="DR147" s="40">
        <v>100000</v>
      </c>
      <c r="DS147" s="98">
        <v>0</v>
      </c>
      <c r="DT147" s="80">
        <v>9</v>
      </c>
      <c r="DU147" s="66">
        <v>5287.1111111111113</v>
      </c>
      <c r="DV147" s="41">
        <v>22.222222222222221</v>
      </c>
      <c r="DW147" s="41">
        <v>77.777777777777786</v>
      </c>
      <c r="DX147" s="41">
        <v>0</v>
      </c>
      <c r="DY147" s="41">
        <v>0</v>
      </c>
      <c r="DZ147" s="41">
        <v>0</v>
      </c>
      <c r="EA147" s="41">
        <v>66.666666666666657</v>
      </c>
      <c r="EB147" s="41">
        <v>33.333333333333329</v>
      </c>
      <c r="EC147" s="81">
        <v>367</v>
      </c>
      <c r="ED147" s="184">
        <v>129.65667574931879</v>
      </c>
    </row>
    <row r="148" spans="1:134" s="13" customFormat="1">
      <c r="A148" s="156" t="s">
        <v>295</v>
      </c>
      <c r="B148" s="285">
        <v>2014</v>
      </c>
      <c r="C148" s="259">
        <v>6</v>
      </c>
      <c r="D148" s="80" t="s">
        <v>346</v>
      </c>
      <c r="E148" s="56">
        <v>2555.9</v>
      </c>
      <c r="F148" s="56">
        <v>47084</v>
      </c>
      <c r="G148" s="82">
        <v>9.1296789894541668</v>
      </c>
      <c r="H148" s="179">
        <v>18.399999999999999</v>
      </c>
      <c r="I148" s="56">
        <v>23628</v>
      </c>
      <c r="J148" s="56">
        <v>50.182652281029647</v>
      </c>
      <c r="K148" s="56">
        <v>23456</v>
      </c>
      <c r="L148" s="84">
        <v>49.817347718970353</v>
      </c>
      <c r="M148" s="160">
        <v>29.133038824229036</v>
      </c>
      <c r="N148" s="160">
        <v>52.869339903151811</v>
      </c>
      <c r="O148" s="160">
        <v>17.997621272619149</v>
      </c>
      <c r="P148" s="160">
        <v>41.009684818622041</v>
      </c>
      <c r="Q148" s="160">
        <v>40.992693908758817</v>
      </c>
      <c r="R148" s="160">
        <v>17.997621272619149</v>
      </c>
      <c r="S148" s="83">
        <v>2.3924550981253323</v>
      </c>
      <c r="T148" s="83">
        <v>5.2</v>
      </c>
      <c r="U148" s="38">
        <v>124</v>
      </c>
      <c r="V148" s="41">
        <v>3.3</v>
      </c>
      <c r="W148" s="40">
        <v>50960</v>
      </c>
      <c r="X148" s="41">
        <v>3</v>
      </c>
      <c r="Y148" s="42" t="s">
        <v>95</v>
      </c>
      <c r="Z148" s="43">
        <v>3873</v>
      </c>
      <c r="AA148" s="45">
        <v>8</v>
      </c>
      <c r="AB148" s="63">
        <v>875</v>
      </c>
      <c r="AC148" s="63">
        <v>163873.34299999999</v>
      </c>
      <c r="AD148" s="43">
        <v>85</v>
      </c>
      <c r="AE148" s="44">
        <v>-12</v>
      </c>
      <c r="AF148" s="44">
        <v>3.4161999999999999</v>
      </c>
      <c r="AG148" s="41">
        <v>60.44</v>
      </c>
      <c r="AH148" s="41">
        <v>39.56</v>
      </c>
      <c r="AI148" s="44">
        <v>6.14</v>
      </c>
      <c r="AJ148" s="41">
        <v>1.9966999999999999</v>
      </c>
      <c r="AK148" s="41">
        <v>6.2620045398987259</v>
      </c>
      <c r="AL148" s="41">
        <v>8.7227999999999994</v>
      </c>
      <c r="AM148" s="39">
        <v>44897</v>
      </c>
      <c r="AN148" s="39">
        <v>49631</v>
      </c>
      <c r="AO148" s="40">
        <v>55546</v>
      </c>
      <c r="AP148" s="40">
        <v>63018</v>
      </c>
      <c r="AQ148" s="39">
        <v>17658000</v>
      </c>
      <c r="AR148" s="44">
        <v>1130.9805930954974</v>
      </c>
      <c r="AS148" s="39">
        <v>15613</v>
      </c>
      <c r="AT148" s="46">
        <v>18690000</v>
      </c>
      <c r="AU148" s="50">
        <v>1183.1360384883205</v>
      </c>
      <c r="AV148" s="39">
        <v>15797</v>
      </c>
      <c r="AW148" s="46">
        <v>19560000</v>
      </c>
      <c r="AX148" s="47">
        <v>1196.7694566813509</v>
      </c>
      <c r="AY148" s="39">
        <v>16344</v>
      </c>
      <c r="AZ148" s="41">
        <v>77.5</v>
      </c>
      <c r="BA148" s="41">
        <v>15.351199216837982</v>
      </c>
      <c r="BB148" s="46">
        <v>906000</v>
      </c>
      <c r="BC148" s="48">
        <v>2489.0109890109889</v>
      </c>
      <c r="BD148" s="40">
        <v>364</v>
      </c>
      <c r="BE148" s="46">
        <v>1035000</v>
      </c>
      <c r="BF148" s="47">
        <v>1851.520572450805</v>
      </c>
      <c r="BG148" s="40">
        <v>559</v>
      </c>
      <c r="BH148" s="46">
        <v>1063000</v>
      </c>
      <c r="BI148" s="49">
        <v>23108.695652173912</v>
      </c>
      <c r="BJ148" s="45">
        <v>46</v>
      </c>
      <c r="BK148" s="47">
        <v>240.93054467293032</v>
      </c>
      <c r="BL148" s="55">
        <v>5411000</v>
      </c>
      <c r="BM148" s="41">
        <v>9.741475533791812</v>
      </c>
      <c r="BN148" s="56">
        <v>3163000</v>
      </c>
      <c r="BO148" s="41">
        <v>5.6943794332625215</v>
      </c>
      <c r="BP148" s="56">
        <v>8379000</v>
      </c>
      <c r="BQ148" s="41">
        <v>15.084794584668563</v>
      </c>
      <c r="BR148" s="39">
        <v>6470000</v>
      </c>
      <c r="BS148" s="41">
        <v>11.648003456594534</v>
      </c>
      <c r="BT148" s="39">
        <v>8423000</v>
      </c>
      <c r="BU148" s="41">
        <v>15.164008209412019</v>
      </c>
      <c r="BV148" s="56">
        <v>21525000</v>
      </c>
      <c r="BW148" s="41">
        <v>38.751665286429265</v>
      </c>
      <c r="BX148" s="40">
        <v>2175000</v>
      </c>
      <c r="BY148" s="41">
        <v>3.9156734958412849</v>
      </c>
      <c r="BZ148" s="57">
        <v>114.92226658737576</v>
      </c>
      <c r="CA148" s="58">
        <v>177.95854217993374</v>
      </c>
      <c r="CB148" s="43" t="s">
        <v>382</v>
      </c>
      <c r="CC148" s="47">
        <v>137.41398351881745</v>
      </c>
      <c r="CD148" s="58">
        <v>149.37133633506073</v>
      </c>
      <c r="CE148" s="59">
        <v>67.177809871718637</v>
      </c>
      <c r="CF148" s="59">
        <v>46.194036190638009</v>
      </c>
      <c r="CG148" s="59">
        <v>29.521705887350269</v>
      </c>
      <c r="CH148" s="47">
        <v>457.16166850734857</v>
      </c>
      <c r="CI148" s="43" t="s">
        <v>382</v>
      </c>
      <c r="CJ148" s="44">
        <v>397.82183064121392</v>
      </c>
      <c r="CK148" s="60">
        <v>72.948277006333356</v>
      </c>
      <c r="CL148" s="53">
        <v>5705.5159999999996</v>
      </c>
      <c r="CM148" s="41">
        <v>23.607225201580434</v>
      </c>
      <c r="CN148" s="74">
        <v>5586</v>
      </c>
      <c r="CO148" s="41">
        <v>23.112714078100616</v>
      </c>
      <c r="CP148" s="54">
        <v>6538</v>
      </c>
      <c r="CQ148" s="41">
        <v>27.051722993666637</v>
      </c>
      <c r="CR148" s="43">
        <v>29906</v>
      </c>
      <c r="CS148" s="52">
        <v>63.519026282351362</v>
      </c>
      <c r="CT148" s="41">
        <v>865.17399999999998</v>
      </c>
      <c r="CU148" s="41">
        <v>18.375116812505308</v>
      </c>
      <c r="CV148" s="52">
        <v>344.96</v>
      </c>
      <c r="CW148" s="38">
        <v>2</v>
      </c>
      <c r="CX148" s="38">
        <v>15</v>
      </c>
      <c r="CY148" s="51">
        <v>1</v>
      </c>
      <c r="CZ148" s="41">
        <v>2.4228612692209666</v>
      </c>
      <c r="DA148" s="39">
        <v>8857000</v>
      </c>
      <c r="DB148" s="39">
        <v>10394000</v>
      </c>
      <c r="DC148" s="39">
        <v>15274000</v>
      </c>
      <c r="DD148" s="39">
        <v>9616000</v>
      </c>
      <c r="DE148" s="39">
        <v>7114000</v>
      </c>
      <c r="DF148" s="62">
        <v>12416000</v>
      </c>
      <c r="DG148" s="41">
        <v>57.3</v>
      </c>
      <c r="DH148" s="41">
        <v>70.44</v>
      </c>
      <c r="DI148" s="41">
        <v>15.909999999999998</v>
      </c>
      <c r="DJ148" s="37" t="s">
        <v>390</v>
      </c>
      <c r="DK148" s="40">
        <v>21000</v>
      </c>
      <c r="DL148" s="40">
        <v>200480</v>
      </c>
      <c r="DM148" s="40">
        <v>0</v>
      </c>
      <c r="DN148" s="40">
        <v>2820.91</v>
      </c>
      <c r="DO148" s="40">
        <v>1806</v>
      </c>
      <c r="DP148" s="40">
        <v>282326</v>
      </c>
      <c r="DQ148" s="64">
        <v>2</v>
      </c>
      <c r="DR148" s="40">
        <v>5293</v>
      </c>
      <c r="DS148" s="98">
        <v>0</v>
      </c>
      <c r="DT148" s="38">
        <v>9</v>
      </c>
      <c r="DU148" s="66">
        <v>5231.5555555555557</v>
      </c>
      <c r="DV148" s="41">
        <v>22.222222222222221</v>
      </c>
      <c r="DW148" s="41">
        <v>77.777777777777786</v>
      </c>
      <c r="DX148" s="41">
        <v>0</v>
      </c>
      <c r="DY148" s="41">
        <v>0</v>
      </c>
      <c r="DZ148" s="41">
        <v>22.222222222222221</v>
      </c>
      <c r="EA148" s="41">
        <v>55.555555555555557</v>
      </c>
      <c r="EB148" s="41">
        <v>22.222222222222221</v>
      </c>
      <c r="EC148" s="40">
        <v>221</v>
      </c>
      <c r="ED148" s="184">
        <v>213.0497737556561</v>
      </c>
    </row>
    <row r="149" spans="1:134" s="13" customFormat="1">
      <c r="A149" s="156" t="s">
        <v>296</v>
      </c>
      <c r="B149" s="285">
        <v>2014</v>
      </c>
      <c r="C149" s="259">
        <v>5</v>
      </c>
      <c r="D149" s="80" t="s">
        <v>342</v>
      </c>
      <c r="E149" s="56">
        <v>684</v>
      </c>
      <c r="F149" s="56">
        <v>206794</v>
      </c>
      <c r="G149" s="82">
        <v>4.5010536316180447</v>
      </c>
      <c r="H149" s="179">
        <v>302.3</v>
      </c>
      <c r="I149" s="56">
        <v>103261</v>
      </c>
      <c r="J149" s="56">
        <v>49.934234068686713</v>
      </c>
      <c r="K149" s="56">
        <v>103533</v>
      </c>
      <c r="L149" s="84">
        <v>50.065765931313287</v>
      </c>
      <c r="M149" s="160">
        <v>24.336296024062591</v>
      </c>
      <c r="N149" s="160">
        <v>53.285395127518207</v>
      </c>
      <c r="O149" s="160">
        <v>22.378308848419202</v>
      </c>
      <c r="P149" s="160">
        <v>39.242434500033852</v>
      </c>
      <c r="Q149" s="160">
        <v>38.379256651546953</v>
      </c>
      <c r="R149" s="160">
        <v>22.378308848419202</v>
      </c>
      <c r="S149" s="83">
        <v>2.1952208213368811</v>
      </c>
      <c r="T149" s="83">
        <v>16.7</v>
      </c>
      <c r="U149" s="38">
        <v>100</v>
      </c>
      <c r="V149" s="41">
        <v>6.9</v>
      </c>
      <c r="W149" s="40">
        <v>50450</v>
      </c>
      <c r="X149" s="41">
        <v>2.5</v>
      </c>
      <c r="Y149" s="42" t="s">
        <v>350</v>
      </c>
      <c r="Z149" s="43">
        <v>11820</v>
      </c>
      <c r="AA149" s="45">
        <v>1</v>
      </c>
      <c r="AB149" s="63">
        <v>1479</v>
      </c>
      <c r="AC149" s="63">
        <v>572921.87300000002</v>
      </c>
      <c r="AD149" s="43">
        <v>61</v>
      </c>
      <c r="AE149" s="44">
        <v>2.31</v>
      </c>
      <c r="AF149" s="44">
        <v>2.1856999999999998</v>
      </c>
      <c r="AG149" s="41">
        <v>80.569999999999993</v>
      </c>
      <c r="AH149" s="41">
        <v>19.430000000000007</v>
      </c>
      <c r="AI149" s="44">
        <v>5.48</v>
      </c>
      <c r="AJ149" s="41">
        <v>7.5982000000000003</v>
      </c>
      <c r="AK149" s="41">
        <v>2.6501766784452299</v>
      </c>
      <c r="AL149" s="41">
        <v>8.0123999999999995</v>
      </c>
      <c r="AM149" s="39">
        <v>238225</v>
      </c>
      <c r="AN149" s="39">
        <v>243760</v>
      </c>
      <c r="AO149" s="40">
        <v>241645.32800000001</v>
      </c>
      <c r="AP149" s="40">
        <v>273239</v>
      </c>
      <c r="AQ149" s="39">
        <v>80035000</v>
      </c>
      <c r="AR149" s="44">
        <v>1077.956011690708</v>
      </c>
      <c r="AS149" s="39">
        <v>74247</v>
      </c>
      <c r="AT149" s="46">
        <v>83607000</v>
      </c>
      <c r="AU149" s="50">
        <v>1116.5464743589744</v>
      </c>
      <c r="AV149" s="39">
        <v>74880</v>
      </c>
      <c r="AW149" s="46">
        <v>90606000</v>
      </c>
      <c r="AX149" s="47">
        <v>1201.0657758689256</v>
      </c>
      <c r="AY149" s="39">
        <v>75438</v>
      </c>
      <c r="AZ149" s="41">
        <v>71</v>
      </c>
      <c r="BA149" s="41">
        <v>21.230679498396036</v>
      </c>
      <c r="BB149" s="46">
        <v>422000</v>
      </c>
      <c r="BC149" s="48">
        <v>2281.0810810810813</v>
      </c>
      <c r="BD149" s="40">
        <v>185</v>
      </c>
      <c r="BE149" s="46">
        <v>42375000</v>
      </c>
      <c r="BF149" s="47">
        <v>10812.70732329676</v>
      </c>
      <c r="BG149" s="40">
        <v>3919</v>
      </c>
      <c r="BH149" s="46">
        <v>945000</v>
      </c>
      <c r="BI149" s="49">
        <v>59062.5</v>
      </c>
      <c r="BJ149" s="45">
        <v>16</v>
      </c>
      <c r="BK149" s="47">
        <v>145.90300794950429</v>
      </c>
      <c r="BL149" s="55">
        <v>29759328</v>
      </c>
      <c r="BM149" s="41">
        <v>12.316413421803379</v>
      </c>
      <c r="BN149" s="56">
        <v>14468000</v>
      </c>
      <c r="BO149" s="41">
        <v>5.9878324331332777</v>
      </c>
      <c r="BP149" s="56">
        <v>58209000</v>
      </c>
      <c r="BQ149" s="41">
        <v>24.090803020476567</v>
      </c>
      <c r="BR149" s="39">
        <v>28483000</v>
      </c>
      <c r="BS149" s="41">
        <v>11.788182968823275</v>
      </c>
      <c r="BT149" s="39">
        <v>51696000</v>
      </c>
      <c r="BU149" s="41">
        <v>21.395285143990733</v>
      </c>
      <c r="BV149" s="56">
        <v>43096000</v>
      </c>
      <c r="BW149" s="41">
        <v>17.836026163831335</v>
      </c>
      <c r="BX149" s="40">
        <v>15912000</v>
      </c>
      <c r="BY149" s="41">
        <v>6.5854568479414368</v>
      </c>
      <c r="BZ149" s="57">
        <v>143.90808243952918</v>
      </c>
      <c r="CA149" s="58">
        <v>281.48302175111462</v>
      </c>
      <c r="CB149" s="43" t="s">
        <v>382</v>
      </c>
      <c r="CC149" s="47">
        <v>137.73610452914494</v>
      </c>
      <c r="CD149" s="58">
        <v>196.25327620724005</v>
      </c>
      <c r="CE149" s="59">
        <v>69.963345164753335</v>
      </c>
      <c r="CF149" s="59">
        <v>76.946139636546519</v>
      </c>
      <c r="CG149" s="59">
        <v>53.734634467150883</v>
      </c>
      <c r="CH149" s="47">
        <v>208.40063057922376</v>
      </c>
      <c r="CI149" s="43" t="s">
        <v>382</v>
      </c>
      <c r="CJ149" s="44">
        <v>407.63275802645882</v>
      </c>
      <c r="CK149" s="60">
        <v>48.74607939799624</v>
      </c>
      <c r="CL149" s="53">
        <v>21043.1</v>
      </c>
      <c r="CM149" s="41">
        <v>20.950797073334009</v>
      </c>
      <c r="CN149" s="74">
        <v>27897.74</v>
      </c>
      <c r="CO149" s="41">
        <v>27.77537005216119</v>
      </c>
      <c r="CP149" s="54">
        <v>51479.73</v>
      </c>
      <c r="CQ149" s="41">
        <v>51.253920602003753</v>
      </c>
      <c r="CR149" s="43">
        <v>67481</v>
      </c>
      <c r="CS149" s="52">
        <v>72.073620722870146</v>
      </c>
      <c r="CT149" s="41">
        <v>1014.8800000000001</v>
      </c>
      <c r="CU149" s="41">
        <v>4.9076859096492162</v>
      </c>
      <c r="CV149" s="52">
        <v>2458</v>
      </c>
      <c r="CW149" s="38">
        <v>18</v>
      </c>
      <c r="CX149" s="38">
        <v>35</v>
      </c>
      <c r="CY149" s="51">
        <v>7</v>
      </c>
      <c r="CZ149" s="41">
        <v>6.5438407303886956</v>
      </c>
      <c r="DA149" s="39">
        <v>13394000</v>
      </c>
      <c r="DB149" s="39">
        <v>19255000</v>
      </c>
      <c r="DC149" s="39">
        <v>14608000</v>
      </c>
      <c r="DD149" s="39">
        <v>18519000</v>
      </c>
      <c r="DE149" s="39">
        <v>17087000</v>
      </c>
      <c r="DF149" s="62">
        <v>17526000</v>
      </c>
      <c r="DG149" s="41">
        <v>97.5</v>
      </c>
      <c r="DH149" s="41">
        <v>91.45</v>
      </c>
      <c r="DI149" s="41">
        <v>6.18</v>
      </c>
      <c r="DJ149" s="37" t="s">
        <v>390</v>
      </c>
      <c r="DK149" s="40">
        <v>70996</v>
      </c>
      <c r="DL149" s="40">
        <v>458000</v>
      </c>
      <c r="DM149" s="40">
        <v>3198.73</v>
      </c>
      <c r="DN149" s="40">
        <v>25984.82</v>
      </c>
      <c r="DO149" s="40">
        <v>0</v>
      </c>
      <c r="DP149" s="40">
        <v>367328</v>
      </c>
      <c r="DQ149" s="64">
        <v>2</v>
      </c>
      <c r="DR149" s="40">
        <v>0</v>
      </c>
      <c r="DS149" s="98">
        <v>0</v>
      </c>
      <c r="DT149" s="38">
        <v>13</v>
      </c>
      <c r="DU149" s="66">
        <v>15907.23076923077</v>
      </c>
      <c r="DV149" s="211" t="s">
        <v>460</v>
      </c>
      <c r="DW149" s="211" t="s">
        <v>460</v>
      </c>
      <c r="DX149" s="211" t="s">
        <v>460</v>
      </c>
      <c r="DY149" s="211" t="s">
        <v>460</v>
      </c>
      <c r="DZ149" s="211" t="s">
        <v>460</v>
      </c>
      <c r="EA149" s="211" t="s">
        <v>460</v>
      </c>
      <c r="EB149" s="211" t="s">
        <v>460</v>
      </c>
      <c r="EC149" s="40">
        <v>1009</v>
      </c>
      <c r="ED149" s="184">
        <v>204.94945490584738</v>
      </c>
    </row>
    <row r="150" spans="1:134" s="13" customFormat="1">
      <c r="A150" s="156" t="s">
        <v>297</v>
      </c>
      <c r="B150" s="285">
        <v>2014</v>
      </c>
      <c r="C150" s="259">
        <v>2</v>
      </c>
      <c r="D150" s="80" t="s">
        <v>343</v>
      </c>
      <c r="E150" s="56">
        <v>12.3</v>
      </c>
      <c r="F150" s="56">
        <v>58619</v>
      </c>
      <c r="G150" s="82">
        <v>6.8480915752251095</v>
      </c>
      <c r="H150" s="179">
        <v>4775.8999999999996</v>
      </c>
      <c r="I150" s="56">
        <v>27843</v>
      </c>
      <c r="J150" s="56">
        <v>47.498251420187991</v>
      </c>
      <c r="K150" s="56">
        <v>30776</v>
      </c>
      <c r="L150" s="84">
        <v>52.501748579812002</v>
      </c>
      <c r="M150" s="160">
        <v>20.263054640986709</v>
      </c>
      <c r="N150" s="160">
        <v>57.124823009604398</v>
      </c>
      <c r="O150" s="160">
        <v>22.612122349408896</v>
      </c>
      <c r="P150" s="160">
        <v>35.401490984151899</v>
      </c>
      <c r="Q150" s="160">
        <v>41.986386666439209</v>
      </c>
      <c r="R150" s="160">
        <v>22.612122349408896</v>
      </c>
      <c r="S150" s="83">
        <v>0.2166494114038115</v>
      </c>
      <c r="T150" s="83">
        <v>13.4</v>
      </c>
      <c r="U150" s="38">
        <v>150</v>
      </c>
      <c r="V150" s="41">
        <v>2.4</v>
      </c>
      <c r="W150" s="40">
        <v>128843</v>
      </c>
      <c r="X150" s="41">
        <v>2.2999999999999998</v>
      </c>
      <c r="Y150" s="42" t="s">
        <v>142</v>
      </c>
      <c r="Z150" s="43">
        <v>9287</v>
      </c>
      <c r="AA150" s="45">
        <v>99</v>
      </c>
      <c r="AB150" s="63">
        <v>509</v>
      </c>
      <c r="AC150" s="63">
        <v>174067.03400000001</v>
      </c>
      <c r="AD150" s="43">
        <v>85</v>
      </c>
      <c r="AE150" s="44">
        <v>7.69</v>
      </c>
      <c r="AF150" s="44">
        <v>4.3722000000000003</v>
      </c>
      <c r="AG150" s="41">
        <v>92.54</v>
      </c>
      <c r="AH150" s="41">
        <v>7.4599999999999937</v>
      </c>
      <c r="AI150" s="44">
        <v>3.94</v>
      </c>
      <c r="AJ150" s="41">
        <v>3.5633999999999997</v>
      </c>
      <c r="AK150" s="41">
        <v>6.7894771284601791</v>
      </c>
      <c r="AL150" s="41">
        <v>14.0535</v>
      </c>
      <c r="AM150" s="39">
        <v>73661</v>
      </c>
      <c r="AN150" s="39">
        <v>78468</v>
      </c>
      <c r="AO150" s="40">
        <v>86366</v>
      </c>
      <c r="AP150" s="40">
        <v>94197</v>
      </c>
      <c r="AQ150" s="39">
        <v>25709000</v>
      </c>
      <c r="AR150" s="44">
        <v>1055.2477116939622</v>
      </c>
      <c r="AS150" s="39">
        <v>24363</v>
      </c>
      <c r="AT150" s="46">
        <v>30254000</v>
      </c>
      <c r="AU150" s="50">
        <v>1227.3900000000001</v>
      </c>
      <c r="AV150" s="39">
        <v>24487</v>
      </c>
      <c r="AW150" s="46">
        <v>30726000</v>
      </c>
      <c r="AX150" s="47">
        <v>1253.9177277179235</v>
      </c>
      <c r="AY150" s="39">
        <v>24504</v>
      </c>
      <c r="AZ150" s="41">
        <v>78.3</v>
      </c>
      <c r="BA150" s="41">
        <v>4.3870388507998692</v>
      </c>
      <c r="BB150" s="48" t="s">
        <v>382</v>
      </c>
      <c r="BC150" s="48" t="s">
        <v>382</v>
      </c>
      <c r="BD150" s="40">
        <v>0</v>
      </c>
      <c r="BE150" s="46">
        <v>4863000</v>
      </c>
      <c r="BF150" s="47">
        <v>3434.3220338983051</v>
      </c>
      <c r="BG150" s="40">
        <v>1416</v>
      </c>
      <c r="BH150" s="49" t="s">
        <v>382</v>
      </c>
      <c r="BI150" s="49" t="s">
        <v>382</v>
      </c>
      <c r="BJ150" s="213">
        <v>0</v>
      </c>
      <c r="BK150" s="47">
        <v>771.49521484166451</v>
      </c>
      <c r="BL150" s="55">
        <v>19879000</v>
      </c>
      <c r="BM150" s="41">
        <v>23.017159530370748</v>
      </c>
      <c r="BN150" s="56">
        <v>8120000</v>
      </c>
      <c r="BO150" s="41">
        <v>9.4018479494245426</v>
      </c>
      <c r="BP150" s="56">
        <v>15371000</v>
      </c>
      <c r="BQ150" s="41">
        <v>17.797512910172987</v>
      </c>
      <c r="BR150" s="39">
        <v>10023000</v>
      </c>
      <c r="BS150" s="41">
        <v>11.605261329689924</v>
      </c>
      <c r="BT150" s="39">
        <v>10820000</v>
      </c>
      <c r="BU150" s="41">
        <v>12.528078178912999</v>
      </c>
      <c r="BV150" s="56">
        <v>7962000</v>
      </c>
      <c r="BW150" s="41">
        <v>9.2189055878470683</v>
      </c>
      <c r="BX150" s="40">
        <v>14191000</v>
      </c>
      <c r="BY150" s="41">
        <v>16.431234513581732</v>
      </c>
      <c r="BZ150" s="57">
        <v>339.12212763779661</v>
      </c>
      <c r="CA150" s="58">
        <v>262.21873453999558</v>
      </c>
      <c r="CB150" s="43" t="s">
        <v>382</v>
      </c>
      <c r="CC150" s="47">
        <v>170.98551664136201</v>
      </c>
      <c r="CD150" s="58">
        <v>122.45176478616149</v>
      </c>
      <c r="CE150" s="59">
        <v>138.52163974138077</v>
      </c>
      <c r="CF150" s="59">
        <v>242.08874255787373</v>
      </c>
      <c r="CG150" s="59">
        <v>62.130026100752318</v>
      </c>
      <c r="CH150" s="47">
        <v>135.82626793360515</v>
      </c>
      <c r="CI150" s="43" t="s">
        <v>382</v>
      </c>
      <c r="CJ150" s="44">
        <v>504.08096637283711</v>
      </c>
      <c r="CK150" s="60">
        <v>41.450064627315818</v>
      </c>
      <c r="CL150" s="53">
        <v>5862.59</v>
      </c>
      <c r="CM150" s="41">
        <v>25.258897027143473</v>
      </c>
      <c r="CN150" s="74">
        <v>3591.9700000000003</v>
      </c>
      <c r="CO150" s="41">
        <v>15.475958638517881</v>
      </c>
      <c r="CP150" s="54">
        <v>13589.45</v>
      </c>
      <c r="CQ150" s="41">
        <v>58.549978457561402</v>
      </c>
      <c r="CR150" s="43">
        <v>13318</v>
      </c>
      <c r="CS150" s="52">
        <v>54.985733593632681</v>
      </c>
      <c r="CT150" s="41">
        <v>145.82</v>
      </c>
      <c r="CU150" s="41">
        <v>2.4875893481635645</v>
      </c>
      <c r="CV150" s="52">
        <v>102</v>
      </c>
      <c r="CW150" s="38">
        <v>3</v>
      </c>
      <c r="CX150" s="38">
        <v>15</v>
      </c>
      <c r="CY150" s="51">
        <v>4</v>
      </c>
      <c r="CZ150" s="41">
        <v>7.7437349664784456</v>
      </c>
      <c r="DA150" s="39">
        <v>2613000</v>
      </c>
      <c r="DB150" s="39">
        <v>2380000</v>
      </c>
      <c r="DC150" s="39">
        <v>5312000</v>
      </c>
      <c r="DD150" s="39">
        <v>5567000</v>
      </c>
      <c r="DE150" s="39">
        <v>6142000</v>
      </c>
      <c r="DF150" s="62">
        <v>5969000</v>
      </c>
      <c r="DG150" s="41">
        <v>102.89999999999999</v>
      </c>
      <c r="DH150" s="41">
        <v>125.53</v>
      </c>
      <c r="DI150" s="41">
        <v>1.34</v>
      </c>
      <c r="DJ150" s="37" t="s">
        <v>390</v>
      </c>
      <c r="DK150" s="40">
        <v>20000</v>
      </c>
      <c r="DL150" s="40">
        <v>303000</v>
      </c>
      <c r="DM150" s="40">
        <v>0</v>
      </c>
      <c r="DN150" s="40">
        <v>14694</v>
      </c>
      <c r="DO150" s="40">
        <v>0</v>
      </c>
      <c r="DP150" s="40">
        <v>307528</v>
      </c>
      <c r="DQ150" s="64">
        <v>0</v>
      </c>
      <c r="DR150" s="40">
        <v>0</v>
      </c>
      <c r="DS150" s="98">
        <v>0</v>
      </c>
      <c r="DT150" s="38">
        <v>15</v>
      </c>
      <c r="DU150" s="66">
        <v>3907.9333333333334</v>
      </c>
      <c r="DV150" s="41">
        <v>46.666666666666664</v>
      </c>
      <c r="DW150" s="41">
        <v>53.333333333333336</v>
      </c>
      <c r="DX150" s="41">
        <v>0</v>
      </c>
      <c r="DY150" s="41">
        <v>20</v>
      </c>
      <c r="DZ150" s="41">
        <v>13.333333333333334</v>
      </c>
      <c r="EA150" s="41">
        <v>66.666666666666657</v>
      </c>
      <c r="EB150" s="41">
        <v>20</v>
      </c>
      <c r="EC150" s="40">
        <v>367</v>
      </c>
      <c r="ED150" s="184">
        <v>159.72479564032699</v>
      </c>
    </row>
    <row r="151" spans="1:134" s="13" customFormat="1">
      <c r="A151" s="156" t="s">
        <v>298</v>
      </c>
      <c r="B151" s="285">
        <v>2014</v>
      </c>
      <c r="C151" s="259">
        <v>7</v>
      </c>
      <c r="D151" s="80" t="s">
        <v>346</v>
      </c>
      <c r="E151" s="56">
        <v>739.8</v>
      </c>
      <c r="F151" s="56">
        <v>159015</v>
      </c>
      <c r="G151" s="82">
        <v>5.7280585106382977</v>
      </c>
      <c r="H151" s="179">
        <v>214.9</v>
      </c>
      <c r="I151" s="56">
        <v>77123</v>
      </c>
      <c r="J151" s="56">
        <v>48.500455931830331</v>
      </c>
      <c r="K151" s="56">
        <v>81892</v>
      </c>
      <c r="L151" s="84">
        <v>51.499544068169669</v>
      </c>
      <c r="M151" s="160">
        <v>26.227085495079084</v>
      </c>
      <c r="N151" s="160">
        <v>48.375939376788352</v>
      </c>
      <c r="O151" s="160">
        <v>25.396975128132564</v>
      </c>
      <c r="P151" s="160">
        <v>37.765619595635627</v>
      </c>
      <c r="Q151" s="160">
        <v>36.837405276231799</v>
      </c>
      <c r="R151" s="160">
        <v>25.396975128132564</v>
      </c>
      <c r="S151" s="83">
        <v>3.7</v>
      </c>
      <c r="T151" s="83">
        <v>4</v>
      </c>
      <c r="U151" s="38">
        <v>56</v>
      </c>
      <c r="V151" s="41">
        <v>7.7</v>
      </c>
      <c r="W151" s="40">
        <v>43047</v>
      </c>
      <c r="X151" s="41">
        <v>2.5</v>
      </c>
      <c r="Y151" s="42" t="s">
        <v>139</v>
      </c>
      <c r="Z151" s="43">
        <v>8238</v>
      </c>
      <c r="AA151" s="45">
        <v>8</v>
      </c>
      <c r="AB151" s="63">
        <v>1411</v>
      </c>
      <c r="AC151" s="63">
        <v>293918.33100000001</v>
      </c>
      <c r="AD151" s="43">
        <v>44</v>
      </c>
      <c r="AE151" s="44">
        <v>4.46</v>
      </c>
      <c r="AF151" s="44">
        <v>1.5622999999999998</v>
      </c>
      <c r="AG151" s="41">
        <v>82.3</v>
      </c>
      <c r="AH151" s="41">
        <v>17.700000000000003</v>
      </c>
      <c r="AI151" s="44">
        <v>4.5599999999999996</v>
      </c>
      <c r="AJ151" s="41">
        <v>3.5110000000000001</v>
      </c>
      <c r="AK151" s="41">
        <v>9.9710023921767714</v>
      </c>
      <c r="AL151" s="41">
        <v>9.0106000000000002</v>
      </c>
      <c r="AM151" s="39">
        <v>225182</v>
      </c>
      <c r="AN151" s="39">
        <v>221977</v>
      </c>
      <c r="AO151" s="40">
        <v>235293</v>
      </c>
      <c r="AP151" s="40">
        <v>271711.01310000004</v>
      </c>
      <c r="AQ151" s="39">
        <v>51112000</v>
      </c>
      <c r="AR151" s="44">
        <v>827.95263473344892</v>
      </c>
      <c r="AS151" s="39">
        <v>61733</v>
      </c>
      <c r="AT151" s="46">
        <v>56469000</v>
      </c>
      <c r="AU151" s="50">
        <v>913.05824143841153</v>
      </c>
      <c r="AV151" s="39">
        <v>61846</v>
      </c>
      <c r="AW151" s="46">
        <v>59366000</v>
      </c>
      <c r="AX151" s="47">
        <v>953.99</v>
      </c>
      <c r="AY151" s="39">
        <v>62229</v>
      </c>
      <c r="AZ151" s="41">
        <v>69.099999999999994</v>
      </c>
      <c r="BA151" s="41">
        <v>22.950714297192626</v>
      </c>
      <c r="BB151" s="46">
        <v>331000</v>
      </c>
      <c r="BC151" s="48">
        <v>2669.3548387096776</v>
      </c>
      <c r="BD151" s="40">
        <v>124</v>
      </c>
      <c r="BE151" s="46">
        <v>9704000</v>
      </c>
      <c r="BF151" s="47">
        <v>3685.5298139004935</v>
      </c>
      <c r="BG151" s="40">
        <v>2633</v>
      </c>
      <c r="BH151" s="46">
        <v>762000</v>
      </c>
      <c r="BI151" s="49">
        <v>152400</v>
      </c>
      <c r="BJ151" s="45">
        <v>5</v>
      </c>
      <c r="BK151" s="47">
        <v>175.44401617704335</v>
      </c>
      <c r="BL151" s="55">
        <v>3272000</v>
      </c>
      <c r="BM151" s="41">
        <v>1.3919613381887486</v>
      </c>
      <c r="BN151" s="56">
        <v>90876000</v>
      </c>
      <c r="BO151" s="41">
        <v>38.660109587176258</v>
      </c>
      <c r="BP151" s="56">
        <v>45895000</v>
      </c>
      <c r="BQ151" s="41">
        <v>19.524469931593096</v>
      </c>
      <c r="BR151" s="39">
        <v>18909000</v>
      </c>
      <c r="BS151" s="41">
        <v>8.0441922199911513</v>
      </c>
      <c r="BT151" s="39">
        <v>27266000</v>
      </c>
      <c r="BU151" s="41">
        <v>11.599394207534969</v>
      </c>
      <c r="BV151" s="56">
        <v>26595000</v>
      </c>
      <c r="BW151" s="41">
        <v>11.313940033352619</v>
      </c>
      <c r="BX151" s="40">
        <v>22251000</v>
      </c>
      <c r="BY151" s="41">
        <v>9.4659326821631549</v>
      </c>
      <c r="BZ151" s="57">
        <v>20.576675156431783</v>
      </c>
      <c r="CA151" s="58">
        <v>288.62057038644156</v>
      </c>
      <c r="CB151" s="59">
        <v>516.85690029242528</v>
      </c>
      <c r="CC151" s="47">
        <v>118.9133100650882</v>
      </c>
      <c r="CD151" s="58">
        <v>139.15039461686004</v>
      </c>
      <c r="CE151" s="59">
        <v>54.636355060843314</v>
      </c>
      <c r="CF151" s="59">
        <v>139.93019526459767</v>
      </c>
      <c r="CG151" s="59">
        <v>32.317705876804077</v>
      </c>
      <c r="CH151" s="47">
        <v>167.24837279501935</v>
      </c>
      <c r="CI151" s="43">
        <v>979</v>
      </c>
      <c r="CJ151" s="44">
        <v>463.85125905928106</v>
      </c>
      <c r="CK151" s="60">
        <v>47.062385105445856</v>
      </c>
      <c r="CL151" s="53">
        <v>19069.099999999999</v>
      </c>
      <c r="CM151" s="41">
        <v>20.58062107626295</v>
      </c>
      <c r="CN151" s="74">
        <v>24536.839999999997</v>
      </c>
      <c r="CO151" s="41">
        <v>26.481764029182909</v>
      </c>
      <c r="CP151" s="54">
        <v>49049.67</v>
      </c>
      <c r="CQ151" s="41">
        <v>52.937614894554152</v>
      </c>
      <c r="CR151" s="43">
        <v>71444</v>
      </c>
      <c r="CS151" s="52">
        <v>63.04658193830133</v>
      </c>
      <c r="CT151" s="41">
        <v>1039.3999999999999</v>
      </c>
      <c r="CU151" s="41">
        <v>6.5364902682136901</v>
      </c>
      <c r="CV151" s="52">
        <v>1403.7</v>
      </c>
      <c r="CW151" s="38">
        <v>4</v>
      </c>
      <c r="CX151" s="38">
        <v>43</v>
      </c>
      <c r="CY151" s="51">
        <v>5</v>
      </c>
      <c r="CZ151" s="41">
        <v>5.0190044964311546</v>
      </c>
      <c r="DA151" s="39">
        <v>29846150</v>
      </c>
      <c r="DB151" s="39">
        <v>32840624.600000001</v>
      </c>
      <c r="DC151" s="39">
        <v>31470000</v>
      </c>
      <c r="DD151" s="39">
        <v>31408000</v>
      </c>
      <c r="DE151" s="39">
        <v>31075000</v>
      </c>
      <c r="DF151" s="62">
        <v>28971000</v>
      </c>
      <c r="DG151" s="41">
        <v>107.26</v>
      </c>
      <c r="DH151" s="41">
        <v>100.34</v>
      </c>
      <c r="DI151" s="41">
        <v>1.9300000000000002</v>
      </c>
      <c r="DJ151" s="37" t="s">
        <v>390</v>
      </c>
      <c r="DK151" s="40">
        <v>65000</v>
      </c>
      <c r="DL151" s="40">
        <v>292000</v>
      </c>
      <c r="DM151" s="40">
        <v>0</v>
      </c>
      <c r="DN151" s="40">
        <v>24132.19</v>
      </c>
      <c r="DO151" s="40">
        <v>0</v>
      </c>
      <c r="DP151" s="40">
        <v>423093</v>
      </c>
      <c r="DQ151" s="64">
        <v>6</v>
      </c>
      <c r="DR151" s="40">
        <v>7500</v>
      </c>
      <c r="DS151" s="98">
        <v>3</v>
      </c>
      <c r="DT151" s="38">
        <v>10</v>
      </c>
      <c r="DU151" s="66">
        <v>15901.5</v>
      </c>
      <c r="DV151" s="41">
        <v>20</v>
      </c>
      <c r="DW151" s="41">
        <v>80</v>
      </c>
      <c r="DX151" s="41">
        <v>0</v>
      </c>
      <c r="DY151" s="41">
        <v>0</v>
      </c>
      <c r="DZ151" s="41">
        <v>10</v>
      </c>
      <c r="EA151" s="41">
        <v>70</v>
      </c>
      <c r="EB151" s="41">
        <v>20</v>
      </c>
      <c r="EC151" s="40">
        <v>906</v>
      </c>
      <c r="ED151" s="184">
        <v>175.51324503311258</v>
      </c>
    </row>
    <row r="152" spans="1:134" s="13" customFormat="1">
      <c r="A152" s="156" t="s">
        <v>299</v>
      </c>
      <c r="B152" s="285">
        <v>2014</v>
      </c>
      <c r="C152" s="259">
        <v>11</v>
      </c>
      <c r="D152" s="80" t="s">
        <v>345</v>
      </c>
      <c r="E152" s="56">
        <v>3998.1</v>
      </c>
      <c r="F152" s="56">
        <v>16433</v>
      </c>
      <c r="G152" s="82">
        <v>11.682751121380997</v>
      </c>
      <c r="H152" s="179">
        <v>4.0999999999999996</v>
      </c>
      <c r="I152" s="56">
        <v>8267</v>
      </c>
      <c r="J152" s="56">
        <v>50.30730846467474</v>
      </c>
      <c r="K152" s="56">
        <v>8166</v>
      </c>
      <c r="L152" s="84">
        <v>49.69269153532526</v>
      </c>
      <c r="M152" s="160">
        <v>28.321061279133453</v>
      </c>
      <c r="N152" s="160">
        <v>50.830645652041625</v>
      </c>
      <c r="O152" s="160">
        <v>20.848293068824926</v>
      </c>
      <c r="P152" s="160">
        <v>36.956124870687034</v>
      </c>
      <c r="Q152" s="160">
        <v>42.195582060488043</v>
      </c>
      <c r="R152" s="160">
        <v>20.848293068824926</v>
      </c>
      <c r="S152" s="83">
        <v>1.9439451434658146</v>
      </c>
      <c r="T152" s="83">
        <v>3.7</v>
      </c>
      <c r="U152" s="38">
        <v>135</v>
      </c>
      <c r="V152" s="41">
        <v>1.3</v>
      </c>
      <c r="W152" s="40">
        <v>55718</v>
      </c>
      <c r="X152" s="41">
        <v>2.7</v>
      </c>
      <c r="Y152" s="42" t="s">
        <v>352</v>
      </c>
      <c r="Z152" s="43">
        <v>1882</v>
      </c>
      <c r="AA152" s="45">
        <v>8</v>
      </c>
      <c r="AB152" s="63">
        <v>302</v>
      </c>
      <c r="AC152" s="63">
        <v>61639.205000000002</v>
      </c>
      <c r="AD152" s="43">
        <v>63</v>
      </c>
      <c r="AE152" s="44">
        <v>-17.5</v>
      </c>
      <c r="AF152" s="44">
        <v>2.2349000000000001</v>
      </c>
      <c r="AG152" s="41">
        <v>68.33</v>
      </c>
      <c r="AH152" s="41">
        <v>31.67</v>
      </c>
      <c r="AI152" s="44">
        <v>6.58</v>
      </c>
      <c r="AJ152" s="41">
        <v>1.8840000000000001</v>
      </c>
      <c r="AK152" s="41">
        <v>8.6987931812566295</v>
      </c>
      <c r="AL152" s="41">
        <v>6.5759000000000007</v>
      </c>
      <c r="AM152" s="39">
        <v>30143</v>
      </c>
      <c r="AN152" s="39">
        <v>29962</v>
      </c>
      <c r="AO152" s="40">
        <v>102175</v>
      </c>
      <c r="AP152" s="40">
        <v>29995.632000000001</v>
      </c>
      <c r="AQ152" s="39">
        <v>3493000</v>
      </c>
      <c r="AR152" s="44">
        <v>665.33333333333337</v>
      </c>
      <c r="AS152" s="39">
        <v>5250</v>
      </c>
      <c r="AT152" s="46">
        <v>3637000</v>
      </c>
      <c r="AU152" s="50">
        <v>682.74826356298104</v>
      </c>
      <c r="AV152" s="39">
        <v>5327</v>
      </c>
      <c r="AW152" s="46">
        <v>3806000</v>
      </c>
      <c r="AX152" s="47">
        <v>707.56646216768911</v>
      </c>
      <c r="AY152" s="39">
        <v>5379</v>
      </c>
      <c r="AZ152" s="41">
        <v>77.100000000000009</v>
      </c>
      <c r="BA152" s="41">
        <v>14.314928425357873</v>
      </c>
      <c r="BB152" s="46">
        <v>2900000</v>
      </c>
      <c r="BC152" s="48">
        <v>1998.6216402481048</v>
      </c>
      <c r="BD152" s="40">
        <v>1451</v>
      </c>
      <c r="BE152" s="46">
        <v>593000</v>
      </c>
      <c r="BF152" s="47">
        <v>2095.4063604240282</v>
      </c>
      <c r="BG152" s="40">
        <v>283</v>
      </c>
      <c r="BH152" s="49" t="s">
        <v>382</v>
      </c>
      <c r="BI152" s="49" t="s">
        <v>382</v>
      </c>
      <c r="BJ152" s="213">
        <v>0</v>
      </c>
      <c r="BK152" s="47">
        <v>319.98313741608439</v>
      </c>
      <c r="BL152" s="55">
        <v>2800000</v>
      </c>
      <c r="BM152" s="41">
        <v>2.7403963787619281</v>
      </c>
      <c r="BN152" s="56">
        <v>6512000</v>
      </c>
      <c r="BO152" s="41">
        <v>6.3733790066063127</v>
      </c>
      <c r="BP152" s="56">
        <v>3800000</v>
      </c>
      <c r="BQ152" s="41">
        <v>3.7191093711769025</v>
      </c>
      <c r="BR152" s="39">
        <v>2430000</v>
      </c>
      <c r="BS152" s="41">
        <v>2.3782725715683872</v>
      </c>
      <c r="BT152" s="39">
        <v>2341000</v>
      </c>
      <c r="BU152" s="41">
        <v>2.291167115243455</v>
      </c>
      <c r="BV152" s="56">
        <v>76850000</v>
      </c>
      <c r="BW152" s="41">
        <v>75.214093467090777</v>
      </c>
      <c r="BX152" s="40">
        <v>7442000</v>
      </c>
      <c r="BY152" s="41">
        <v>7.2835820895522385</v>
      </c>
      <c r="BZ152" s="57">
        <v>170.38885170084586</v>
      </c>
      <c r="CA152" s="58">
        <v>231.24201302257651</v>
      </c>
      <c r="CB152" s="59">
        <v>317.71435526075578</v>
      </c>
      <c r="CC152" s="47">
        <v>147.87318201180551</v>
      </c>
      <c r="CD152" s="58">
        <v>113.43029270370596</v>
      </c>
      <c r="CE152" s="59">
        <v>78.56143126635429</v>
      </c>
      <c r="CF152" s="59">
        <v>452.86922655631957</v>
      </c>
      <c r="CG152" s="59">
        <v>29.026957950465526</v>
      </c>
      <c r="CH152" s="47">
        <v>4676.5654475750016</v>
      </c>
      <c r="CI152" s="43">
        <v>1497</v>
      </c>
      <c r="CJ152" s="44">
        <v>233.87246700130135</v>
      </c>
      <c r="CK152" s="60">
        <v>48.315232294358637</v>
      </c>
      <c r="CL152" s="53">
        <v>1641.52</v>
      </c>
      <c r="CM152" s="41">
        <v>17.050430851815229</v>
      </c>
      <c r="CN152" s="53">
        <v>3010</v>
      </c>
      <c r="CO152" s="41">
        <v>31.264801442543401</v>
      </c>
      <c r="CP152" s="54">
        <v>4975.92</v>
      </c>
      <c r="CQ152" s="41">
        <v>51.684767705641391</v>
      </c>
      <c r="CR152" s="43">
        <v>8714</v>
      </c>
      <c r="CS152" s="52">
        <v>48.473720449850816</v>
      </c>
      <c r="CT152" s="41">
        <v>1232.6899999999998</v>
      </c>
      <c r="CU152" s="41">
        <v>75.013083429684158</v>
      </c>
      <c r="CV152" s="52">
        <v>256</v>
      </c>
      <c r="CW152" s="38">
        <v>2</v>
      </c>
      <c r="CX152" s="38">
        <v>4</v>
      </c>
      <c r="CY152" s="51">
        <v>2</v>
      </c>
      <c r="CZ152" s="41">
        <v>5.6654901722144464</v>
      </c>
      <c r="DA152" s="39">
        <v>5060000</v>
      </c>
      <c r="DB152" s="39">
        <v>14254000</v>
      </c>
      <c r="DC152" s="39">
        <v>5770000</v>
      </c>
      <c r="DD152" s="39">
        <v>9462000</v>
      </c>
      <c r="DE152" s="39">
        <v>5388000</v>
      </c>
      <c r="DF152" s="62">
        <v>5497000</v>
      </c>
      <c r="DG152" s="41">
        <v>98.02</v>
      </c>
      <c r="DH152" s="41">
        <v>18.670000000000002</v>
      </c>
      <c r="DI152" s="41">
        <v>3.53</v>
      </c>
      <c r="DJ152" s="37" t="s">
        <v>389</v>
      </c>
      <c r="DK152" s="40">
        <v>31000</v>
      </c>
      <c r="DL152" s="40">
        <v>120000</v>
      </c>
      <c r="DM152" s="40">
        <v>0</v>
      </c>
      <c r="DN152" s="40">
        <v>0</v>
      </c>
      <c r="DO152" s="40">
        <v>9573</v>
      </c>
      <c r="DP152" s="40">
        <v>220302</v>
      </c>
      <c r="DQ152" s="64">
        <v>0</v>
      </c>
      <c r="DR152" s="40">
        <v>0</v>
      </c>
      <c r="DS152" s="98">
        <v>0</v>
      </c>
      <c r="DT152" s="38">
        <v>9</v>
      </c>
      <c r="DU152" s="66">
        <v>1825.8888888888889</v>
      </c>
      <c r="DV152" s="41">
        <v>33.333333333333329</v>
      </c>
      <c r="DW152" s="41">
        <v>66.666666666666657</v>
      </c>
      <c r="DX152" s="41">
        <v>0</v>
      </c>
      <c r="DY152" s="41">
        <v>0</v>
      </c>
      <c r="DZ152" s="41">
        <v>0</v>
      </c>
      <c r="EA152" s="41">
        <v>66.666666666666657</v>
      </c>
      <c r="EB152" s="41">
        <v>33.333333333333329</v>
      </c>
      <c r="EC152" s="40">
        <v>149</v>
      </c>
      <c r="ED152" s="184">
        <v>110.28859060402685</v>
      </c>
    </row>
    <row r="153" spans="1:134" s="13" customFormat="1" ht="15" thickBot="1">
      <c r="A153" s="159" t="s">
        <v>300</v>
      </c>
      <c r="B153" s="285">
        <v>2014</v>
      </c>
      <c r="C153" s="261">
        <v>11</v>
      </c>
      <c r="D153" s="155" t="s">
        <v>345</v>
      </c>
      <c r="E153" s="136">
        <v>2692.7</v>
      </c>
      <c r="F153" s="136">
        <v>12641</v>
      </c>
      <c r="G153" s="152">
        <v>1.9271085308821156</v>
      </c>
      <c r="H153" s="180">
        <v>4.7</v>
      </c>
      <c r="I153" s="136">
        <v>6253</v>
      </c>
      <c r="J153" s="136">
        <v>49.466023257653667</v>
      </c>
      <c r="K153" s="136">
        <v>6388</v>
      </c>
      <c r="L153" s="218">
        <v>50.533976742346333</v>
      </c>
      <c r="M153" s="163">
        <v>28.383830393165098</v>
      </c>
      <c r="N153" s="163">
        <v>45.581836879993674</v>
      </c>
      <c r="O153" s="163">
        <v>26.034332726841232</v>
      </c>
      <c r="P153" s="163">
        <v>38.42259314927616</v>
      </c>
      <c r="Q153" s="163">
        <v>35.543074123882604</v>
      </c>
      <c r="R153" s="163">
        <v>26.034332726841232</v>
      </c>
      <c r="S153" s="153">
        <v>3.0815759359162991</v>
      </c>
      <c r="T153" s="153">
        <v>2.8</v>
      </c>
      <c r="U153" s="121">
        <v>42</v>
      </c>
      <c r="V153" s="123">
        <v>5.0999999999999996</v>
      </c>
      <c r="W153" s="124">
        <v>40523</v>
      </c>
      <c r="X153" s="123">
        <v>2.5</v>
      </c>
      <c r="Y153" s="126" t="s">
        <v>351</v>
      </c>
      <c r="Z153" s="127">
        <v>1394</v>
      </c>
      <c r="AA153" s="125">
        <v>11</v>
      </c>
      <c r="AB153" s="128">
        <v>235</v>
      </c>
      <c r="AC153" s="128">
        <v>29273.465</v>
      </c>
      <c r="AD153" s="127">
        <v>43</v>
      </c>
      <c r="AE153" s="129">
        <v>5.55</v>
      </c>
      <c r="AF153" s="129">
        <v>2.7818000000000001</v>
      </c>
      <c r="AG153" s="123">
        <v>76.31</v>
      </c>
      <c r="AH153" s="123">
        <v>23.689999999999998</v>
      </c>
      <c r="AI153" s="129">
        <v>4.34</v>
      </c>
      <c r="AJ153" s="123">
        <v>0.90510000000000002</v>
      </c>
      <c r="AK153" s="123">
        <v>34.236405332918721</v>
      </c>
      <c r="AL153" s="123">
        <v>6.9711999999999996</v>
      </c>
      <c r="AM153" s="122">
        <v>20539</v>
      </c>
      <c r="AN153" s="122">
        <v>22733</v>
      </c>
      <c r="AO153" s="124">
        <v>24299</v>
      </c>
      <c r="AP153" s="124">
        <v>27008</v>
      </c>
      <c r="AQ153" s="122">
        <v>2615000</v>
      </c>
      <c r="AR153" s="129">
        <v>528.28282828282829</v>
      </c>
      <c r="AS153" s="122">
        <v>4950</v>
      </c>
      <c r="AT153" s="130">
        <v>2683000</v>
      </c>
      <c r="AU153" s="131">
        <v>536.70734146829363</v>
      </c>
      <c r="AV153" s="122">
        <v>4999</v>
      </c>
      <c r="AW153" s="130">
        <v>2855000</v>
      </c>
      <c r="AX153" s="132">
        <v>570.42957042957039</v>
      </c>
      <c r="AY153" s="122">
        <v>5005</v>
      </c>
      <c r="AZ153" s="123">
        <v>61.9</v>
      </c>
      <c r="BA153" s="123">
        <v>24.935064935064936</v>
      </c>
      <c r="BB153" s="130">
        <v>2351000</v>
      </c>
      <c r="BC153" s="133">
        <v>2091.6370106761565</v>
      </c>
      <c r="BD153" s="124">
        <v>1124</v>
      </c>
      <c r="BE153" s="130">
        <v>1232000</v>
      </c>
      <c r="BF153" s="132">
        <v>2655.1724137931033</v>
      </c>
      <c r="BG153" s="124">
        <v>464</v>
      </c>
      <c r="BH153" s="130">
        <v>19000</v>
      </c>
      <c r="BI153" s="134">
        <v>19000</v>
      </c>
      <c r="BJ153" s="125">
        <v>1</v>
      </c>
      <c r="BK153" s="132">
        <v>153.20489406845283</v>
      </c>
      <c r="BL153" s="135">
        <v>3295000</v>
      </c>
      <c r="BM153" s="123">
        <v>13.560228816000658</v>
      </c>
      <c r="BN153" s="136">
        <v>7523000</v>
      </c>
      <c r="BO153" s="123">
        <v>30.960121815712583</v>
      </c>
      <c r="BP153" s="136">
        <v>1928000</v>
      </c>
      <c r="BQ153" s="123">
        <v>7.9344829005308855</v>
      </c>
      <c r="BR153" s="122">
        <v>1612000</v>
      </c>
      <c r="BS153" s="123">
        <v>6.6340178608173179</v>
      </c>
      <c r="BT153" s="122">
        <v>2170000</v>
      </c>
      <c r="BU153" s="123">
        <v>8.930408658792544</v>
      </c>
      <c r="BV153" s="136">
        <v>3790000</v>
      </c>
      <c r="BW153" s="123">
        <v>15.59734968517223</v>
      </c>
      <c r="BX153" s="124">
        <v>3981000</v>
      </c>
      <c r="BY153" s="123">
        <v>16.383390262973784</v>
      </c>
      <c r="BZ153" s="137">
        <v>260.65975793054349</v>
      </c>
      <c r="CA153" s="138">
        <v>152.51957914721936</v>
      </c>
      <c r="CB153" s="139">
        <v>532.39458903567754</v>
      </c>
      <c r="CC153" s="132">
        <v>127.52155683885769</v>
      </c>
      <c r="CD153" s="138">
        <v>146.27007357012894</v>
      </c>
      <c r="CE153" s="139">
        <v>62.732378767502574</v>
      </c>
      <c r="CF153" s="139">
        <v>314.92761648603749</v>
      </c>
      <c r="CG153" s="139">
        <v>25.393560636025629</v>
      </c>
      <c r="CH153" s="132">
        <v>363.5719347980156</v>
      </c>
      <c r="CI153" s="127">
        <v>1379</v>
      </c>
      <c r="CJ153" s="129">
        <v>179.22077922077921</v>
      </c>
      <c r="CK153" s="140">
        <v>51.671864914759269</v>
      </c>
      <c r="CL153" s="141">
        <v>1458.8700000000001</v>
      </c>
      <c r="CM153" s="123">
        <v>32.924319225092425</v>
      </c>
      <c r="CN153" s="141">
        <v>830.7</v>
      </c>
      <c r="CO153" s="123">
        <v>18.747545689666847</v>
      </c>
      <c r="CP153" s="142">
        <v>2141.41</v>
      </c>
      <c r="CQ153" s="123">
        <v>48.328135085240739</v>
      </c>
      <c r="CR153" s="127">
        <v>6154</v>
      </c>
      <c r="CS153" s="143">
        <v>41.485212869678257</v>
      </c>
      <c r="CT153" s="123">
        <v>1171.54</v>
      </c>
      <c r="CU153" s="123">
        <v>92.677794478284937</v>
      </c>
      <c r="CV153" s="143">
        <v>152</v>
      </c>
      <c r="CW153" s="121">
        <v>1</v>
      </c>
      <c r="CX153" s="121">
        <v>8</v>
      </c>
      <c r="CY153" s="144">
        <v>1</v>
      </c>
      <c r="CZ153" s="123">
        <v>4.0026105529625822</v>
      </c>
      <c r="DA153" s="122">
        <v>2547000</v>
      </c>
      <c r="DB153" s="122">
        <v>3707000</v>
      </c>
      <c r="DC153" s="122">
        <v>4032000</v>
      </c>
      <c r="DD153" s="122">
        <v>4032000</v>
      </c>
      <c r="DE153" s="122">
        <v>3047000</v>
      </c>
      <c r="DF153" s="145">
        <v>3029000</v>
      </c>
      <c r="DG153" s="123">
        <v>100.59</v>
      </c>
      <c r="DH153" s="123">
        <v>72.850000000000009</v>
      </c>
      <c r="DI153" s="123">
        <v>0.59</v>
      </c>
      <c r="DJ153" s="120" t="s">
        <v>390</v>
      </c>
      <c r="DK153" s="124">
        <v>9000</v>
      </c>
      <c r="DL153" s="124">
        <v>123000</v>
      </c>
      <c r="DM153" s="124">
        <v>0</v>
      </c>
      <c r="DN153" s="124">
        <v>5570.31</v>
      </c>
      <c r="DO153" s="124">
        <v>2702</v>
      </c>
      <c r="DP153" s="124">
        <v>226607</v>
      </c>
      <c r="DQ153" s="146">
        <v>0</v>
      </c>
      <c r="DR153" s="124">
        <v>0</v>
      </c>
      <c r="DS153" s="147">
        <v>0</v>
      </c>
      <c r="DT153" s="121">
        <v>9</v>
      </c>
      <c r="DU153" s="148">
        <v>1404.5555555555557</v>
      </c>
      <c r="DV153" s="123">
        <v>11.111111111111111</v>
      </c>
      <c r="DW153" s="123">
        <v>88.888888888888886</v>
      </c>
      <c r="DX153" s="123">
        <v>0</v>
      </c>
      <c r="DY153" s="123">
        <v>0</v>
      </c>
      <c r="DZ153" s="123">
        <v>0</v>
      </c>
      <c r="EA153" s="123">
        <v>44.444444444444443</v>
      </c>
      <c r="EB153" s="123">
        <v>55.555555555555557</v>
      </c>
      <c r="EC153" s="124">
        <v>111</v>
      </c>
      <c r="ED153" s="186">
        <v>113.88288288288288</v>
      </c>
    </row>
    <row r="154" spans="1:134" ht="15" thickBot="1">
      <c r="A154" s="189"/>
      <c r="B154" s="191"/>
      <c r="C154" s="190"/>
      <c r="D154" s="191"/>
      <c r="E154" s="191"/>
      <c r="F154" s="192"/>
      <c r="G154" s="193"/>
      <c r="H154" s="194"/>
      <c r="I154" s="195"/>
      <c r="J154" s="196"/>
      <c r="K154" s="195"/>
      <c r="L154" s="196"/>
      <c r="M154" s="191"/>
      <c r="N154" s="191"/>
      <c r="O154" s="191"/>
      <c r="P154" s="197"/>
      <c r="Q154" s="197"/>
      <c r="R154" s="197"/>
      <c r="S154" s="191"/>
      <c r="T154" s="191"/>
      <c r="U154" s="191"/>
      <c r="V154" s="194"/>
      <c r="W154" s="191"/>
      <c r="X154" s="191"/>
      <c r="Y154" s="191"/>
      <c r="Z154" s="191"/>
      <c r="AA154" s="195"/>
      <c r="AB154" s="195"/>
      <c r="AC154" s="191"/>
      <c r="AD154" s="195"/>
      <c r="AE154" s="195"/>
      <c r="AF154" s="195"/>
      <c r="AG154" s="195"/>
      <c r="AH154" s="195"/>
      <c r="AI154" s="195"/>
      <c r="AJ154" s="195"/>
      <c r="AK154" s="195"/>
      <c r="AL154" s="195"/>
      <c r="AM154" s="191"/>
      <c r="AN154" s="191"/>
      <c r="AO154" s="191"/>
      <c r="AP154" s="191"/>
      <c r="AQ154" s="192"/>
      <c r="AR154" s="198"/>
      <c r="AS154" s="192"/>
      <c r="AT154" s="191"/>
      <c r="AU154" s="199"/>
      <c r="AV154" s="191"/>
      <c r="AW154" s="191"/>
      <c r="AX154" s="199"/>
      <c r="AY154" s="192"/>
      <c r="AZ154" s="191"/>
      <c r="BA154" s="191"/>
      <c r="BB154" s="195"/>
      <c r="BC154" s="195"/>
      <c r="BD154" s="195"/>
      <c r="BE154" s="195"/>
      <c r="BF154" s="195"/>
      <c r="BG154" s="195"/>
      <c r="BH154" s="195"/>
      <c r="BI154" s="200"/>
      <c r="BJ154" s="195"/>
      <c r="BK154" s="200"/>
      <c r="BL154" s="191"/>
      <c r="BM154" s="201"/>
      <c r="BN154" s="191"/>
      <c r="BO154" s="201"/>
      <c r="BP154" s="191"/>
      <c r="BQ154" s="201"/>
      <c r="BR154" s="191"/>
      <c r="BS154" s="201"/>
      <c r="BT154" s="191"/>
      <c r="BU154" s="201"/>
      <c r="BV154" s="191"/>
      <c r="BW154" s="201"/>
      <c r="BX154" s="191"/>
      <c r="BY154" s="201"/>
      <c r="BZ154" s="195"/>
      <c r="CA154" s="195"/>
      <c r="CB154" s="195"/>
      <c r="CC154" s="195"/>
      <c r="CD154" s="195"/>
      <c r="CE154" s="195"/>
      <c r="CF154" s="195"/>
      <c r="CG154" s="195"/>
      <c r="CH154" s="195"/>
      <c r="CI154" s="202"/>
      <c r="CJ154" s="195"/>
      <c r="CK154" s="203"/>
      <c r="CL154" s="204"/>
      <c r="CM154" s="191"/>
      <c r="CN154" s="204"/>
      <c r="CO154" s="204"/>
      <c r="CP154" s="191"/>
      <c r="CQ154" s="191"/>
      <c r="CR154" s="195"/>
      <c r="CS154" s="195"/>
      <c r="CT154" s="191"/>
      <c r="CU154" s="195"/>
      <c r="CV154" s="191"/>
      <c r="CW154" s="191"/>
      <c r="CX154" s="191"/>
      <c r="CY154" s="191"/>
      <c r="CZ154" s="195"/>
      <c r="DA154" s="191"/>
      <c r="DB154" s="191"/>
      <c r="DC154" s="191"/>
      <c r="DD154" s="191"/>
      <c r="DE154" s="191"/>
      <c r="DF154" s="191"/>
      <c r="DG154" s="202"/>
      <c r="DH154" s="202"/>
      <c r="DI154" s="202"/>
      <c r="DJ154" s="205"/>
      <c r="DK154" s="191"/>
      <c r="DL154" s="191"/>
      <c r="DM154" s="191"/>
      <c r="DN154" s="191"/>
      <c r="DO154" s="191"/>
      <c r="DP154" s="195"/>
      <c r="DQ154" s="206"/>
      <c r="DR154" s="205"/>
      <c r="DS154" s="205"/>
      <c r="DT154" s="191"/>
      <c r="DU154" s="207"/>
      <c r="DV154" s="196"/>
      <c r="DW154" s="196"/>
      <c r="DX154" s="196"/>
      <c r="DY154" s="196"/>
      <c r="DZ154" s="195"/>
      <c r="EA154" s="195"/>
      <c r="EB154" s="195"/>
      <c r="EC154" s="208"/>
      <c r="ED154" s="209"/>
    </row>
  </sheetData>
  <autoFilter ref="A1:EL1" xr:uid="{00000000-0009-0000-0000-000000000000}"/>
  <phoneticPr fontId="36" type="noConversion"/>
  <pageMargins left="0.31496062992125984" right="0.31496062992125984" top="0.35433070866141736" bottom="0.15748031496062992" header="0.11811023622047245" footer="0.11811023622047245"/>
  <pageSetup paperSize="8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55"/>
  <sheetViews>
    <sheetView workbookViewId="0">
      <selection activeCell="E3" sqref="E3:E154"/>
    </sheetView>
  </sheetViews>
  <sheetFormatPr defaultRowHeight="12.5"/>
  <cols>
    <col min="2" max="2" width="18.36328125" style="8" customWidth="1"/>
    <col min="3" max="3" width="20.90625" style="5" customWidth="1"/>
    <col min="4" max="4" width="11" customWidth="1"/>
    <col min="5" max="5" width="11.453125" customWidth="1"/>
    <col min="8" max="8" width="15.6328125" customWidth="1"/>
    <col min="9" max="9" width="12.453125" customWidth="1"/>
  </cols>
  <sheetData>
    <row r="1" spans="2:9" ht="58.5" thickBot="1">
      <c r="B1" s="8">
        <v>1</v>
      </c>
      <c r="H1" s="27" t="s">
        <v>385</v>
      </c>
      <c r="I1" s="4" t="s">
        <v>400</v>
      </c>
    </row>
    <row r="2" spans="2:9">
      <c r="C2" s="5" t="s">
        <v>397</v>
      </c>
      <c r="D2" s="4" t="s">
        <v>398</v>
      </c>
      <c r="F2" s="4" t="s">
        <v>399</v>
      </c>
      <c r="G2" s="4" t="s">
        <v>398</v>
      </c>
    </row>
    <row r="3" spans="2:9" ht="14.5">
      <c r="B3" s="1" t="s">
        <v>34</v>
      </c>
      <c r="C3" s="29">
        <v>305.89999999999998</v>
      </c>
      <c r="D3" s="10">
        <v>51082</v>
      </c>
      <c r="E3" s="35">
        <f>D3/C3</f>
        <v>166.9892121608369</v>
      </c>
      <c r="F3" s="12">
        <v>456</v>
      </c>
      <c r="G3" s="36">
        <f>D3/F3</f>
        <v>112.0219298245614</v>
      </c>
      <c r="H3" s="35">
        <v>565.11</v>
      </c>
      <c r="I3" s="35">
        <f>((H3)/(D3/1000))</f>
        <v>11.062800986648918</v>
      </c>
    </row>
    <row r="4" spans="2:9" ht="14.5">
      <c r="B4" s="2" t="s">
        <v>35</v>
      </c>
      <c r="C4" s="29">
        <v>4231.5</v>
      </c>
      <c r="D4" s="10">
        <v>25327</v>
      </c>
      <c r="E4" s="35">
        <f t="shared" ref="E4:E67" si="0">D4/C4</f>
        <v>5.9853479853479854</v>
      </c>
      <c r="F4" s="12">
        <v>231</v>
      </c>
      <c r="G4" s="36">
        <f t="shared" ref="G4:G67" si="1">D4/F4</f>
        <v>109.64069264069263</v>
      </c>
      <c r="H4" s="35">
        <v>1064.9399999999998</v>
      </c>
      <c r="I4" s="35">
        <f t="shared" ref="I4:I67" si="2">((H4)/(D4/1000))</f>
        <v>42.047617167449751</v>
      </c>
    </row>
    <row r="5" spans="2:9" ht="14.5">
      <c r="B5" s="8" t="s">
        <v>36</v>
      </c>
      <c r="C5" s="29">
        <v>8.3000000000000007</v>
      </c>
      <c r="D5" s="10">
        <v>44498</v>
      </c>
      <c r="E5" s="35">
        <f t="shared" si="0"/>
        <v>5361.2048192771081</v>
      </c>
      <c r="F5" s="12">
        <v>178</v>
      </c>
      <c r="G5" s="36">
        <f t="shared" si="1"/>
        <v>249.98876404494382</v>
      </c>
      <c r="H5" s="35">
        <v>97.62</v>
      </c>
      <c r="I5" s="35">
        <f t="shared" si="2"/>
        <v>2.1938064632118301</v>
      </c>
    </row>
    <row r="6" spans="2:9" ht="14.5">
      <c r="B6" s="28" t="s">
        <v>308</v>
      </c>
      <c r="C6" s="29">
        <v>32.5</v>
      </c>
      <c r="D6" s="10">
        <v>85446</v>
      </c>
      <c r="E6" s="35">
        <f t="shared" si="0"/>
        <v>2629.1076923076921</v>
      </c>
      <c r="F6" s="12">
        <v>279</v>
      </c>
      <c r="G6" s="36">
        <f t="shared" si="1"/>
        <v>306.25806451612902</v>
      </c>
      <c r="H6" s="35">
        <v>225</v>
      </c>
      <c r="I6" s="35">
        <f t="shared" si="2"/>
        <v>2.6332420476090164</v>
      </c>
    </row>
    <row r="7" spans="2:9" ht="14.5">
      <c r="B7" s="2" t="s">
        <v>37</v>
      </c>
      <c r="C7" s="29">
        <v>485.4</v>
      </c>
      <c r="D7" s="10">
        <v>41644</v>
      </c>
      <c r="E7" s="35">
        <f t="shared" si="0"/>
        <v>85.793160280181297</v>
      </c>
      <c r="F7" s="12">
        <v>274</v>
      </c>
      <c r="G7" s="36">
        <f t="shared" si="1"/>
        <v>151.98540145985402</v>
      </c>
      <c r="H7" s="35">
        <v>656.71999999999991</v>
      </c>
      <c r="I7" s="35">
        <f t="shared" si="2"/>
        <v>15.769858803188933</v>
      </c>
    </row>
    <row r="8" spans="2:9" ht="14.5">
      <c r="B8" s="1" t="s">
        <v>38</v>
      </c>
      <c r="C8" s="29">
        <v>21699.5</v>
      </c>
      <c r="D8" s="10">
        <v>2400</v>
      </c>
      <c r="E8" s="35">
        <f t="shared" si="0"/>
        <v>0.11060162676559368</v>
      </c>
      <c r="F8" s="12">
        <v>63</v>
      </c>
      <c r="G8" s="36">
        <f t="shared" si="1"/>
        <v>38.095238095238095</v>
      </c>
      <c r="H8" s="35">
        <v>1586.61</v>
      </c>
      <c r="I8" s="35">
        <f t="shared" si="2"/>
        <v>661.08749999999998</v>
      </c>
    </row>
    <row r="9" spans="2:9" ht="14.5">
      <c r="B9" s="1" t="s">
        <v>309</v>
      </c>
      <c r="C9" s="29">
        <v>76.8</v>
      </c>
      <c r="D9" s="10">
        <v>200357</v>
      </c>
      <c r="E9" s="35">
        <f t="shared" si="0"/>
        <v>2608.815104166667</v>
      </c>
      <c r="F9" s="12">
        <v>721</v>
      </c>
      <c r="G9" s="36">
        <f t="shared" si="1"/>
        <v>277.8876560332871</v>
      </c>
      <c r="H9" s="35">
        <v>596.85</v>
      </c>
      <c r="I9" s="35">
        <f t="shared" si="2"/>
        <v>2.9789326052995406</v>
      </c>
    </row>
    <row r="10" spans="2:9" ht="14.5">
      <c r="B10" s="3" t="s">
        <v>52</v>
      </c>
      <c r="C10" s="29">
        <v>3818</v>
      </c>
      <c r="D10" s="20">
        <v>41682</v>
      </c>
      <c r="E10" s="35">
        <f t="shared" si="0"/>
        <v>10.917234154007334</v>
      </c>
      <c r="F10" s="19">
        <v>381</v>
      </c>
      <c r="G10" s="36">
        <f t="shared" si="1"/>
        <v>109.4015748031496</v>
      </c>
      <c r="H10" s="35">
        <v>1334.8799999999999</v>
      </c>
      <c r="I10" s="35">
        <f t="shared" si="2"/>
        <v>32.025334676838916</v>
      </c>
    </row>
    <row r="11" spans="2:9" ht="14.5">
      <c r="B11" s="2" t="s">
        <v>53</v>
      </c>
      <c r="C11" s="29">
        <v>6279.9</v>
      </c>
      <c r="D11" s="10">
        <v>33468</v>
      </c>
      <c r="E11" s="35">
        <f t="shared" si="0"/>
        <v>5.3293842258634694</v>
      </c>
      <c r="F11" s="12">
        <v>360</v>
      </c>
      <c r="G11" s="36">
        <f t="shared" si="1"/>
        <v>92.966666666666669</v>
      </c>
      <c r="H11" s="35">
        <v>1434.6750000000002</v>
      </c>
      <c r="I11" s="35">
        <f t="shared" si="2"/>
        <v>42.867067049121552</v>
      </c>
    </row>
    <row r="12" spans="2:9" ht="14.5">
      <c r="B12" s="2" t="s">
        <v>54</v>
      </c>
      <c r="C12" s="29">
        <v>1602.1</v>
      </c>
      <c r="D12" s="10">
        <v>13032</v>
      </c>
      <c r="E12" s="35">
        <f t="shared" si="0"/>
        <v>8.1343237001435629</v>
      </c>
      <c r="F12" s="12">
        <v>135</v>
      </c>
      <c r="G12" s="36">
        <f t="shared" si="1"/>
        <v>96.533333333333331</v>
      </c>
      <c r="H12" s="35">
        <v>563.96</v>
      </c>
      <c r="I12" s="35">
        <f t="shared" si="2"/>
        <v>43.275015346838551</v>
      </c>
    </row>
    <row r="13" spans="2:9" ht="14.5">
      <c r="B13" s="1" t="s">
        <v>55</v>
      </c>
      <c r="C13" s="29">
        <v>2065.9</v>
      </c>
      <c r="D13" s="10">
        <v>8413</v>
      </c>
      <c r="E13" s="35">
        <f t="shared" si="0"/>
        <v>4.0723171499104502</v>
      </c>
      <c r="F13" s="12">
        <v>84</v>
      </c>
      <c r="G13" s="36">
        <f t="shared" si="1"/>
        <v>100.1547619047619</v>
      </c>
      <c r="H13" s="35">
        <v>1376.04</v>
      </c>
      <c r="I13" s="35">
        <f t="shared" si="2"/>
        <v>163.56115535480802</v>
      </c>
    </row>
    <row r="14" spans="2:9" ht="14.5">
      <c r="B14" s="1" t="s">
        <v>310</v>
      </c>
      <c r="C14" s="29">
        <v>340.3</v>
      </c>
      <c r="D14" s="10">
        <v>332424</v>
      </c>
      <c r="E14" s="35">
        <f t="shared" si="0"/>
        <v>976.85571554510727</v>
      </c>
      <c r="F14" s="12">
        <v>1427</v>
      </c>
      <c r="G14" s="36">
        <f t="shared" si="1"/>
        <v>232.95304835318851</v>
      </c>
      <c r="H14" s="35">
        <v>1350.62</v>
      </c>
      <c r="I14" s="35">
        <f t="shared" si="2"/>
        <v>4.0629437104420862</v>
      </c>
    </row>
    <row r="15" spans="2:9" ht="14.5">
      <c r="B15" s="1" t="s">
        <v>56</v>
      </c>
      <c r="C15" s="29">
        <v>8560.4</v>
      </c>
      <c r="D15" s="10">
        <v>5994</v>
      </c>
      <c r="E15" s="35">
        <f t="shared" si="0"/>
        <v>0.70020092519041166</v>
      </c>
      <c r="F15" s="12">
        <v>115</v>
      </c>
      <c r="G15" s="36">
        <f t="shared" si="1"/>
        <v>52.121739130434783</v>
      </c>
      <c r="H15" s="35">
        <v>3093.4700000000003</v>
      </c>
      <c r="I15" s="35">
        <f t="shared" si="2"/>
        <v>516.09442776109449</v>
      </c>
    </row>
    <row r="16" spans="2:9" ht="14.5">
      <c r="B16" s="3" t="s">
        <v>57</v>
      </c>
      <c r="C16" s="29">
        <v>1525.5</v>
      </c>
      <c r="D16" s="10">
        <v>7409</v>
      </c>
      <c r="E16" s="35">
        <f t="shared" si="0"/>
        <v>4.8567682726974759</v>
      </c>
      <c r="F16" s="12">
        <v>72</v>
      </c>
      <c r="G16" s="36">
        <f t="shared" si="1"/>
        <v>102.90277777777777</v>
      </c>
      <c r="H16" s="35">
        <v>730.30000000000007</v>
      </c>
      <c r="I16" s="35">
        <f t="shared" si="2"/>
        <v>98.56930759886626</v>
      </c>
    </row>
    <row r="17" spans="2:9" ht="14.5">
      <c r="B17" s="1" t="s">
        <v>301</v>
      </c>
      <c r="C17" s="6">
        <v>1432</v>
      </c>
      <c r="D17" s="10">
        <v>79688</v>
      </c>
      <c r="E17" s="35">
        <f t="shared" si="0"/>
        <v>55.648044692737429</v>
      </c>
      <c r="F17" s="12">
        <v>512</v>
      </c>
      <c r="G17" s="36">
        <f t="shared" si="1"/>
        <v>155.640625</v>
      </c>
      <c r="H17" s="35">
        <v>742.28</v>
      </c>
      <c r="I17" s="35">
        <f t="shared" si="2"/>
        <v>9.3148278285312713</v>
      </c>
    </row>
    <row r="18" spans="2:9" ht="14.5">
      <c r="B18" s="3" t="s">
        <v>120</v>
      </c>
      <c r="C18" s="29">
        <v>14612.3</v>
      </c>
      <c r="D18" s="10">
        <v>3076</v>
      </c>
      <c r="E18" s="35">
        <f t="shared" si="0"/>
        <v>0.21050758607474526</v>
      </c>
      <c r="F18" s="12">
        <v>66</v>
      </c>
      <c r="G18" s="36">
        <f t="shared" si="1"/>
        <v>46.606060606060609</v>
      </c>
      <c r="H18" s="35">
        <v>1605.2</v>
      </c>
      <c r="I18" s="35">
        <f t="shared" si="2"/>
        <v>521.84655396618984</v>
      </c>
    </row>
    <row r="19" spans="2:9" ht="14.5">
      <c r="B19" s="1" t="s">
        <v>121</v>
      </c>
      <c r="C19" s="29">
        <v>3945.2</v>
      </c>
      <c r="D19" s="10">
        <v>2422</v>
      </c>
      <c r="E19" s="35">
        <f t="shared" si="0"/>
        <v>0.61391057487579848</v>
      </c>
      <c r="F19" s="12">
        <v>42</v>
      </c>
      <c r="G19" s="36">
        <f t="shared" si="1"/>
        <v>57.666666666666664</v>
      </c>
      <c r="H19" s="35">
        <v>752.77</v>
      </c>
      <c r="I19" s="35">
        <f t="shared" si="2"/>
        <v>310.80511973575557</v>
      </c>
    </row>
    <row r="20" spans="2:9" ht="14.5">
      <c r="B20" s="1" t="s">
        <v>122</v>
      </c>
      <c r="C20" s="29">
        <v>2578.6</v>
      </c>
      <c r="D20" s="10">
        <v>2602</v>
      </c>
      <c r="E20" s="35">
        <f t="shared" si="0"/>
        <v>1.0090746916931668</v>
      </c>
      <c r="F20" s="12">
        <v>56</v>
      </c>
      <c r="G20" s="36">
        <f t="shared" si="1"/>
        <v>46.464285714285715</v>
      </c>
      <c r="H20" s="35">
        <v>721.1</v>
      </c>
      <c r="I20" s="35">
        <f t="shared" si="2"/>
        <v>277.13297463489624</v>
      </c>
    </row>
    <row r="21" spans="2:9" ht="14.5">
      <c r="B21" s="8" t="s">
        <v>123</v>
      </c>
      <c r="C21" s="29">
        <v>21.7</v>
      </c>
      <c r="D21" s="10">
        <v>44742</v>
      </c>
      <c r="E21" s="35">
        <f t="shared" si="0"/>
        <v>2061.8433179723502</v>
      </c>
      <c r="F21" s="12">
        <v>324</v>
      </c>
      <c r="G21" s="36">
        <f t="shared" si="1"/>
        <v>138.09259259259258</v>
      </c>
      <c r="H21" s="35">
        <v>96.86</v>
      </c>
      <c r="I21" s="35">
        <f t="shared" si="2"/>
        <v>2.1648562871574808</v>
      </c>
    </row>
    <row r="22" spans="2:9" ht="14.5">
      <c r="B22" s="1" t="s">
        <v>124</v>
      </c>
      <c r="C22" s="29">
        <v>41652</v>
      </c>
      <c r="D22" s="10">
        <v>2973</v>
      </c>
      <c r="E22" s="35">
        <f t="shared" si="0"/>
        <v>7.1377124747911261E-2</v>
      </c>
      <c r="F22" s="12">
        <v>81</v>
      </c>
      <c r="G22" s="36">
        <f t="shared" si="1"/>
        <v>36.703703703703702</v>
      </c>
      <c r="H22" s="35">
        <v>2453.8599999999997</v>
      </c>
      <c r="I22" s="35">
        <f t="shared" si="2"/>
        <v>825.381769256643</v>
      </c>
    </row>
    <row r="23" spans="2:9" ht="14.5">
      <c r="B23" s="3" t="s">
        <v>125</v>
      </c>
      <c r="C23" s="26">
        <v>19188.2</v>
      </c>
      <c r="D23" s="10">
        <v>1931</v>
      </c>
      <c r="E23" s="35">
        <f t="shared" si="0"/>
        <v>0.10063476511606091</v>
      </c>
      <c r="F23" s="12">
        <v>43</v>
      </c>
      <c r="G23" s="36">
        <f t="shared" si="1"/>
        <v>44.906976744186046</v>
      </c>
      <c r="H23" s="35">
        <v>1551.6999999999998</v>
      </c>
      <c r="I23" s="35">
        <f t="shared" si="2"/>
        <v>803.57327809425158</v>
      </c>
    </row>
    <row r="24" spans="2:9" ht="14.5">
      <c r="B24" s="8" t="s">
        <v>62</v>
      </c>
      <c r="C24" s="29">
        <v>178.3</v>
      </c>
      <c r="D24" s="10">
        <v>19048</v>
      </c>
      <c r="E24" s="35">
        <f t="shared" si="0"/>
        <v>106.83118339876611</v>
      </c>
      <c r="F24" s="12">
        <v>161</v>
      </c>
      <c r="G24" s="36">
        <f t="shared" si="1"/>
        <v>118.31055900621118</v>
      </c>
      <c r="H24" s="35">
        <v>250.96</v>
      </c>
      <c r="I24" s="35">
        <f t="shared" si="2"/>
        <v>13.175136497270056</v>
      </c>
    </row>
    <row r="25" spans="2:9" ht="14.5">
      <c r="B25" s="8" t="s">
        <v>63</v>
      </c>
      <c r="C25" s="29">
        <v>36053</v>
      </c>
      <c r="D25" s="10">
        <v>36053</v>
      </c>
      <c r="E25" s="35">
        <f t="shared" si="0"/>
        <v>1</v>
      </c>
      <c r="F25" s="12">
        <v>170</v>
      </c>
      <c r="G25" s="36">
        <f t="shared" si="1"/>
        <v>212.07647058823528</v>
      </c>
      <c r="H25" s="35">
        <v>85.460000000000008</v>
      </c>
      <c r="I25" s="35">
        <f t="shared" si="2"/>
        <v>2.3703991346073838</v>
      </c>
    </row>
    <row r="26" spans="2:9" ht="14.5">
      <c r="B26" s="2" t="s">
        <v>64</v>
      </c>
      <c r="C26" s="29">
        <v>566.6</v>
      </c>
      <c r="D26" s="10">
        <v>32119</v>
      </c>
      <c r="E26" s="35">
        <f t="shared" si="0"/>
        <v>56.687257324391105</v>
      </c>
      <c r="F26" s="12">
        <v>248</v>
      </c>
      <c r="G26" s="36">
        <f t="shared" si="1"/>
        <v>129.51209677419354</v>
      </c>
      <c r="H26" s="35">
        <v>637.71199999999999</v>
      </c>
      <c r="I26" s="35">
        <f t="shared" si="2"/>
        <v>19.854665462810175</v>
      </c>
    </row>
    <row r="27" spans="2:9" ht="14.5">
      <c r="B27" s="3" t="s">
        <v>65</v>
      </c>
      <c r="C27" s="29">
        <v>6026.8</v>
      </c>
      <c r="D27" s="10">
        <v>13776</v>
      </c>
      <c r="E27" s="35">
        <f t="shared" si="0"/>
        <v>2.285790137386341</v>
      </c>
      <c r="F27" s="12">
        <v>166</v>
      </c>
      <c r="G27" s="36">
        <f t="shared" si="1"/>
        <v>82.98795180722891</v>
      </c>
      <c r="H27" s="35">
        <v>1930.7139999999999</v>
      </c>
      <c r="I27" s="35">
        <f t="shared" si="2"/>
        <v>140.15055168408827</v>
      </c>
    </row>
    <row r="28" spans="2:9" ht="14.5">
      <c r="B28" s="3" t="s">
        <v>66</v>
      </c>
      <c r="C28" s="29">
        <v>201.3</v>
      </c>
      <c r="D28" s="10">
        <v>67084</v>
      </c>
      <c r="E28" s="35">
        <f t="shared" si="0"/>
        <v>333.25384997516142</v>
      </c>
      <c r="F28" s="12">
        <v>342</v>
      </c>
      <c r="G28" s="36">
        <f t="shared" si="1"/>
        <v>196.15204678362574</v>
      </c>
      <c r="H28" s="35">
        <v>558.87799999999993</v>
      </c>
      <c r="I28" s="35">
        <f t="shared" si="2"/>
        <v>8.3310178283942502</v>
      </c>
    </row>
    <row r="29" spans="2:9" ht="14.5">
      <c r="B29" s="8" t="s">
        <v>67</v>
      </c>
      <c r="C29" s="29">
        <v>312</v>
      </c>
      <c r="D29" s="10">
        <v>156572</v>
      </c>
      <c r="E29" s="35">
        <f t="shared" si="0"/>
        <v>501.83333333333331</v>
      </c>
      <c r="F29" s="12">
        <v>601</v>
      </c>
      <c r="G29" s="36">
        <f t="shared" si="1"/>
        <v>260.51913477537437</v>
      </c>
      <c r="H29" s="35">
        <v>713.63000000000011</v>
      </c>
      <c r="I29" s="35">
        <f t="shared" si="2"/>
        <v>4.557839204966406</v>
      </c>
    </row>
    <row r="30" spans="2:9" ht="14.5">
      <c r="B30" s="8" t="s">
        <v>68</v>
      </c>
      <c r="C30" s="29">
        <v>19.899999999999999</v>
      </c>
      <c r="D30" s="10">
        <v>87480</v>
      </c>
      <c r="E30" s="35">
        <f t="shared" si="0"/>
        <v>4395.9798994974881</v>
      </c>
      <c r="F30" s="12">
        <v>316</v>
      </c>
      <c r="G30" s="36">
        <f t="shared" si="1"/>
        <v>276.8354430379747</v>
      </c>
      <c r="H30" s="35">
        <v>207</v>
      </c>
      <c r="I30" s="35">
        <f t="shared" si="2"/>
        <v>2.3662551440329218</v>
      </c>
    </row>
    <row r="31" spans="2:9" ht="14.5">
      <c r="B31" s="8" t="s">
        <v>311</v>
      </c>
      <c r="C31" s="29">
        <v>33.6</v>
      </c>
      <c r="D31" s="10">
        <v>150626</v>
      </c>
      <c r="E31" s="35">
        <f t="shared" si="0"/>
        <v>4482.9166666666661</v>
      </c>
      <c r="F31" s="12">
        <v>514</v>
      </c>
      <c r="G31" s="36">
        <f t="shared" si="1"/>
        <v>293.04669260700388</v>
      </c>
      <c r="H31" s="35">
        <v>342.68299999999999</v>
      </c>
      <c r="I31" s="35">
        <f t="shared" si="2"/>
        <v>2.2750587547966483</v>
      </c>
    </row>
    <row r="32" spans="2:9" ht="14.5">
      <c r="B32" s="1" t="s">
        <v>126</v>
      </c>
      <c r="C32" s="29">
        <v>18939.5</v>
      </c>
      <c r="D32" s="10">
        <v>2795</v>
      </c>
      <c r="E32" s="35">
        <f t="shared" si="0"/>
        <v>0.14757517357902797</v>
      </c>
      <c r="F32" s="12">
        <v>92</v>
      </c>
      <c r="G32" s="36">
        <f t="shared" si="1"/>
        <v>30.380434782608695</v>
      </c>
      <c r="H32" s="35">
        <v>2619.6600000000003</v>
      </c>
      <c r="I32" s="35">
        <f t="shared" si="2"/>
        <v>937.2665474060824</v>
      </c>
    </row>
    <row r="33" spans="2:9" ht="14.5">
      <c r="B33" s="1" t="s">
        <v>127</v>
      </c>
      <c r="C33" s="29">
        <v>53533.8</v>
      </c>
      <c r="D33" s="10">
        <v>2065</v>
      </c>
      <c r="E33" s="35">
        <f t="shared" si="0"/>
        <v>3.8573760876306179E-2</v>
      </c>
      <c r="F33" s="12">
        <v>50</v>
      </c>
      <c r="G33" s="36">
        <f t="shared" si="1"/>
        <v>41.3</v>
      </c>
      <c r="H33" s="35">
        <v>2395.8200000000002</v>
      </c>
      <c r="I33" s="35">
        <f t="shared" si="2"/>
        <v>1160.2033898305085</v>
      </c>
    </row>
    <row r="34" spans="2:9" ht="14.5">
      <c r="B34" s="2" t="s">
        <v>128</v>
      </c>
      <c r="C34" s="29">
        <v>1966.4</v>
      </c>
      <c r="D34" s="10">
        <v>54979</v>
      </c>
      <c r="E34" s="35">
        <f t="shared" si="0"/>
        <v>27.959214808787632</v>
      </c>
      <c r="F34" s="12">
        <v>280</v>
      </c>
      <c r="G34" s="36">
        <f t="shared" si="1"/>
        <v>196.35357142857143</v>
      </c>
      <c r="H34" s="35">
        <v>1013.0899999999999</v>
      </c>
      <c r="I34" s="35">
        <f t="shared" si="2"/>
        <v>18.426853889666962</v>
      </c>
    </row>
    <row r="35" spans="2:9" ht="14.5">
      <c r="B35" s="2" t="s">
        <v>129</v>
      </c>
      <c r="C35" s="29">
        <v>10441.200000000001</v>
      </c>
      <c r="D35" s="10">
        <v>51003</v>
      </c>
      <c r="E35" s="35">
        <f t="shared" si="0"/>
        <v>4.8847833582346851</v>
      </c>
      <c r="F35" s="12">
        <v>542</v>
      </c>
      <c r="G35" s="36">
        <f t="shared" si="1"/>
        <v>94.101476014760152</v>
      </c>
      <c r="H35" s="35">
        <v>2456.2800000000007</v>
      </c>
      <c r="I35" s="35">
        <f t="shared" si="2"/>
        <v>48.159520028233644</v>
      </c>
    </row>
    <row r="36" spans="2:9" ht="14.5">
      <c r="B36" s="8" t="s">
        <v>130</v>
      </c>
      <c r="C36" s="6">
        <v>45604.800000000003</v>
      </c>
      <c r="D36" s="10">
        <v>5111</v>
      </c>
      <c r="E36" s="35">
        <f t="shared" si="0"/>
        <v>0.11207153632950917</v>
      </c>
      <c r="F36" s="12">
        <v>131</v>
      </c>
      <c r="G36" s="36">
        <f t="shared" si="1"/>
        <v>39.015267175572518</v>
      </c>
      <c r="H36" s="35">
        <v>2319.98</v>
      </c>
      <c r="I36" s="35">
        <f t="shared" si="2"/>
        <v>453.91899823909216</v>
      </c>
    </row>
    <row r="37" spans="2:9" ht="14.5">
      <c r="B37" s="2" t="s">
        <v>131</v>
      </c>
      <c r="C37" s="29">
        <v>1175.0999999999999</v>
      </c>
      <c r="D37" s="9">
        <v>72382</v>
      </c>
      <c r="E37" s="35">
        <f t="shared" si="0"/>
        <v>61.596459875755258</v>
      </c>
      <c r="F37" s="22">
        <v>438</v>
      </c>
      <c r="G37" s="36">
        <f t="shared" si="1"/>
        <v>165.25570776255708</v>
      </c>
      <c r="H37" s="35">
        <v>872.72700000000009</v>
      </c>
      <c r="I37" s="35">
        <f t="shared" si="2"/>
        <v>12.057237987344921</v>
      </c>
    </row>
    <row r="38" spans="2:9" ht="14.5">
      <c r="B38" s="1" t="s">
        <v>132</v>
      </c>
      <c r="C38" s="29">
        <v>8738.2000000000007</v>
      </c>
      <c r="D38" s="10">
        <v>1535</v>
      </c>
      <c r="E38" s="35">
        <f t="shared" si="0"/>
        <v>0.17566546886086379</v>
      </c>
      <c r="F38" s="12">
        <v>34</v>
      </c>
      <c r="G38" s="36">
        <f t="shared" si="1"/>
        <v>45.147058823529413</v>
      </c>
      <c r="H38" s="35">
        <v>1426.1899999999998</v>
      </c>
      <c r="I38" s="35">
        <f t="shared" si="2"/>
        <v>929.11400651465794</v>
      </c>
    </row>
    <row r="39" spans="2:9" ht="14.5">
      <c r="B39" s="1" t="s">
        <v>133</v>
      </c>
      <c r="C39" s="29">
        <v>2431.3000000000002</v>
      </c>
      <c r="D39" s="10">
        <v>4308</v>
      </c>
      <c r="E39" s="35">
        <f t="shared" si="0"/>
        <v>1.7718915806358737</v>
      </c>
      <c r="F39" s="12">
        <v>68</v>
      </c>
      <c r="G39" s="36">
        <f t="shared" si="1"/>
        <v>63.352941176470587</v>
      </c>
      <c r="H39" s="35">
        <v>1142.68</v>
      </c>
      <c r="I39" s="35">
        <f t="shared" si="2"/>
        <v>265.24605385329625</v>
      </c>
    </row>
    <row r="40" spans="2:9" ht="14.5">
      <c r="B40" s="1" t="s">
        <v>134</v>
      </c>
      <c r="C40" s="29">
        <v>5183.8</v>
      </c>
      <c r="D40" s="10">
        <v>10216</v>
      </c>
      <c r="E40" s="35">
        <f t="shared" si="0"/>
        <v>1.9707550445619044</v>
      </c>
      <c r="F40" s="12">
        <v>160</v>
      </c>
      <c r="G40" s="36">
        <f t="shared" si="1"/>
        <v>63.85</v>
      </c>
      <c r="H40" s="35">
        <v>1000.7400000000001</v>
      </c>
      <c r="I40" s="35">
        <f t="shared" si="2"/>
        <v>97.958104933437767</v>
      </c>
    </row>
    <row r="41" spans="2:9" ht="14.5">
      <c r="B41" s="3" t="s">
        <v>135</v>
      </c>
      <c r="C41" s="29">
        <v>9925.2999999999993</v>
      </c>
      <c r="D41" s="10">
        <v>4292</v>
      </c>
      <c r="E41" s="35">
        <f t="shared" si="0"/>
        <v>0.43243025399736029</v>
      </c>
      <c r="F41" s="12">
        <v>98</v>
      </c>
      <c r="G41" s="36">
        <f t="shared" si="1"/>
        <v>43.795918367346935</v>
      </c>
      <c r="H41" s="35">
        <v>1657.0400000000002</v>
      </c>
      <c r="I41" s="35">
        <f t="shared" si="2"/>
        <v>386.07642124883512</v>
      </c>
    </row>
    <row r="42" spans="2:9" ht="14.5">
      <c r="B42" s="1" t="s">
        <v>136</v>
      </c>
      <c r="C42" s="29">
        <v>1524</v>
      </c>
      <c r="D42" s="10">
        <v>7749</v>
      </c>
      <c r="E42" s="35">
        <f t="shared" si="0"/>
        <v>5.0846456692913389</v>
      </c>
      <c r="F42" s="12">
        <v>85.3</v>
      </c>
      <c r="G42" s="36">
        <f t="shared" si="1"/>
        <v>90.844079718640103</v>
      </c>
      <c r="H42" s="35">
        <v>617.58000000000004</v>
      </c>
      <c r="I42" s="35">
        <f t="shared" si="2"/>
        <v>79.698025551684097</v>
      </c>
    </row>
    <row r="43" spans="2:9" ht="14.5">
      <c r="B43" s="1" t="s">
        <v>137</v>
      </c>
      <c r="C43" s="29">
        <v>2329</v>
      </c>
      <c r="D43" s="10">
        <v>11455</v>
      </c>
      <c r="E43" s="35">
        <f t="shared" si="0"/>
        <v>4.9184199227136114</v>
      </c>
      <c r="F43" s="12">
        <v>108</v>
      </c>
      <c r="G43" s="36">
        <f t="shared" si="1"/>
        <v>106.06481481481481</v>
      </c>
      <c r="H43" s="35">
        <v>1322.9500000000003</v>
      </c>
      <c r="I43" s="35">
        <f t="shared" si="2"/>
        <v>115.49105194238327</v>
      </c>
    </row>
    <row r="44" spans="2:9" ht="14.5">
      <c r="B44" s="3" t="s">
        <v>138</v>
      </c>
      <c r="C44" s="29">
        <v>2809.6</v>
      </c>
      <c r="D44" s="10">
        <v>12574</v>
      </c>
      <c r="E44" s="35">
        <f t="shared" si="0"/>
        <v>4.4753701594533029</v>
      </c>
      <c r="F44" s="12">
        <v>167</v>
      </c>
      <c r="G44" s="36">
        <f t="shared" si="1"/>
        <v>75.293413173652695</v>
      </c>
      <c r="H44" s="35">
        <v>1271.58</v>
      </c>
      <c r="I44" s="35">
        <f t="shared" si="2"/>
        <v>101.127723874662</v>
      </c>
    </row>
    <row r="45" spans="2:9" ht="14.5">
      <c r="B45" s="1" t="s">
        <v>83</v>
      </c>
      <c r="C45" s="29">
        <v>143.19999999999999</v>
      </c>
      <c r="D45" s="10">
        <v>7437</v>
      </c>
      <c r="E45" s="35">
        <f t="shared" si="0"/>
        <v>51.934357541899445</v>
      </c>
      <c r="F45" s="12">
        <v>71.88</v>
      </c>
      <c r="G45" s="36">
        <f t="shared" si="1"/>
        <v>103.46410684474124</v>
      </c>
      <c r="H45" s="35">
        <v>172.57000000000002</v>
      </c>
      <c r="I45" s="35">
        <f t="shared" si="2"/>
        <v>23.204249025144549</v>
      </c>
    </row>
    <row r="46" spans="2:9" ht="14.5">
      <c r="B46" s="3" t="s">
        <v>84</v>
      </c>
      <c r="C46" s="6">
        <v>3425</v>
      </c>
      <c r="D46" s="10">
        <v>41573</v>
      </c>
      <c r="E46" s="35">
        <f t="shared" si="0"/>
        <v>12.138102189781021</v>
      </c>
      <c r="F46" s="12">
        <v>321</v>
      </c>
      <c r="G46" s="36">
        <f t="shared" si="1"/>
        <v>129.51090342679129</v>
      </c>
      <c r="H46" s="35">
        <v>1316.1699999999998</v>
      </c>
      <c r="I46" s="35">
        <f t="shared" si="2"/>
        <v>31.659249993986478</v>
      </c>
    </row>
    <row r="47" spans="2:9" ht="14.5">
      <c r="B47" s="2" t="s">
        <v>85</v>
      </c>
      <c r="C47" s="6">
        <v>2251.5</v>
      </c>
      <c r="D47" s="10">
        <v>9108</v>
      </c>
      <c r="E47" s="35">
        <f t="shared" si="0"/>
        <v>4.0453031312458361</v>
      </c>
      <c r="F47" s="12">
        <v>65</v>
      </c>
      <c r="G47" s="36">
        <f t="shared" si="1"/>
        <v>140.12307692307692</v>
      </c>
      <c r="H47" s="35">
        <v>724.22</v>
      </c>
      <c r="I47" s="35">
        <f t="shared" si="2"/>
        <v>79.514712340799292</v>
      </c>
    </row>
    <row r="48" spans="2:9" ht="14.5">
      <c r="B48" s="1" t="s">
        <v>86</v>
      </c>
      <c r="C48" s="7">
        <v>3427.7</v>
      </c>
      <c r="D48" s="10">
        <v>37643</v>
      </c>
      <c r="E48" s="35">
        <f t="shared" si="0"/>
        <v>10.981999591562856</v>
      </c>
      <c r="F48" s="12">
        <v>461</v>
      </c>
      <c r="G48" s="36">
        <f t="shared" si="1"/>
        <v>81.655097613882859</v>
      </c>
      <c r="H48" s="35">
        <v>1006.202</v>
      </c>
      <c r="I48" s="35">
        <f t="shared" si="2"/>
        <v>26.7301224663284</v>
      </c>
    </row>
    <row r="49" spans="2:9" ht="14.5">
      <c r="B49" s="1" t="s">
        <v>312</v>
      </c>
      <c r="C49" s="29">
        <v>101.6</v>
      </c>
      <c r="D49" s="10">
        <v>203109</v>
      </c>
      <c r="E49" s="35">
        <f t="shared" si="0"/>
        <v>1999.1043307086616</v>
      </c>
      <c r="F49" s="12">
        <v>725</v>
      </c>
      <c r="G49" s="36">
        <f t="shared" si="1"/>
        <v>280.1503448275862</v>
      </c>
      <c r="H49" s="35">
        <v>681.38999999999987</v>
      </c>
      <c r="I49" s="35">
        <f t="shared" si="2"/>
        <v>3.3547996396023803</v>
      </c>
    </row>
    <row r="50" spans="2:9" ht="14.5">
      <c r="B50" s="3" t="s">
        <v>87</v>
      </c>
      <c r="C50" s="29">
        <v>4720</v>
      </c>
      <c r="D50" s="10">
        <v>9759</v>
      </c>
      <c r="E50" s="35">
        <f t="shared" si="0"/>
        <v>2.0675847457627117</v>
      </c>
      <c r="F50" s="12">
        <v>115</v>
      </c>
      <c r="G50" s="36">
        <f t="shared" si="1"/>
        <v>84.860869565217385</v>
      </c>
      <c r="H50" s="35">
        <v>1869.17</v>
      </c>
      <c r="I50" s="35">
        <f t="shared" si="2"/>
        <v>191.53294394917512</v>
      </c>
    </row>
    <row r="51" spans="2:9" ht="14.5">
      <c r="B51" s="3" t="s">
        <v>88</v>
      </c>
      <c r="C51" s="29">
        <v>4835.8</v>
      </c>
      <c r="D51" s="10">
        <v>4440</v>
      </c>
      <c r="E51" s="35">
        <f t="shared" si="0"/>
        <v>0.91815211547210385</v>
      </c>
      <c r="F51" s="12">
        <v>178</v>
      </c>
      <c r="G51" s="36">
        <f t="shared" si="1"/>
        <v>24.943820224719101</v>
      </c>
      <c r="H51" s="35">
        <v>1361.41</v>
      </c>
      <c r="I51" s="35">
        <f t="shared" si="2"/>
        <v>306.62387387387389</v>
      </c>
    </row>
    <row r="52" spans="2:9" ht="14.5">
      <c r="B52" s="2" t="s">
        <v>89</v>
      </c>
      <c r="C52" s="29">
        <v>5486.9</v>
      </c>
      <c r="D52" s="10">
        <v>8966</v>
      </c>
      <c r="E52" s="35">
        <f t="shared" si="0"/>
        <v>1.6340738850717165</v>
      </c>
      <c r="F52" s="12">
        <v>122</v>
      </c>
      <c r="G52" s="36">
        <f t="shared" si="1"/>
        <v>73.491803278688522</v>
      </c>
      <c r="H52" s="35">
        <v>1165.32</v>
      </c>
      <c r="I52" s="35">
        <f t="shared" si="2"/>
        <v>129.97100156145439</v>
      </c>
    </row>
    <row r="53" spans="2:9" ht="14.5">
      <c r="B53" s="2" t="s">
        <v>90</v>
      </c>
      <c r="C53" s="29">
        <v>2952.3</v>
      </c>
      <c r="D53" s="10">
        <v>5064</v>
      </c>
      <c r="E53" s="35">
        <f t="shared" si="0"/>
        <v>1.7152728381262066</v>
      </c>
      <c r="F53" s="12">
        <v>84</v>
      </c>
      <c r="G53" s="36">
        <f t="shared" si="1"/>
        <v>60.285714285714285</v>
      </c>
      <c r="H53" s="35">
        <v>757.26</v>
      </c>
      <c r="I53" s="35">
        <f t="shared" si="2"/>
        <v>149.53791469194312</v>
      </c>
    </row>
    <row r="54" spans="2:9" ht="14.5">
      <c r="B54" s="2" t="s">
        <v>91</v>
      </c>
      <c r="C54" s="6">
        <v>1028</v>
      </c>
      <c r="D54" s="10">
        <v>171992</v>
      </c>
      <c r="E54" s="35">
        <f t="shared" si="0"/>
        <v>167.30739299610894</v>
      </c>
      <c r="F54" s="12">
        <v>1075</v>
      </c>
      <c r="G54" s="36">
        <f t="shared" si="1"/>
        <v>159.99255813953488</v>
      </c>
      <c r="H54" s="35">
        <v>1142.4499999999998</v>
      </c>
      <c r="I54" s="35">
        <f t="shared" si="2"/>
        <v>6.6424601144239261</v>
      </c>
    </row>
    <row r="55" spans="2:9" ht="14.5">
      <c r="B55" s="1" t="s">
        <v>92</v>
      </c>
      <c r="C55" s="29">
        <v>3220.3</v>
      </c>
      <c r="D55" s="10">
        <v>29376</v>
      </c>
      <c r="E55" s="35">
        <f t="shared" si="0"/>
        <v>9.1221314784336851</v>
      </c>
      <c r="F55" s="12">
        <v>259</v>
      </c>
      <c r="G55" s="36">
        <f t="shared" si="1"/>
        <v>113.42084942084942</v>
      </c>
      <c r="H55" s="35">
        <v>1189.83</v>
      </c>
      <c r="I55" s="35">
        <f t="shared" si="2"/>
        <v>40.503472222222221</v>
      </c>
    </row>
    <row r="56" spans="2:9" ht="14.5">
      <c r="B56" s="2" t="s">
        <v>143</v>
      </c>
      <c r="C56" s="29">
        <v>3375.5</v>
      </c>
      <c r="D56" s="10">
        <v>36499</v>
      </c>
      <c r="E56" s="35">
        <f t="shared" si="0"/>
        <v>10.812916604947414</v>
      </c>
      <c r="F56" s="12">
        <v>292</v>
      </c>
      <c r="G56" s="36">
        <f t="shared" si="1"/>
        <v>124.99657534246575</v>
      </c>
      <c r="H56" s="35">
        <v>1120.9000000000001</v>
      </c>
      <c r="I56" s="35">
        <f t="shared" si="2"/>
        <v>30.710430422751308</v>
      </c>
    </row>
    <row r="57" spans="2:9" ht="14.5">
      <c r="B57" s="1" t="s">
        <v>144</v>
      </c>
      <c r="C57" s="29">
        <v>5748.7</v>
      </c>
      <c r="D57" s="10">
        <v>10258</v>
      </c>
      <c r="E57" s="35">
        <f t="shared" si="0"/>
        <v>1.7844034303407728</v>
      </c>
      <c r="F57" s="12">
        <v>114</v>
      </c>
      <c r="G57" s="36">
        <f t="shared" si="1"/>
        <v>89.982456140350877</v>
      </c>
      <c r="H57" s="35">
        <v>2071.71</v>
      </c>
      <c r="I57" s="35">
        <f t="shared" si="2"/>
        <v>201.96042113472413</v>
      </c>
    </row>
    <row r="58" spans="2:9" ht="14.5">
      <c r="B58" s="2" t="s">
        <v>145</v>
      </c>
      <c r="C58" s="6">
        <v>3732</v>
      </c>
      <c r="D58" s="10">
        <v>48941</v>
      </c>
      <c r="E58" s="35">
        <f t="shared" si="0"/>
        <v>13.113879957127546</v>
      </c>
      <c r="F58" s="12">
        <v>248</v>
      </c>
      <c r="G58" s="36">
        <f t="shared" si="1"/>
        <v>197.34274193548387</v>
      </c>
      <c r="H58" s="35">
        <v>1724.18</v>
      </c>
      <c r="I58" s="35">
        <f t="shared" si="2"/>
        <v>35.229766453484807</v>
      </c>
    </row>
    <row r="59" spans="2:9" ht="14.5">
      <c r="B59" s="1" t="s">
        <v>146</v>
      </c>
      <c r="C59" s="29">
        <v>1640.3</v>
      </c>
      <c r="D59" s="10">
        <v>25811</v>
      </c>
      <c r="E59" s="35">
        <f t="shared" si="0"/>
        <v>15.735536182405658</v>
      </c>
      <c r="F59" s="12">
        <v>280</v>
      </c>
      <c r="G59" s="36">
        <f t="shared" si="1"/>
        <v>92.182142857142864</v>
      </c>
      <c r="H59" s="35">
        <v>1287.4199999999998</v>
      </c>
      <c r="I59" s="35">
        <f t="shared" si="2"/>
        <v>49.87873387315485</v>
      </c>
    </row>
    <row r="60" spans="2:9" ht="14.5">
      <c r="B60" s="1" t="s">
        <v>147</v>
      </c>
      <c r="C60" s="29">
        <v>2457.3000000000002</v>
      </c>
      <c r="D60" s="10">
        <v>3755</v>
      </c>
      <c r="E60" s="35">
        <f t="shared" si="0"/>
        <v>1.5280999470964065</v>
      </c>
      <c r="F60" s="12">
        <v>54</v>
      </c>
      <c r="G60" s="36">
        <f t="shared" si="1"/>
        <v>69.537037037037038</v>
      </c>
      <c r="H60" s="35">
        <v>779.41999999999985</v>
      </c>
      <c r="I60" s="35">
        <f t="shared" si="2"/>
        <v>207.56857523302261</v>
      </c>
    </row>
    <row r="61" spans="2:9" ht="14.5">
      <c r="B61" s="2" t="s">
        <v>148</v>
      </c>
      <c r="C61" s="29">
        <v>4992</v>
      </c>
      <c r="D61" s="10">
        <v>12826</v>
      </c>
      <c r="E61" s="35">
        <f t="shared" si="0"/>
        <v>2.5693108974358974</v>
      </c>
      <c r="F61" s="12">
        <v>174.9</v>
      </c>
      <c r="G61" s="36">
        <f t="shared" si="1"/>
        <v>73.333333333333329</v>
      </c>
      <c r="H61" s="35">
        <v>1469.9599999999998</v>
      </c>
      <c r="I61" s="35">
        <f t="shared" si="2"/>
        <v>114.60782784968032</v>
      </c>
    </row>
    <row r="62" spans="2:9" ht="14.5">
      <c r="B62" s="2" t="s">
        <v>0</v>
      </c>
      <c r="C62" s="29">
        <v>4394.3999999999996</v>
      </c>
      <c r="D62" s="10">
        <v>4619</v>
      </c>
      <c r="E62" s="35">
        <f t="shared" si="0"/>
        <v>1.0511105042781723</v>
      </c>
      <c r="F62" s="12">
        <v>65</v>
      </c>
      <c r="G62" s="36">
        <f t="shared" si="1"/>
        <v>71.061538461538461</v>
      </c>
      <c r="H62" s="35">
        <v>971.66000000000008</v>
      </c>
      <c r="I62" s="35">
        <f t="shared" si="2"/>
        <v>210.36155011907343</v>
      </c>
    </row>
    <row r="63" spans="2:9" ht="14.5">
      <c r="B63" s="2" t="s">
        <v>1</v>
      </c>
      <c r="C63" s="29">
        <v>9273.6</v>
      </c>
      <c r="D63" s="10">
        <v>5080</v>
      </c>
      <c r="E63" s="35">
        <f t="shared" si="0"/>
        <v>0.54779158040027598</v>
      </c>
      <c r="F63" s="12">
        <v>0</v>
      </c>
      <c r="G63" s="36" t="e">
        <f t="shared" si="1"/>
        <v>#DIV/0!</v>
      </c>
      <c r="H63" s="35">
        <v>2071.462</v>
      </c>
      <c r="I63" s="35">
        <f t="shared" si="2"/>
        <v>407.76811023622048</v>
      </c>
    </row>
    <row r="64" spans="2:9" ht="14.5">
      <c r="B64" s="1" t="s">
        <v>2</v>
      </c>
      <c r="C64" s="29">
        <v>1868.5</v>
      </c>
      <c r="D64" s="10">
        <v>3751</v>
      </c>
      <c r="E64" s="35">
        <f t="shared" si="0"/>
        <v>2.0074926411560075</v>
      </c>
      <c r="F64" s="12">
        <v>0</v>
      </c>
      <c r="G64" s="36" t="e">
        <f t="shared" si="1"/>
        <v>#DIV/0!</v>
      </c>
      <c r="H64" s="35">
        <v>844.24</v>
      </c>
      <c r="I64" s="35">
        <f t="shared" si="2"/>
        <v>225.07064782724606</v>
      </c>
    </row>
    <row r="65" spans="2:9" ht="14.5">
      <c r="B65" s="1" t="s">
        <v>317</v>
      </c>
      <c r="C65" s="29">
        <v>2775.8</v>
      </c>
      <c r="D65" s="10">
        <v>65527</v>
      </c>
      <c r="E65" s="35">
        <f t="shared" si="0"/>
        <v>23.606527847827653</v>
      </c>
      <c r="F65" s="12">
        <v>288</v>
      </c>
      <c r="G65" s="36">
        <f t="shared" si="1"/>
        <v>227.52430555555554</v>
      </c>
      <c r="H65" s="35">
        <v>1038.75</v>
      </c>
      <c r="I65" s="35">
        <f t="shared" si="2"/>
        <v>15.852244113113677</v>
      </c>
    </row>
    <row r="66" spans="2:9" ht="14.5">
      <c r="B66" s="1" t="s">
        <v>3</v>
      </c>
      <c r="C66" s="29">
        <v>11328.5</v>
      </c>
      <c r="D66" s="10">
        <v>2989</v>
      </c>
      <c r="E66" s="35">
        <f t="shared" si="0"/>
        <v>0.26384781745156022</v>
      </c>
      <c r="F66" s="12">
        <v>54</v>
      </c>
      <c r="G66" s="36">
        <f t="shared" si="1"/>
        <v>55.351851851851855</v>
      </c>
      <c r="H66" s="35">
        <v>941.05</v>
      </c>
      <c r="I66" s="35">
        <f t="shared" si="2"/>
        <v>314.83773837403811</v>
      </c>
    </row>
    <row r="67" spans="2:9" ht="14.5">
      <c r="B67" s="1" t="s">
        <v>316</v>
      </c>
      <c r="C67" s="29">
        <v>400.6</v>
      </c>
      <c r="D67" s="10">
        <v>187703</v>
      </c>
      <c r="E67" s="35">
        <f t="shared" si="0"/>
        <v>468.55466799800297</v>
      </c>
      <c r="F67" s="12">
        <v>539.91999999999996</v>
      </c>
      <c r="G67" s="36">
        <f t="shared" si="1"/>
        <v>347.64965180026672</v>
      </c>
      <c r="H67" s="35">
        <v>1005.95</v>
      </c>
      <c r="I67" s="35">
        <f t="shared" si="2"/>
        <v>5.3592643697756568</v>
      </c>
    </row>
    <row r="68" spans="2:9" ht="14.5">
      <c r="B68" s="1" t="s">
        <v>313</v>
      </c>
      <c r="C68" s="29">
        <v>40.200000000000003</v>
      </c>
      <c r="D68" s="10">
        <v>111100</v>
      </c>
      <c r="E68" s="35">
        <f t="shared" ref="E68:E131" si="3">D68/C68</f>
        <v>2763.6815920398008</v>
      </c>
      <c r="F68" s="12">
        <v>485</v>
      </c>
      <c r="G68" s="36">
        <f t="shared" ref="G68:G131" si="4">D68/F68</f>
        <v>229.0721649484536</v>
      </c>
      <c r="H68" s="35">
        <v>345.17</v>
      </c>
      <c r="I68" s="35">
        <f t="shared" ref="I68:I131" si="5">((H68)/(D68/1000))</f>
        <v>3.1068406840684073</v>
      </c>
    </row>
    <row r="69" spans="2:9" ht="14.5">
      <c r="B69" s="8" t="s">
        <v>102</v>
      </c>
      <c r="C69" s="25">
        <v>510</v>
      </c>
      <c r="D69" s="10">
        <v>168614</v>
      </c>
      <c r="E69" s="35">
        <f t="shared" si="3"/>
        <v>330.61568627450981</v>
      </c>
      <c r="F69" s="12">
        <v>571</v>
      </c>
      <c r="G69" s="36">
        <f t="shared" si="4"/>
        <v>295.29597197898426</v>
      </c>
      <c r="H69" s="35">
        <v>663.53</v>
      </c>
      <c r="I69" s="35">
        <f t="shared" si="5"/>
        <v>3.9352011102280948</v>
      </c>
    </row>
    <row r="70" spans="2:9" ht="14.5">
      <c r="B70" s="8" t="s">
        <v>103</v>
      </c>
      <c r="C70" s="29">
        <v>5.7</v>
      </c>
      <c r="D70" s="10">
        <v>14689</v>
      </c>
      <c r="E70" s="35">
        <f t="shared" si="3"/>
        <v>2577.0175438596489</v>
      </c>
      <c r="F70" s="12">
        <v>59</v>
      </c>
      <c r="G70" s="36">
        <f t="shared" si="4"/>
        <v>248.96610169491527</v>
      </c>
      <c r="H70" s="35">
        <v>65</v>
      </c>
      <c r="I70" s="35">
        <f t="shared" si="5"/>
        <v>4.4250799918306214</v>
      </c>
    </row>
    <row r="71" spans="2:9" ht="14.5">
      <c r="B71" s="8" t="s">
        <v>302</v>
      </c>
      <c r="C71" s="29">
        <v>22.7</v>
      </c>
      <c r="D71" s="10">
        <v>85886</v>
      </c>
      <c r="E71" s="35">
        <f t="shared" si="3"/>
        <v>3783.5242290748902</v>
      </c>
      <c r="F71" s="12">
        <v>315.62</v>
      </c>
      <c r="G71" s="36">
        <f t="shared" si="4"/>
        <v>272.11837019200306</v>
      </c>
      <c r="H71" s="35">
        <v>230.38</v>
      </c>
      <c r="I71" s="35">
        <f t="shared" si="5"/>
        <v>2.6823929394779125</v>
      </c>
    </row>
    <row r="72" spans="2:9" ht="14.5">
      <c r="B72" s="2" t="s">
        <v>104</v>
      </c>
      <c r="C72" s="29">
        <v>8605.7999999999993</v>
      </c>
      <c r="D72" s="10">
        <v>16846</v>
      </c>
      <c r="E72" s="35">
        <f t="shared" si="3"/>
        <v>1.9575170234028214</v>
      </c>
      <c r="F72" s="12">
        <v>210</v>
      </c>
      <c r="G72" s="36">
        <f t="shared" si="4"/>
        <v>80.219047619047615</v>
      </c>
      <c r="H72" s="35">
        <v>2139.3940000000002</v>
      </c>
      <c r="I72" s="35">
        <f t="shared" si="5"/>
        <v>126.99715065891014</v>
      </c>
    </row>
    <row r="73" spans="2:9" ht="14.5">
      <c r="B73" s="1" t="s">
        <v>105</v>
      </c>
      <c r="C73" s="29">
        <v>3373.1</v>
      </c>
      <c r="D73" s="10">
        <v>1519</v>
      </c>
      <c r="E73" s="35">
        <f t="shared" si="3"/>
        <v>0.45032759182947441</v>
      </c>
      <c r="F73" s="12">
        <v>42</v>
      </c>
      <c r="G73" s="36">
        <f t="shared" si="4"/>
        <v>36.166666666666664</v>
      </c>
      <c r="H73" s="35">
        <v>1101.22</v>
      </c>
      <c r="I73" s="35">
        <f t="shared" si="5"/>
        <v>724.9637919684003</v>
      </c>
    </row>
    <row r="74" spans="2:9" ht="14.5">
      <c r="B74" s="1" t="s">
        <v>106</v>
      </c>
      <c r="C74" s="29">
        <v>2030.2</v>
      </c>
      <c r="D74" s="10">
        <v>6297</v>
      </c>
      <c r="E74" s="35">
        <f t="shared" si="3"/>
        <v>3.1016648606048665</v>
      </c>
      <c r="F74" s="12">
        <v>60</v>
      </c>
      <c r="G74" s="36">
        <f t="shared" si="4"/>
        <v>104.95</v>
      </c>
      <c r="H74" s="35">
        <v>881.51</v>
      </c>
      <c r="I74" s="35">
        <f t="shared" si="5"/>
        <v>139.98888359536286</v>
      </c>
    </row>
    <row r="75" spans="2:9" ht="14.5">
      <c r="B75" s="2" t="s">
        <v>107</v>
      </c>
      <c r="C75" s="30">
        <v>3378.8</v>
      </c>
      <c r="D75" s="10">
        <v>29643</v>
      </c>
      <c r="E75" s="35">
        <f t="shared" si="3"/>
        <v>8.7732331005090565</v>
      </c>
      <c r="F75" s="12">
        <v>298</v>
      </c>
      <c r="G75" s="36">
        <f t="shared" si="4"/>
        <v>99.473154362416111</v>
      </c>
      <c r="H75" s="35">
        <v>1188.4000000000001</v>
      </c>
      <c r="I75" s="35">
        <f t="shared" si="5"/>
        <v>40.090409202847219</v>
      </c>
    </row>
    <row r="76" spans="2:9" ht="14.5">
      <c r="B76" s="2" t="s">
        <v>108</v>
      </c>
      <c r="C76" s="29">
        <v>258</v>
      </c>
      <c r="D76" s="10">
        <v>21314</v>
      </c>
      <c r="E76" s="35">
        <f t="shared" si="3"/>
        <v>82.612403100775197</v>
      </c>
      <c r="F76" s="12">
        <v>338</v>
      </c>
      <c r="G76" s="36">
        <f t="shared" si="4"/>
        <v>63.059171597633139</v>
      </c>
      <c r="H76" s="35">
        <v>262.51000000000005</v>
      </c>
      <c r="I76" s="35">
        <f t="shared" si="5"/>
        <v>12.316317913108756</v>
      </c>
    </row>
    <row r="77" spans="2:9" ht="14.5">
      <c r="B77" s="8" t="s">
        <v>303</v>
      </c>
      <c r="C77" s="29">
        <v>15.6</v>
      </c>
      <c r="D77" s="10">
        <v>61030</v>
      </c>
      <c r="E77" s="35">
        <f t="shared" si="3"/>
        <v>3912.1794871794873</v>
      </c>
      <c r="F77" s="12">
        <v>243</v>
      </c>
      <c r="G77" s="36">
        <f t="shared" si="4"/>
        <v>251.15226337448559</v>
      </c>
      <c r="H77" s="35">
        <v>163.63000000000002</v>
      </c>
      <c r="I77" s="35">
        <f t="shared" si="5"/>
        <v>2.6811404227429136</v>
      </c>
    </row>
    <row r="78" spans="2:9" ht="14.5">
      <c r="B78" s="8" t="s">
        <v>109</v>
      </c>
      <c r="C78" s="29">
        <v>85.4</v>
      </c>
      <c r="D78" s="10">
        <v>120978</v>
      </c>
      <c r="E78" s="35">
        <f t="shared" si="3"/>
        <v>1416.6042154566744</v>
      </c>
      <c r="F78" s="12">
        <v>424</v>
      </c>
      <c r="G78" s="36">
        <f t="shared" si="4"/>
        <v>285.32547169811323</v>
      </c>
      <c r="H78" s="35">
        <v>482.23</v>
      </c>
      <c r="I78" s="35">
        <f t="shared" si="5"/>
        <v>3.9860966456711142</v>
      </c>
    </row>
    <row r="79" spans="2:9" ht="14.5">
      <c r="B79" s="2" t="s">
        <v>110</v>
      </c>
      <c r="C79" s="29">
        <v>3589.1</v>
      </c>
      <c r="D79" s="10">
        <v>9531</v>
      </c>
      <c r="E79" s="35">
        <f t="shared" si="3"/>
        <v>2.6555403861692346</v>
      </c>
      <c r="F79" s="12">
        <v>101</v>
      </c>
      <c r="G79" s="36">
        <f t="shared" si="4"/>
        <v>94.366336633663366</v>
      </c>
      <c r="H79" s="35">
        <v>1216.1299999999999</v>
      </c>
      <c r="I79" s="35">
        <f t="shared" si="5"/>
        <v>127.59731402790891</v>
      </c>
    </row>
    <row r="80" spans="2:9" ht="14.5">
      <c r="B80" s="3" t="s">
        <v>111</v>
      </c>
      <c r="C80" s="29">
        <v>14973.2</v>
      </c>
      <c r="D80" s="10">
        <v>6775</v>
      </c>
      <c r="E80" s="35">
        <f t="shared" si="3"/>
        <v>0.45247508882536797</v>
      </c>
      <c r="F80" s="12">
        <v>132</v>
      </c>
      <c r="G80" s="36">
        <f t="shared" si="4"/>
        <v>51.325757575757578</v>
      </c>
      <c r="H80" s="35">
        <v>3981.5300000000007</v>
      </c>
      <c r="I80" s="35">
        <f t="shared" si="5"/>
        <v>587.67970479704809</v>
      </c>
    </row>
    <row r="81" spans="2:9" ht="14.5">
      <c r="B81" s="2" t="s">
        <v>112</v>
      </c>
      <c r="C81" s="29">
        <v>757</v>
      </c>
      <c r="D81" s="10">
        <v>202676</v>
      </c>
      <c r="E81" s="35">
        <f t="shared" si="3"/>
        <v>267.73579920739763</v>
      </c>
      <c r="F81" s="12">
        <v>932</v>
      </c>
      <c r="G81" s="36">
        <f t="shared" si="4"/>
        <v>217.46351931330472</v>
      </c>
      <c r="H81" s="35">
        <v>1332.9199999999998</v>
      </c>
      <c r="I81" s="35">
        <f t="shared" si="5"/>
        <v>6.5766050247685959</v>
      </c>
    </row>
    <row r="82" spans="2:9" ht="14.5">
      <c r="B82" s="1" t="s">
        <v>113</v>
      </c>
      <c r="C82" s="29">
        <v>10.5</v>
      </c>
      <c r="D82" s="10">
        <v>34807</v>
      </c>
      <c r="E82" s="35">
        <f t="shared" si="3"/>
        <v>3314.9523809523807</v>
      </c>
      <c r="F82" s="12">
        <v>185</v>
      </c>
      <c r="G82" s="36">
        <f t="shared" si="4"/>
        <v>188.14594594594595</v>
      </c>
      <c r="H82" s="35">
        <v>101.46000000000001</v>
      </c>
      <c r="I82" s="35">
        <f t="shared" si="5"/>
        <v>2.9149309047030769</v>
      </c>
    </row>
    <row r="83" spans="2:9" ht="14.5">
      <c r="B83" s="1" t="s">
        <v>114</v>
      </c>
      <c r="C83" s="29">
        <v>1167</v>
      </c>
      <c r="D83" s="10">
        <v>11595</v>
      </c>
      <c r="E83" s="35">
        <f t="shared" si="3"/>
        <v>9.9357326478149108</v>
      </c>
      <c r="F83" s="12">
        <v>135</v>
      </c>
      <c r="G83" s="36">
        <f t="shared" si="4"/>
        <v>85.888888888888886</v>
      </c>
      <c r="H83" s="35">
        <v>900.95999999999992</v>
      </c>
      <c r="I83" s="35">
        <f t="shared" si="5"/>
        <v>77.702457956015508</v>
      </c>
    </row>
    <row r="84" spans="2:9" ht="14.5">
      <c r="B84" s="8" t="s">
        <v>304</v>
      </c>
      <c r="C84" s="6">
        <v>10.32</v>
      </c>
      <c r="D84" s="10">
        <v>58136</v>
      </c>
      <c r="E84" s="35">
        <f t="shared" si="3"/>
        <v>5633.333333333333</v>
      </c>
      <c r="F84" s="12">
        <v>451</v>
      </c>
      <c r="G84" s="36">
        <f t="shared" si="4"/>
        <v>128.90465631929047</v>
      </c>
      <c r="H84" s="35">
        <v>151.38</v>
      </c>
      <c r="I84" s="35">
        <f t="shared" si="5"/>
        <v>2.6038943167744595</v>
      </c>
    </row>
    <row r="85" spans="2:9" ht="14.5">
      <c r="B85" s="2" t="s">
        <v>4</v>
      </c>
      <c r="C85" s="6">
        <v>1289.5999999999999</v>
      </c>
      <c r="D85" s="10">
        <v>44629</v>
      </c>
      <c r="E85" s="35">
        <f t="shared" si="3"/>
        <v>34.60685483870968</v>
      </c>
      <c r="F85" s="12">
        <v>417.44</v>
      </c>
      <c r="G85" s="36">
        <f t="shared" si="4"/>
        <v>106.91117286316596</v>
      </c>
      <c r="H85" s="35">
        <v>1216.0999999999999</v>
      </c>
      <c r="I85" s="35">
        <f t="shared" si="5"/>
        <v>27.249098120056466</v>
      </c>
    </row>
    <row r="86" spans="2:9" ht="14.5">
      <c r="B86" s="3" t="s">
        <v>5</v>
      </c>
      <c r="C86" s="29">
        <v>4513.8</v>
      </c>
      <c r="D86" s="10">
        <v>21249</v>
      </c>
      <c r="E86" s="35">
        <f t="shared" si="3"/>
        <v>4.7075634720191415</v>
      </c>
      <c r="F86" s="12">
        <v>188</v>
      </c>
      <c r="G86" s="36">
        <f t="shared" si="4"/>
        <v>113.02659574468085</v>
      </c>
      <c r="H86" s="35">
        <v>904.32500000000005</v>
      </c>
      <c r="I86" s="35">
        <f t="shared" si="5"/>
        <v>42.558473339921882</v>
      </c>
    </row>
    <row r="87" spans="2:9" ht="14.5">
      <c r="B87" s="1" t="s">
        <v>314</v>
      </c>
      <c r="C87" s="29">
        <v>305.5</v>
      </c>
      <c r="D87" s="10">
        <v>199928</v>
      </c>
      <c r="E87" s="35">
        <f t="shared" si="3"/>
        <v>654.42880523731583</v>
      </c>
      <c r="F87" s="12">
        <v>704</v>
      </c>
      <c r="G87" s="36">
        <f t="shared" si="4"/>
        <v>283.98863636363637</v>
      </c>
      <c r="H87" s="35">
        <v>875.67</v>
      </c>
      <c r="I87" s="35">
        <f t="shared" si="5"/>
        <v>4.3799267736385099</v>
      </c>
    </row>
    <row r="88" spans="2:9" ht="14.5">
      <c r="B88" s="2" t="s">
        <v>6</v>
      </c>
      <c r="C88" s="29">
        <v>5086.3999999999996</v>
      </c>
      <c r="D88" s="9">
        <v>7819</v>
      </c>
      <c r="E88" s="35">
        <f t="shared" si="3"/>
        <v>1.5372365523749607</v>
      </c>
      <c r="F88" s="22">
        <v>113</v>
      </c>
      <c r="G88" s="36">
        <f t="shared" si="4"/>
        <v>69.194690265486727</v>
      </c>
      <c r="H88" s="35">
        <v>1394.25</v>
      </c>
      <c r="I88" s="35">
        <f t="shared" si="5"/>
        <v>178.31564138636654</v>
      </c>
    </row>
    <row r="89" spans="2:9" ht="14.5">
      <c r="B89" s="1" t="s">
        <v>7</v>
      </c>
      <c r="C89" s="29">
        <v>2895.8</v>
      </c>
      <c r="D89" s="10">
        <v>3080</v>
      </c>
      <c r="E89" s="35">
        <f t="shared" si="3"/>
        <v>1.0636093652876579</v>
      </c>
      <c r="F89" s="12">
        <v>48</v>
      </c>
      <c r="G89" s="36">
        <f t="shared" si="4"/>
        <v>64.166666666666671</v>
      </c>
      <c r="H89" s="35">
        <v>1630.44</v>
      </c>
      <c r="I89" s="35">
        <f t="shared" si="5"/>
        <v>529.36363636363637</v>
      </c>
    </row>
    <row r="90" spans="2:9" ht="14.5">
      <c r="B90" s="2" t="s">
        <v>8</v>
      </c>
      <c r="C90" s="29">
        <v>391.7</v>
      </c>
      <c r="D90" s="10">
        <v>75170</v>
      </c>
      <c r="E90" s="35">
        <f t="shared" si="3"/>
        <v>191.90707173857544</v>
      </c>
      <c r="F90" s="12">
        <v>369</v>
      </c>
      <c r="G90" s="36">
        <f t="shared" si="4"/>
        <v>203.71273712737127</v>
      </c>
      <c r="H90" s="35">
        <v>687.26</v>
      </c>
      <c r="I90" s="35">
        <f t="shared" si="5"/>
        <v>9.1427431156046293</v>
      </c>
    </row>
    <row r="91" spans="2:9" ht="14.5">
      <c r="B91" s="8" t="s">
        <v>9</v>
      </c>
      <c r="C91" s="29">
        <v>14.4</v>
      </c>
      <c r="D91" s="10">
        <v>44786</v>
      </c>
      <c r="E91" s="35">
        <f t="shared" si="3"/>
        <v>3110.1388888888887</v>
      </c>
      <c r="F91" s="12">
        <v>338</v>
      </c>
      <c r="G91" s="36">
        <f t="shared" si="4"/>
        <v>132.50295857988166</v>
      </c>
      <c r="H91" s="35">
        <v>109.3</v>
      </c>
      <c r="I91" s="35">
        <f t="shared" si="5"/>
        <v>2.4404947974813558</v>
      </c>
    </row>
    <row r="92" spans="2:9" ht="14.5">
      <c r="B92" s="3" t="s">
        <v>10</v>
      </c>
      <c r="C92" s="29">
        <v>16.5</v>
      </c>
      <c r="D92" s="10">
        <v>83356</v>
      </c>
      <c r="E92" s="35">
        <f t="shared" si="3"/>
        <v>5051.878787878788</v>
      </c>
      <c r="F92" s="12">
        <v>520.44000000000005</v>
      </c>
      <c r="G92" s="36">
        <f t="shared" si="4"/>
        <v>160.1644762124356</v>
      </c>
      <c r="H92" s="35">
        <v>216.1</v>
      </c>
      <c r="I92" s="35">
        <f t="shared" si="5"/>
        <v>2.5924948414031386</v>
      </c>
    </row>
    <row r="93" spans="2:9" ht="14.5">
      <c r="B93" s="8" t="s">
        <v>101</v>
      </c>
      <c r="C93" s="31">
        <v>8757.9</v>
      </c>
      <c r="D93" s="10">
        <v>24017</v>
      </c>
      <c r="E93" s="35">
        <f t="shared" si="3"/>
        <v>2.7423240731225524</v>
      </c>
      <c r="F93" s="12">
        <v>300</v>
      </c>
      <c r="G93" s="36">
        <f t="shared" si="4"/>
        <v>80.056666666666672</v>
      </c>
      <c r="H93" s="35">
        <v>2246.9429999999998</v>
      </c>
      <c r="I93" s="35">
        <f t="shared" si="5"/>
        <v>93.556355914560513</v>
      </c>
    </row>
    <row r="94" spans="2:9" ht="14.5">
      <c r="B94" s="2" t="s">
        <v>11</v>
      </c>
      <c r="C94" s="29">
        <v>17928.8</v>
      </c>
      <c r="D94" s="10">
        <v>14092</v>
      </c>
      <c r="E94" s="35">
        <f t="shared" si="3"/>
        <v>0.78599794743652673</v>
      </c>
      <c r="F94" s="12">
        <v>222</v>
      </c>
      <c r="G94" s="36">
        <f t="shared" si="4"/>
        <v>63.477477477477478</v>
      </c>
      <c r="H94" s="35">
        <v>2899.4</v>
      </c>
      <c r="I94" s="35">
        <f t="shared" si="5"/>
        <v>205.74794209480555</v>
      </c>
    </row>
    <row r="95" spans="2:9" ht="14.5">
      <c r="B95" s="8" t="s">
        <v>12</v>
      </c>
      <c r="C95" s="29">
        <v>8.6999999999999993</v>
      </c>
      <c r="D95" s="10">
        <v>30276</v>
      </c>
      <c r="E95" s="35">
        <f t="shared" si="3"/>
        <v>3480.0000000000005</v>
      </c>
      <c r="F95" s="12">
        <v>174</v>
      </c>
      <c r="G95" s="36">
        <f t="shared" si="4"/>
        <v>174</v>
      </c>
      <c r="H95" s="35">
        <v>96.6</v>
      </c>
      <c r="I95" s="35">
        <f t="shared" si="5"/>
        <v>3.1906460562822034</v>
      </c>
    </row>
    <row r="96" spans="2:9" ht="14.5">
      <c r="B96" s="1" t="s">
        <v>13</v>
      </c>
      <c r="C96" s="29">
        <v>4344</v>
      </c>
      <c r="D96" s="10">
        <v>7466</v>
      </c>
      <c r="E96" s="35">
        <f t="shared" si="3"/>
        <v>1.7186924493554327</v>
      </c>
      <c r="F96" s="12">
        <v>91</v>
      </c>
      <c r="G96" s="36">
        <f t="shared" si="4"/>
        <v>82.043956043956044</v>
      </c>
      <c r="H96" s="35">
        <v>1422.9530000000002</v>
      </c>
      <c r="I96" s="35">
        <f t="shared" si="5"/>
        <v>190.59107956067507</v>
      </c>
    </row>
    <row r="97" spans="2:9" ht="14.5">
      <c r="B97" s="1" t="s">
        <v>14</v>
      </c>
      <c r="C97" s="29">
        <v>3507.1</v>
      </c>
      <c r="D97" s="10">
        <v>2528</v>
      </c>
      <c r="E97" s="35">
        <f t="shared" si="3"/>
        <v>0.72082347238459132</v>
      </c>
      <c r="F97" s="12">
        <v>39</v>
      </c>
      <c r="G97" s="36">
        <f t="shared" si="4"/>
        <v>64.820512820512818</v>
      </c>
      <c r="H97" s="35">
        <v>613.08999999999992</v>
      </c>
      <c r="I97" s="35">
        <f t="shared" si="5"/>
        <v>242.51977848101262</v>
      </c>
    </row>
    <row r="98" spans="2:9" ht="14.5">
      <c r="B98" s="2" t="s">
        <v>15</v>
      </c>
      <c r="C98" s="29">
        <v>3407.1</v>
      </c>
      <c r="D98" s="10">
        <v>17045</v>
      </c>
      <c r="E98" s="35">
        <f t="shared" si="3"/>
        <v>5.0027882950309648</v>
      </c>
      <c r="F98" s="12">
        <v>158</v>
      </c>
      <c r="G98" s="36">
        <f t="shared" si="4"/>
        <v>107.87974683544304</v>
      </c>
      <c r="H98" s="35">
        <v>621.99000000000012</v>
      </c>
      <c r="I98" s="35">
        <f t="shared" si="5"/>
        <v>36.491053094749198</v>
      </c>
    </row>
    <row r="99" spans="2:9" ht="14.5">
      <c r="B99" s="2" t="s">
        <v>16</v>
      </c>
      <c r="C99" s="29">
        <v>1492.8</v>
      </c>
      <c r="D99" s="10">
        <v>19655</v>
      </c>
      <c r="E99" s="35">
        <f t="shared" si="3"/>
        <v>13.166532690246518</v>
      </c>
      <c r="F99" s="12">
        <v>107.94</v>
      </c>
      <c r="G99" s="36">
        <f t="shared" si="4"/>
        <v>182.09190290902353</v>
      </c>
      <c r="H99" s="35">
        <v>708.13</v>
      </c>
      <c r="I99" s="35">
        <f t="shared" si="5"/>
        <v>36.027982701602646</v>
      </c>
    </row>
    <row r="100" spans="2:9" ht="14.5">
      <c r="B100" s="2" t="s">
        <v>17</v>
      </c>
      <c r="C100" s="29">
        <v>13027.8</v>
      </c>
      <c r="D100" s="10">
        <v>13764</v>
      </c>
      <c r="E100" s="35">
        <f t="shared" si="3"/>
        <v>1.0565099249297656</v>
      </c>
      <c r="F100" s="12">
        <v>162</v>
      </c>
      <c r="G100" s="36">
        <f t="shared" si="4"/>
        <v>84.962962962962962</v>
      </c>
      <c r="H100" s="35">
        <v>2316.58</v>
      </c>
      <c r="I100" s="35">
        <f t="shared" si="5"/>
        <v>168.30717814588783</v>
      </c>
    </row>
    <row r="101" spans="2:9" ht="14.5">
      <c r="B101" s="1" t="s">
        <v>18</v>
      </c>
      <c r="C101" s="6">
        <v>4116.8999999999996</v>
      </c>
      <c r="D101" s="10">
        <v>5961</v>
      </c>
      <c r="E101" s="35">
        <f t="shared" si="3"/>
        <v>1.4479341251912847</v>
      </c>
      <c r="F101" s="12">
        <v>119</v>
      </c>
      <c r="G101" s="36">
        <f t="shared" si="4"/>
        <v>50.092436974789919</v>
      </c>
      <c r="H101" s="35">
        <v>1555.5909999999999</v>
      </c>
      <c r="I101" s="35">
        <f t="shared" si="5"/>
        <v>260.96141586982048</v>
      </c>
    </row>
    <row r="102" spans="2:9" ht="14.5">
      <c r="B102" s="3" t="s">
        <v>19</v>
      </c>
      <c r="C102" s="29">
        <v>5224</v>
      </c>
      <c r="D102" s="10">
        <v>6854</v>
      </c>
      <c r="E102" s="35">
        <f t="shared" si="3"/>
        <v>1.3120214395099541</v>
      </c>
      <c r="F102" s="12">
        <v>80</v>
      </c>
      <c r="G102" s="36">
        <f t="shared" si="4"/>
        <v>85.674999999999997</v>
      </c>
      <c r="H102" s="35">
        <v>1571.7900000000002</v>
      </c>
      <c r="I102" s="35">
        <f t="shared" si="5"/>
        <v>229.32448205427491</v>
      </c>
    </row>
    <row r="103" spans="2:9" ht="14.5">
      <c r="B103" s="2" t="s">
        <v>20</v>
      </c>
      <c r="C103" s="29">
        <v>214</v>
      </c>
      <c r="D103" s="10">
        <v>160021</v>
      </c>
      <c r="E103" s="35">
        <f t="shared" si="3"/>
        <v>747.76168224299067</v>
      </c>
      <c r="F103" s="12">
        <v>867</v>
      </c>
      <c r="G103" s="36">
        <f t="shared" si="4"/>
        <v>184.56862745098039</v>
      </c>
      <c r="H103" s="35">
        <v>874.96</v>
      </c>
      <c r="I103" s="35">
        <f t="shared" si="5"/>
        <v>5.4677823535660952</v>
      </c>
    </row>
    <row r="104" spans="2:9" ht="14.5">
      <c r="B104" s="1" t="s">
        <v>21</v>
      </c>
      <c r="C104" s="29">
        <v>10.5</v>
      </c>
      <c r="D104" s="10">
        <v>71025</v>
      </c>
      <c r="E104" s="35">
        <f t="shared" si="3"/>
        <v>6764.2857142857147</v>
      </c>
      <c r="F104" s="12">
        <v>391</v>
      </c>
      <c r="G104" s="36">
        <f t="shared" si="4"/>
        <v>181.64961636828644</v>
      </c>
      <c r="H104" s="35">
        <v>152.5</v>
      </c>
      <c r="I104" s="35">
        <f t="shared" si="5"/>
        <v>2.1471312917986625</v>
      </c>
    </row>
    <row r="105" spans="2:9" ht="14.5">
      <c r="B105" s="3" t="s">
        <v>22</v>
      </c>
      <c r="C105" s="6">
        <v>3628</v>
      </c>
      <c r="D105" s="10">
        <v>5327</v>
      </c>
      <c r="E105" s="35">
        <f t="shared" si="3"/>
        <v>1.4683020948180816</v>
      </c>
      <c r="F105" s="12">
        <v>72</v>
      </c>
      <c r="G105" s="36">
        <f t="shared" si="4"/>
        <v>73.986111111111114</v>
      </c>
      <c r="H105" s="35">
        <v>951.66</v>
      </c>
      <c r="I105" s="35">
        <f t="shared" si="5"/>
        <v>178.6483949690257</v>
      </c>
    </row>
    <row r="106" spans="2:9" ht="14.5">
      <c r="B106" s="3" t="s">
        <v>23</v>
      </c>
      <c r="C106" s="29">
        <v>284.10000000000002</v>
      </c>
      <c r="D106" s="10">
        <v>41431</v>
      </c>
      <c r="E106" s="35">
        <f t="shared" si="3"/>
        <v>145.83245336149241</v>
      </c>
      <c r="F106" s="12">
        <v>377</v>
      </c>
      <c r="G106" s="36">
        <f t="shared" si="4"/>
        <v>109.89655172413794</v>
      </c>
      <c r="H106" s="35">
        <v>484.01900000000001</v>
      </c>
      <c r="I106" s="35">
        <f t="shared" si="5"/>
        <v>11.682532403272912</v>
      </c>
    </row>
    <row r="107" spans="2:9" ht="14.5">
      <c r="B107" s="1" t="s">
        <v>24</v>
      </c>
      <c r="C107" s="29">
        <v>5146.7</v>
      </c>
      <c r="D107" s="10">
        <v>15510</v>
      </c>
      <c r="E107" s="35">
        <f t="shared" si="3"/>
        <v>3.0135815182544157</v>
      </c>
      <c r="F107" s="12">
        <v>120</v>
      </c>
      <c r="G107" s="36">
        <f t="shared" si="4"/>
        <v>129.25</v>
      </c>
      <c r="H107" s="35">
        <v>1301.43</v>
      </c>
      <c r="I107" s="35">
        <f t="shared" si="5"/>
        <v>83.909090909090921</v>
      </c>
    </row>
    <row r="108" spans="2:9" ht="14.5">
      <c r="B108" s="3" t="s">
        <v>25</v>
      </c>
      <c r="C108" s="29">
        <v>5958.1</v>
      </c>
      <c r="D108" s="10">
        <v>15217</v>
      </c>
      <c r="E108" s="35">
        <f t="shared" si="3"/>
        <v>2.5540021147681307</v>
      </c>
      <c r="F108" s="12">
        <v>165</v>
      </c>
      <c r="G108" s="36">
        <f t="shared" si="4"/>
        <v>92.224242424242419</v>
      </c>
      <c r="H108" s="35">
        <v>2127.38</v>
      </c>
      <c r="I108" s="35">
        <f t="shared" si="5"/>
        <v>139.80285207333904</v>
      </c>
    </row>
    <row r="109" spans="2:9" ht="14.5">
      <c r="B109" s="1" t="s">
        <v>318</v>
      </c>
      <c r="C109" s="29">
        <v>61.4</v>
      </c>
      <c r="D109" s="10">
        <v>189932</v>
      </c>
      <c r="E109" s="35">
        <f t="shared" si="3"/>
        <v>3093.3550488599349</v>
      </c>
      <c r="F109" s="12">
        <v>790.5</v>
      </c>
      <c r="G109" s="36">
        <f t="shared" si="4"/>
        <v>240.26818469323214</v>
      </c>
      <c r="H109" s="35">
        <v>558.56899999999996</v>
      </c>
      <c r="I109" s="35">
        <f t="shared" si="5"/>
        <v>2.940889370932755</v>
      </c>
    </row>
    <row r="110" spans="2:9" ht="14.5">
      <c r="B110" s="1" t="s">
        <v>315</v>
      </c>
      <c r="C110" s="32">
        <v>404.8</v>
      </c>
      <c r="D110" s="10">
        <v>194134</v>
      </c>
      <c r="E110" s="35">
        <f t="shared" si="3"/>
        <v>479.58003952569169</v>
      </c>
      <c r="F110" s="12">
        <v>1055.5</v>
      </c>
      <c r="G110" s="36">
        <f t="shared" si="4"/>
        <v>183.92610137375652</v>
      </c>
      <c r="H110" s="35">
        <v>1071.98</v>
      </c>
      <c r="I110" s="35">
        <f t="shared" si="5"/>
        <v>5.5218560375822889</v>
      </c>
    </row>
    <row r="111" spans="2:9" ht="14.5">
      <c r="B111" s="8" t="s">
        <v>26</v>
      </c>
      <c r="C111" s="29">
        <v>90.4</v>
      </c>
      <c r="D111" s="10">
        <v>63338</v>
      </c>
      <c r="E111" s="35">
        <f t="shared" si="3"/>
        <v>700.6415929203539</v>
      </c>
      <c r="F111" s="12">
        <v>302</v>
      </c>
      <c r="G111" s="36">
        <f t="shared" si="4"/>
        <v>209.72847682119206</v>
      </c>
      <c r="H111" s="35">
        <v>254.47</v>
      </c>
      <c r="I111" s="35">
        <f t="shared" si="5"/>
        <v>4.0176513309545614</v>
      </c>
    </row>
    <row r="112" spans="2:9" ht="25">
      <c r="B112" s="2" t="s">
        <v>58</v>
      </c>
      <c r="C112" s="6">
        <v>3686</v>
      </c>
      <c r="D112" s="10">
        <v>77481</v>
      </c>
      <c r="E112" s="35">
        <f t="shared" si="3"/>
        <v>21.020347259902334</v>
      </c>
      <c r="F112" s="12">
        <v>492</v>
      </c>
      <c r="G112" s="36">
        <f t="shared" si="4"/>
        <v>157.48170731707316</v>
      </c>
      <c r="H112" s="35">
        <v>1321.8689999999999</v>
      </c>
      <c r="I112" s="35">
        <f t="shared" si="5"/>
        <v>17.060556781662601</v>
      </c>
    </row>
    <row r="113" spans="2:9" ht="14.5">
      <c r="B113" s="2" t="s">
        <v>59</v>
      </c>
      <c r="C113" s="29">
        <v>859</v>
      </c>
      <c r="D113" s="10">
        <v>69728</v>
      </c>
      <c r="E113" s="35">
        <f t="shared" si="3"/>
        <v>81.173457508731076</v>
      </c>
      <c r="F113" s="12">
        <v>419</v>
      </c>
      <c r="G113" s="36">
        <f t="shared" si="4"/>
        <v>166.41527446300717</v>
      </c>
      <c r="H113" s="35">
        <v>718.56</v>
      </c>
      <c r="I113" s="35">
        <f t="shared" si="5"/>
        <v>10.305185865075723</v>
      </c>
    </row>
    <row r="114" spans="2:9" ht="14.5">
      <c r="B114" s="1" t="s">
        <v>60</v>
      </c>
      <c r="C114" s="29">
        <v>172.4</v>
      </c>
      <c r="D114" s="10">
        <v>40858</v>
      </c>
      <c r="E114" s="35">
        <f t="shared" si="3"/>
        <v>236.9953596287703</v>
      </c>
      <c r="F114" s="12">
        <v>278</v>
      </c>
      <c r="G114" s="36">
        <f t="shared" si="4"/>
        <v>146.97122302158274</v>
      </c>
      <c r="H114" s="35">
        <v>310.65000000000003</v>
      </c>
      <c r="I114" s="35">
        <f t="shared" si="5"/>
        <v>7.6031621714229782</v>
      </c>
    </row>
    <row r="115" spans="2:9" ht="14.5">
      <c r="B115" s="8" t="s">
        <v>305</v>
      </c>
      <c r="C115" s="29">
        <v>36.299999999999997</v>
      </c>
      <c r="D115" s="10">
        <v>143776</v>
      </c>
      <c r="E115" s="35">
        <f t="shared" si="3"/>
        <v>3960.7713498622593</v>
      </c>
      <c r="F115" s="12">
        <v>530</v>
      </c>
      <c r="G115" s="36">
        <f t="shared" si="4"/>
        <v>271.27547169811322</v>
      </c>
      <c r="H115" s="35">
        <v>302.89999999999998</v>
      </c>
      <c r="I115" s="35">
        <f t="shared" si="5"/>
        <v>2.1067493879367905</v>
      </c>
    </row>
    <row r="116" spans="2:9" ht="14.5">
      <c r="B116" s="2" t="s">
        <v>61</v>
      </c>
      <c r="C116" s="29">
        <v>3051.4</v>
      </c>
      <c r="D116" s="10">
        <v>22983</v>
      </c>
      <c r="E116" s="35">
        <f t="shared" si="3"/>
        <v>7.5319525463721568</v>
      </c>
      <c r="F116" s="12">
        <v>244</v>
      </c>
      <c r="G116" s="36">
        <f t="shared" si="4"/>
        <v>94.192622950819668</v>
      </c>
      <c r="H116" s="35">
        <v>1084.45</v>
      </c>
      <c r="I116" s="35">
        <f t="shared" si="5"/>
        <v>47.184875777748772</v>
      </c>
    </row>
    <row r="117" spans="2:9" ht="14.5">
      <c r="B117" s="8" t="s">
        <v>306</v>
      </c>
      <c r="C117" s="29">
        <v>28.2</v>
      </c>
      <c r="D117" s="10">
        <v>108072</v>
      </c>
      <c r="E117" s="35">
        <f t="shared" si="3"/>
        <v>3832.3404255319151</v>
      </c>
      <c r="F117" s="12">
        <v>361</v>
      </c>
      <c r="G117" s="36">
        <f t="shared" si="4"/>
        <v>299.36842105263156</v>
      </c>
      <c r="H117" s="35">
        <v>284.25</v>
      </c>
      <c r="I117" s="35">
        <f t="shared" si="5"/>
        <v>2.6301909837885855</v>
      </c>
    </row>
    <row r="118" spans="2:9" ht="14.5">
      <c r="B118" s="1" t="s">
        <v>27</v>
      </c>
      <c r="C118" s="29">
        <v>40.5</v>
      </c>
      <c r="D118" s="10">
        <v>114598</v>
      </c>
      <c r="E118" s="35">
        <f t="shared" si="3"/>
        <v>2829.5802469135801</v>
      </c>
      <c r="F118" s="12">
        <v>441</v>
      </c>
      <c r="G118" s="36">
        <f t="shared" si="4"/>
        <v>259.85941043083898</v>
      </c>
      <c r="H118" s="35">
        <v>318.49</v>
      </c>
      <c r="I118" s="35">
        <f t="shared" si="5"/>
        <v>2.7791933541597587</v>
      </c>
    </row>
    <row r="119" spans="2:9" ht="14.5">
      <c r="B119" s="2" t="s">
        <v>28</v>
      </c>
      <c r="C119" s="29">
        <v>147.4</v>
      </c>
      <c r="D119" s="10">
        <v>68762</v>
      </c>
      <c r="E119" s="35">
        <f t="shared" si="3"/>
        <v>466.49932157394841</v>
      </c>
      <c r="F119" s="12">
        <v>344</v>
      </c>
      <c r="G119" s="36">
        <f t="shared" si="4"/>
        <v>199.88953488372093</v>
      </c>
      <c r="H119" s="35">
        <v>388.23</v>
      </c>
      <c r="I119" s="35">
        <f t="shared" si="5"/>
        <v>5.6459963351851314</v>
      </c>
    </row>
    <row r="120" spans="2:9" ht="14.5">
      <c r="B120" s="2" t="s">
        <v>29</v>
      </c>
      <c r="C120" s="29">
        <v>4530.6000000000004</v>
      </c>
      <c r="D120" s="10">
        <v>99016</v>
      </c>
      <c r="E120" s="35">
        <f t="shared" si="3"/>
        <v>21.854941950293558</v>
      </c>
      <c r="F120" s="12">
        <v>756</v>
      </c>
      <c r="G120" s="36">
        <f t="shared" si="4"/>
        <v>130.97354497354496</v>
      </c>
      <c r="H120" s="35">
        <v>1731.8969999999997</v>
      </c>
      <c r="I120" s="35">
        <f t="shared" si="5"/>
        <v>17.491082249333438</v>
      </c>
    </row>
    <row r="121" spans="2:9" ht="14.5">
      <c r="B121" s="2" t="s">
        <v>30</v>
      </c>
      <c r="C121" s="29">
        <v>4895.6000000000004</v>
      </c>
      <c r="D121" s="10">
        <v>23884</v>
      </c>
      <c r="E121" s="35">
        <f t="shared" si="3"/>
        <v>4.8786665577253041</v>
      </c>
      <c r="F121" s="12">
        <v>201</v>
      </c>
      <c r="G121" s="36">
        <f t="shared" si="4"/>
        <v>118.82587064676616</v>
      </c>
      <c r="H121" s="35">
        <v>845.43</v>
      </c>
      <c r="I121" s="35">
        <f t="shared" si="5"/>
        <v>35.397337129459046</v>
      </c>
    </row>
    <row r="122" spans="2:9" ht="14.5">
      <c r="B122" s="1" t="s">
        <v>31</v>
      </c>
      <c r="C122" s="29">
        <v>6029</v>
      </c>
      <c r="D122" s="10">
        <v>8069</v>
      </c>
      <c r="E122" s="35">
        <f t="shared" si="3"/>
        <v>1.3383645712390115</v>
      </c>
      <c r="F122" s="12">
        <v>129.4</v>
      </c>
      <c r="G122" s="36">
        <f t="shared" si="4"/>
        <v>62.357032457496132</v>
      </c>
      <c r="H122" s="35">
        <v>895.64</v>
      </c>
      <c r="I122" s="35">
        <f t="shared" si="5"/>
        <v>110.99764530920807</v>
      </c>
    </row>
    <row r="123" spans="2:9" ht="14.5">
      <c r="B123" s="1" t="s">
        <v>69</v>
      </c>
      <c r="C123" s="6">
        <v>13.9</v>
      </c>
      <c r="D123" s="10">
        <v>39481</v>
      </c>
      <c r="E123" s="35">
        <f t="shared" si="3"/>
        <v>2840.3597122302158</v>
      </c>
      <c r="F123" s="12">
        <v>137</v>
      </c>
      <c r="G123" s="36">
        <f t="shared" si="4"/>
        <v>288.18248175182481</v>
      </c>
      <c r="H123" s="35">
        <v>97.02000000000001</v>
      </c>
      <c r="I123" s="35">
        <f t="shared" si="5"/>
        <v>2.4573845647273376</v>
      </c>
    </row>
    <row r="124" spans="2:9" ht="14.5">
      <c r="B124" s="8" t="s">
        <v>307</v>
      </c>
      <c r="C124" s="6">
        <v>370</v>
      </c>
      <c r="D124" s="10">
        <v>225070</v>
      </c>
      <c r="E124" s="35">
        <f t="shared" si="3"/>
        <v>608.29729729729729</v>
      </c>
      <c r="F124" s="12">
        <v>1018</v>
      </c>
      <c r="G124" s="36">
        <f t="shared" si="4"/>
        <v>221.09037328094303</v>
      </c>
      <c r="H124" s="35">
        <v>817.99999999999989</v>
      </c>
      <c r="I124" s="35">
        <f t="shared" si="5"/>
        <v>3.6344248456035895</v>
      </c>
    </row>
    <row r="125" spans="2:9" ht="14.5">
      <c r="B125" s="3" t="s">
        <v>70</v>
      </c>
      <c r="C125" s="6">
        <v>26.7</v>
      </c>
      <c r="D125" s="10">
        <v>198331</v>
      </c>
      <c r="E125" s="35">
        <f t="shared" si="3"/>
        <v>7428.1273408239704</v>
      </c>
      <c r="F125" s="12">
        <v>1803.5</v>
      </c>
      <c r="G125" s="36">
        <f t="shared" si="4"/>
        <v>109.97005822012753</v>
      </c>
      <c r="H125" s="35">
        <v>329.37</v>
      </c>
      <c r="I125" s="35">
        <f t="shared" si="5"/>
        <v>1.6607086133786448</v>
      </c>
    </row>
    <row r="126" spans="2:9" ht="14.5">
      <c r="B126" s="2" t="s">
        <v>71</v>
      </c>
      <c r="C126" s="29">
        <v>9893.6</v>
      </c>
      <c r="D126" s="18">
        <v>60495</v>
      </c>
      <c r="E126" s="35">
        <f t="shared" si="3"/>
        <v>6.1145589067680115</v>
      </c>
      <c r="F126" s="17">
        <v>496</v>
      </c>
      <c r="G126" s="36">
        <f t="shared" si="4"/>
        <v>121.96572580645162</v>
      </c>
      <c r="H126" s="35">
        <v>3185.8499999999995</v>
      </c>
      <c r="I126" s="35">
        <f t="shared" si="5"/>
        <v>52.663030002479537</v>
      </c>
    </row>
    <row r="127" spans="2:9" ht="14.5">
      <c r="B127" s="1" t="s">
        <v>72</v>
      </c>
      <c r="C127" s="29">
        <v>2802.6</v>
      </c>
      <c r="D127" s="10">
        <v>6050</v>
      </c>
      <c r="E127" s="35">
        <f t="shared" si="3"/>
        <v>2.1587097694997501</v>
      </c>
      <c r="F127" s="12">
        <v>88</v>
      </c>
      <c r="G127" s="36">
        <f t="shared" si="4"/>
        <v>68.75</v>
      </c>
      <c r="H127" s="35">
        <v>1240.1599999999999</v>
      </c>
      <c r="I127" s="35">
        <f t="shared" si="5"/>
        <v>204.98512396694213</v>
      </c>
    </row>
    <row r="128" spans="2:9" ht="14.5">
      <c r="B128" s="2" t="s">
        <v>73</v>
      </c>
      <c r="C128" s="29">
        <v>7332.1</v>
      </c>
      <c r="D128" s="10">
        <v>6980</v>
      </c>
      <c r="E128" s="35">
        <f t="shared" si="3"/>
        <v>0.9519782872574023</v>
      </c>
      <c r="F128" s="12">
        <v>94</v>
      </c>
      <c r="G128" s="36">
        <f t="shared" si="4"/>
        <v>74.255319148936167</v>
      </c>
      <c r="H128" s="35">
        <v>1689.1879999999999</v>
      </c>
      <c r="I128" s="35">
        <f t="shared" si="5"/>
        <v>242.00401146131802</v>
      </c>
    </row>
    <row r="129" spans="2:9" ht="14.5">
      <c r="B129" s="1" t="s">
        <v>74</v>
      </c>
      <c r="C129" s="29">
        <v>4391</v>
      </c>
      <c r="D129" s="10">
        <v>3578</v>
      </c>
      <c r="E129" s="35">
        <f t="shared" si="3"/>
        <v>0.81484855386016852</v>
      </c>
      <c r="F129" s="12">
        <v>90</v>
      </c>
      <c r="G129" s="36">
        <f t="shared" si="4"/>
        <v>39.755555555555553</v>
      </c>
      <c r="H129" s="35">
        <v>556.44000000000005</v>
      </c>
      <c r="I129" s="35">
        <f t="shared" si="5"/>
        <v>155.51704863051987</v>
      </c>
    </row>
    <row r="130" spans="2:9" ht="14.5">
      <c r="B130" s="1" t="s">
        <v>75</v>
      </c>
      <c r="C130" s="29">
        <v>4566.5</v>
      </c>
      <c r="D130" s="10">
        <v>11375</v>
      </c>
      <c r="E130" s="35">
        <f t="shared" si="3"/>
        <v>2.4909668236067009</v>
      </c>
      <c r="F130" s="12">
        <v>130</v>
      </c>
      <c r="G130" s="36">
        <f t="shared" si="4"/>
        <v>87.5</v>
      </c>
      <c r="H130" s="35">
        <v>635.29999999999995</v>
      </c>
      <c r="I130" s="35">
        <f t="shared" si="5"/>
        <v>55.850549450549444</v>
      </c>
    </row>
    <row r="131" spans="2:9" ht="14.5">
      <c r="B131" s="2" t="s">
        <v>76</v>
      </c>
      <c r="C131" s="29">
        <v>1309.4000000000001</v>
      </c>
      <c r="D131" s="10">
        <v>91210</v>
      </c>
      <c r="E131" s="35">
        <f t="shared" si="3"/>
        <v>69.657858561173057</v>
      </c>
      <c r="F131" s="12">
        <v>675</v>
      </c>
      <c r="G131" s="36">
        <f t="shared" si="4"/>
        <v>135.12592592592591</v>
      </c>
      <c r="H131" s="35">
        <v>1245</v>
      </c>
      <c r="I131" s="35">
        <f t="shared" si="5"/>
        <v>13.649819098783029</v>
      </c>
    </row>
    <row r="132" spans="2:9" ht="14.5">
      <c r="B132" s="2" t="s">
        <v>77</v>
      </c>
      <c r="C132" s="29">
        <v>8100</v>
      </c>
      <c r="D132" s="10">
        <v>14658</v>
      </c>
      <c r="E132" s="35">
        <f t="shared" ref="E132:E154" si="6">D132/C132</f>
        <v>1.8096296296296297</v>
      </c>
      <c r="F132" s="12">
        <v>198</v>
      </c>
      <c r="G132" s="36">
        <f t="shared" ref="G132:G154" si="7">D132/F132</f>
        <v>74.030303030303031</v>
      </c>
      <c r="H132" s="35">
        <v>1769.4999999999998</v>
      </c>
      <c r="I132" s="35">
        <f t="shared" ref="I132:I154" si="8">((H132)/(D132/1000))</f>
        <v>120.71906126347386</v>
      </c>
    </row>
    <row r="133" spans="2:9" ht="14.5">
      <c r="B133" s="1" t="s">
        <v>78</v>
      </c>
      <c r="C133" s="29">
        <v>7228.8</v>
      </c>
      <c r="D133" s="10">
        <v>7761</v>
      </c>
      <c r="E133" s="35">
        <f t="shared" si="6"/>
        <v>1.0736221779548472</v>
      </c>
      <c r="F133" s="12">
        <v>133</v>
      </c>
      <c r="G133" s="36">
        <f t="shared" si="7"/>
        <v>58.353383458646618</v>
      </c>
      <c r="H133" s="35">
        <v>1985.3999999999999</v>
      </c>
      <c r="I133" s="35">
        <f t="shared" si="8"/>
        <v>255.81754928488596</v>
      </c>
    </row>
    <row r="134" spans="2:9" ht="14.5">
      <c r="B134" s="2" t="s">
        <v>79</v>
      </c>
      <c r="C134" s="29">
        <v>3229.8</v>
      </c>
      <c r="D134" s="10">
        <v>6408</v>
      </c>
      <c r="E134" s="35">
        <f t="shared" si="6"/>
        <v>1.98402377856214</v>
      </c>
      <c r="F134" s="12">
        <v>114</v>
      </c>
      <c r="G134" s="36">
        <f t="shared" si="7"/>
        <v>56.210526315789473</v>
      </c>
      <c r="H134" s="35">
        <v>961.1</v>
      </c>
      <c r="I134" s="35">
        <f t="shared" si="8"/>
        <v>149.98439450686641</v>
      </c>
    </row>
    <row r="135" spans="2:9" ht="14.5">
      <c r="B135" s="1" t="s">
        <v>80</v>
      </c>
      <c r="C135" s="29">
        <v>3356</v>
      </c>
      <c r="D135" s="10">
        <v>1147</v>
      </c>
      <c r="E135" s="35">
        <f t="shared" si="6"/>
        <v>0.34177592371871274</v>
      </c>
      <c r="F135" s="12">
        <v>35</v>
      </c>
      <c r="G135" s="36">
        <f t="shared" si="7"/>
        <v>32.771428571428572</v>
      </c>
      <c r="H135" s="35">
        <v>984.65</v>
      </c>
      <c r="I135" s="35">
        <f t="shared" si="8"/>
        <v>858.45684394071486</v>
      </c>
    </row>
    <row r="136" spans="2:9" ht="14.5">
      <c r="B136" s="1" t="s">
        <v>81</v>
      </c>
      <c r="C136" s="29">
        <v>4825.8999999999996</v>
      </c>
      <c r="D136" s="10">
        <v>62799</v>
      </c>
      <c r="E136" s="35">
        <f t="shared" si="6"/>
        <v>13.012909509107111</v>
      </c>
      <c r="F136" s="12">
        <v>451.35</v>
      </c>
      <c r="G136" s="36">
        <f t="shared" si="7"/>
        <v>139.13592555666332</v>
      </c>
      <c r="H136" s="35">
        <v>2291.114</v>
      </c>
      <c r="I136" s="35">
        <f t="shared" si="8"/>
        <v>36.483287950445074</v>
      </c>
    </row>
    <row r="137" spans="2:9" ht="14.5">
      <c r="B137" s="1" t="s">
        <v>82</v>
      </c>
      <c r="C137" s="29">
        <v>7520.8</v>
      </c>
      <c r="D137" s="10">
        <v>3990</v>
      </c>
      <c r="E137" s="35">
        <f t="shared" si="6"/>
        <v>0.53052866716306779</v>
      </c>
      <c r="F137" s="12">
        <v>74</v>
      </c>
      <c r="G137" s="36">
        <f t="shared" si="7"/>
        <v>53.918918918918919</v>
      </c>
      <c r="H137" s="35">
        <v>1571.83</v>
      </c>
      <c r="I137" s="35">
        <f t="shared" si="8"/>
        <v>393.9423558897243</v>
      </c>
    </row>
    <row r="138" spans="2:9" ht="14.5">
      <c r="B138" s="2" t="s">
        <v>39</v>
      </c>
      <c r="C138" s="29">
        <v>6266.9</v>
      </c>
      <c r="D138" s="10">
        <v>3098</v>
      </c>
      <c r="E138" s="35">
        <f t="shared" si="6"/>
        <v>0.49434329572835056</v>
      </c>
      <c r="F138" s="12">
        <v>68.36</v>
      </c>
      <c r="G138" s="36">
        <f t="shared" si="7"/>
        <v>45.318899941486251</v>
      </c>
      <c r="H138" s="35">
        <v>931.63000000000011</v>
      </c>
      <c r="I138" s="35">
        <f t="shared" si="8"/>
        <v>300.71981923821824</v>
      </c>
    </row>
    <row r="139" spans="2:9" ht="14.5">
      <c r="B139" s="3" t="s">
        <v>40</v>
      </c>
      <c r="C139" s="29">
        <v>22334.799999999999</v>
      </c>
      <c r="D139" s="10">
        <v>6840</v>
      </c>
      <c r="E139" s="35">
        <f t="shared" si="6"/>
        <v>0.30624854487168007</v>
      </c>
      <c r="F139" s="12">
        <v>129</v>
      </c>
      <c r="G139" s="36">
        <f t="shared" si="7"/>
        <v>53.02325581395349</v>
      </c>
      <c r="H139" s="35">
        <v>2374.922</v>
      </c>
      <c r="I139" s="35">
        <f t="shared" si="8"/>
        <v>347.21081871345029</v>
      </c>
    </row>
    <row r="140" spans="2:9" ht="14.5">
      <c r="B140" s="3" t="s">
        <v>41</v>
      </c>
      <c r="C140" s="6">
        <v>10763</v>
      </c>
      <c r="D140" s="10">
        <v>2921</v>
      </c>
      <c r="E140" s="35">
        <f t="shared" si="6"/>
        <v>0.27139273436774136</v>
      </c>
      <c r="F140" s="12">
        <v>73</v>
      </c>
      <c r="G140" s="36">
        <f t="shared" si="7"/>
        <v>40.013698630136986</v>
      </c>
      <c r="H140" s="35">
        <v>1323.96</v>
      </c>
      <c r="I140" s="35">
        <f t="shared" si="8"/>
        <v>453.25573433755568</v>
      </c>
    </row>
    <row r="141" spans="2:9" ht="14.5">
      <c r="B141" s="8" t="s">
        <v>42</v>
      </c>
      <c r="C141" s="29">
        <v>149.4</v>
      </c>
      <c r="D141" s="10">
        <v>155289</v>
      </c>
      <c r="E141" s="35">
        <f t="shared" si="6"/>
        <v>1039.4176706827309</v>
      </c>
      <c r="F141" s="12">
        <v>589</v>
      </c>
      <c r="G141" s="36">
        <f t="shared" si="7"/>
        <v>263.64855687606109</v>
      </c>
      <c r="H141" s="35">
        <v>486.96999999999997</v>
      </c>
      <c r="I141" s="35">
        <f t="shared" si="8"/>
        <v>3.1358950086612705</v>
      </c>
    </row>
    <row r="142" spans="2:9" ht="14.5">
      <c r="B142" s="3" t="s">
        <v>43</v>
      </c>
      <c r="C142" s="29">
        <v>12381.3</v>
      </c>
      <c r="D142" s="10">
        <v>9786</v>
      </c>
      <c r="E142" s="35">
        <f t="shared" si="6"/>
        <v>0.79038550071478764</v>
      </c>
      <c r="F142" s="12">
        <v>183</v>
      </c>
      <c r="G142" s="36">
        <f t="shared" si="7"/>
        <v>53.475409836065573</v>
      </c>
      <c r="H142" s="35">
        <v>2667.7100000000005</v>
      </c>
      <c r="I142" s="35">
        <f t="shared" si="8"/>
        <v>272.60474146740245</v>
      </c>
    </row>
    <row r="143" spans="2:9" ht="14.5">
      <c r="B143" s="8" t="s">
        <v>44</v>
      </c>
      <c r="C143" s="29">
        <v>9.1999999999999993</v>
      </c>
      <c r="D143" s="10">
        <v>71769</v>
      </c>
      <c r="E143" s="35">
        <f t="shared" si="6"/>
        <v>7800.9782608695659</v>
      </c>
      <c r="F143" s="12">
        <v>600.1</v>
      </c>
      <c r="G143" s="36">
        <f t="shared" si="7"/>
        <v>119.59506748875187</v>
      </c>
      <c r="H143" s="35">
        <v>123.46</v>
      </c>
      <c r="I143" s="35">
        <f t="shared" si="8"/>
        <v>1.7202413298220678</v>
      </c>
    </row>
    <row r="144" spans="2:9" ht="14.5">
      <c r="B144" s="3" t="s">
        <v>45</v>
      </c>
      <c r="C144" s="29">
        <v>3409.6</v>
      </c>
      <c r="D144" s="10">
        <v>3709</v>
      </c>
      <c r="E144" s="35">
        <f t="shared" si="6"/>
        <v>1.0878108869075551</v>
      </c>
      <c r="F144" s="12">
        <v>57</v>
      </c>
      <c r="G144" s="36">
        <f t="shared" si="7"/>
        <v>65.070175438596493</v>
      </c>
      <c r="H144" s="35">
        <v>1093.99</v>
      </c>
      <c r="I144" s="35">
        <f t="shared" si="8"/>
        <v>294.95551361552981</v>
      </c>
    </row>
    <row r="145" spans="2:9" ht="14.5">
      <c r="B145" s="3" t="s">
        <v>46</v>
      </c>
      <c r="C145" s="29">
        <v>4112.5</v>
      </c>
      <c r="D145" s="10">
        <v>9054</v>
      </c>
      <c r="E145" s="35">
        <f t="shared" si="6"/>
        <v>2.2015805471124619</v>
      </c>
      <c r="F145" s="12">
        <v>106</v>
      </c>
      <c r="G145" s="36">
        <f t="shared" si="7"/>
        <v>85.415094339622641</v>
      </c>
      <c r="H145" s="35">
        <v>1415.6</v>
      </c>
      <c r="I145" s="35">
        <f t="shared" si="8"/>
        <v>156.35078418378615</v>
      </c>
    </row>
    <row r="146" spans="2:9" ht="14.5">
      <c r="B146" s="2" t="s">
        <v>47</v>
      </c>
      <c r="C146" s="29">
        <v>26266.9</v>
      </c>
      <c r="D146" s="10">
        <v>6884</v>
      </c>
      <c r="E146" s="35">
        <f t="shared" si="6"/>
        <v>0.2620788901621432</v>
      </c>
      <c r="F146" s="12">
        <v>102</v>
      </c>
      <c r="G146" s="36">
        <f t="shared" si="7"/>
        <v>67.490196078431367</v>
      </c>
      <c r="H146" s="35">
        <v>2318.75</v>
      </c>
      <c r="I146" s="35">
        <f t="shared" si="8"/>
        <v>336.83178384660079</v>
      </c>
    </row>
    <row r="147" spans="2:9" ht="14.5">
      <c r="B147" s="1" t="s">
        <v>48</v>
      </c>
      <c r="C147" s="29">
        <v>22.4</v>
      </c>
      <c r="D147" s="10">
        <v>74166</v>
      </c>
      <c r="E147" s="35">
        <f t="shared" si="6"/>
        <v>3310.9821428571431</v>
      </c>
      <c r="F147" s="12">
        <v>395</v>
      </c>
      <c r="G147" s="36">
        <f t="shared" si="7"/>
        <v>187.76202531645569</v>
      </c>
      <c r="H147" s="35">
        <v>211.45000000000002</v>
      </c>
      <c r="I147" s="35">
        <f t="shared" si="8"/>
        <v>2.8510368632527037</v>
      </c>
    </row>
    <row r="148" spans="2:9" ht="14.5">
      <c r="B148" s="2" t="s">
        <v>49</v>
      </c>
      <c r="C148" s="29">
        <v>2688.9</v>
      </c>
      <c r="D148" s="9">
        <v>47584</v>
      </c>
      <c r="E148" s="35">
        <f t="shared" si="6"/>
        <v>17.696455799769421</v>
      </c>
      <c r="F148" s="22">
        <v>367</v>
      </c>
      <c r="G148" s="36">
        <f t="shared" si="7"/>
        <v>129.65667574931879</v>
      </c>
      <c r="H148" s="35">
        <v>1203.8679999999999</v>
      </c>
      <c r="I148" s="35">
        <f t="shared" si="8"/>
        <v>25.299848688634832</v>
      </c>
    </row>
    <row r="149" spans="2:9" ht="14.5">
      <c r="B149" s="8" t="s">
        <v>50</v>
      </c>
      <c r="C149" s="29">
        <v>2556.6</v>
      </c>
      <c r="D149" s="10">
        <v>47084</v>
      </c>
      <c r="E149" s="35">
        <f t="shared" si="6"/>
        <v>18.416647109442227</v>
      </c>
      <c r="F149" s="12">
        <v>221</v>
      </c>
      <c r="G149" s="36">
        <f t="shared" si="7"/>
        <v>213.0497737556561</v>
      </c>
      <c r="H149" s="35">
        <v>865.17399999999998</v>
      </c>
      <c r="I149" s="35">
        <f t="shared" si="8"/>
        <v>18.375116812505308</v>
      </c>
    </row>
    <row r="150" spans="2:9" ht="14.5">
      <c r="B150" s="2" t="s">
        <v>96</v>
      </c>
      <c r="C150" s="6">
        <v>715</v>
      </c>
      <c r="D150" s="10">
        <v>206794</v>
      </c>
      <c r="E150" s="35">
        <f t="shared" si="6"/>
        <v>289.22237762237762</v>
      </c>
      <c r="F150" s="12">
        <v>1009</v>
      </c>
      <c r="G150" s="36">
        <f t="shared" si="7"/>
        <v>204.94945490584738</v>
      </c>
      <c r="H150" s="35">
        <v>1014.8800000000001</v>
      </c>
      <c r="I150" s="35">
        <f t="shared" si="8"/>
        <v>4.9076859096492162</v>
      </c>
    </row>
    <row r="151" spans="2:9" ht="14.5">
      <c r="B151" s="8" t="s">
        <v>97</v>
      </c>
      <c r="C151" s="29">
        <v>12.2</v>
      </c>
      <c r="D151" s="10">
        <v>58619</v>
      </c>
      <c r="E151" s="35">
        <f t="shared" si="6"/>
        <v>4804.8360655737706</v>
      </c>
      <c r="F151" s="12">
        <v>367</v>
      </c>
      <c r="G151" s="36">
        <f t="shared" si="7"/>
        <v>159.72479564032699</v>
      </c>
      <c r="H151" s="35">
        <v>145.82</v>
      </c>
      <c r="I151" s="35">
        <f t="shared" si="8"/>
        <v>2.4875893481635645</v>
      </c>
    </row>
    <row r="152" spans="2:9" ht="14.5">
      <c r="B152" s="2" t="s">
        <v>98</v>
      </c>
      <c r="C152" s="33">
        <v>821.5</v>
      </c>
      <c r="D152" s="10">
        <v>159015</v>
      </c>
      <c r="E152" s="35">
        <f t="shared" si="6"/>
        <v>193.56664637857577</v>
      </c>
      <c r="F152" s="12">
        <v>906</v>
      </c>
      <c r="G152" s="36">
        <f t="shared" si="7"/>
        <v>175.51324503311258</v>
      </c>
      <c r="H152" s="35">
        <v>1039.3999999999999</v>
      </c>
      <c r="I152" s="35">
        <f t="shared" si="8"/>
        <v>6.5364902682136901</v>
      </c>
    </row>
    <row r="153" spans="2:9" ht="14.5">
      <c r="B153" s="1" t="s">
        <v>99</v>
      </c>
      <c r="C153" s="34">
        <v>3998.5</v>
      </c>
      <c r="D153" s="10">
        <v>16433</v>
      </c>
      <c r="E153" s="35">
        <f t="shared" si="6"/>
        <v>4.1097911716893831</v>
      </c>
      <c r="F153" s="12">
        <v>149</v>
      </c>
      <c r="G153" s="36">
        <f t="shared" si="7"/>
        <v>110.28859060402685</v>
      </c>
      <c r="H153" s="35">
        <v>1232.6899999999998</v>
      </c>
      <c r="I153" s="35">
        <f t="shared" si="8"/>
        <v>75.013083429684158</v>
      </c>
    </row>
    <row r="154" spans="2:9" ht="14.5">
      <c r="B154" s="1" t="s">
        <v>100</v>
      </c>
      <c r="C154" s="29">
        <v>2693.3</v>
      </c>
      <c r="D154" s="11">
        <v>12641</v>
      </c>
      <c r="E154" s="35">
        <f t="shared" si="6"/>
        <v>4.69349868191438</v>
      </c>
      <c r="F154" s="14">
        <v>111</v>
      </c>
      <c r="G154" s="36">
        <f t="shared" si="7"/>
        <v>113.88288288288288</v>
      </c>
      <c r="H154" s="35">
        <v>1171.54</v>
      </c>
      <c r="I154" s="35">
        <f t="shared" si="8"/>
        <v>92.677794478284937</v>
      </c>
    </row>
    <row r="155" spans="2:9">
      <c r="B15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2014-15 Time Series Data</vt:lpstr>
      <vt:lpstr>Sheet1</vt:lpstr>
    </vt:vector>
  </TitlesOfParts>
  <Company>Division of Local Government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SG03</dc:creator>
  <cp:lastModifiedBy>Anne</cp:lastModifiedBy>
  <cp:lastPrinted>2016-04-25T23:33:59Z</cp:lastPrinted>
  <dcterms:created xsi:type="dcterms:W3CDTF">2013-04-29T06:38:24Z</dcterms:created>
  <dcterms:modified xsi:type="dcterms:W3CDTF">2021-08-21T15:03:48Z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bjective-Id">
    <vt:lpwstr>A480561</vt:lpwstr>
  </property>
  <property fmtid="{D5CDD505-2E9C-101B-9397-08002B2CF9AE}" pid="3" name="Objective-Title">
    <vt:lpwstr>A469890 - OLG - TIME SERIES DATA 2014/15 - HP</vt:lpwstr>
  </property>
</Properties>
</file>