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nne\Desktop\Govhack\"/>
    </mc:Choice>
  </mc:AlternateContent>
  <xr:revisionPtr revIDLastSave="0" documentId="13_ncr:1_{8B2C7C9E-E61C-46C8-B9C0-3B59FC1F4623}" xr6:coauthVersionLast="47" xr6:coauthVersionMax="47" xr10:uidLastSave="{00000000-0000-0000-0000-000000000000}"/>
  <bookViews>
    <workbookView xWindow="-110" yWindow="-110" windowWidth="19420" windowHeight="10560" tabRatio="793" xr2:uid="{00000000-000D-0000-FFFF-FFFF00000000}"/>
  </bookViews>
  <sheets>
    <sheet name="2017-18 DATA (Final)" sheetId="31" r:id="rId1"/>
    <sheet name="Sheet1" sheetId="25" state="hidden" r:id="rId2"/>
  </sheets>
  <externalReferences>
    <externalReference r:id="rId3"/>
    <externalReference r:id="rId4"/>
    <externalReference r:id="rId5"/>
    <externalReference r:id="rId6"/>
    <externalReference r:id="rId7"/>
  </externalReferences>
  <definedNames>
    <definedName name="_xlnm._FilterDatabase" localSheetId="0" hidden="1">'2017-18 DATA (Final)'!$A$1:$DR$130</definedName>
    <definedName name="A" localSheetId="0">#REF!</definedName>
    <definedName name="A">#REF!</definedName>
    <definedName name="AA" localSheetId="0">#REF!</definedName>
    <definedName name="AA">#REF!</definedName>
    <definedName name="B" localSheetId="0">#REF!</definedName>
    <definedName name="B">#REF!</definedName>
    <definedName name="BB" localSheetId="0">#REF!</definedName>
    <definedName name="BB">#REF!</definedName>
    <definedName name="C_" localSheetId="0">#REF!</definedName>
    <definedName name="C_">#REF!</definedName>
    <definedName name="CC" localSheetId="0">#REF!</definedName>
    <definedName name="CC">#REF!</definedName>
    <definedName name="Column_1">"Present_2004_05_Data+'2004-05 DATA'!$B$5:$DO$209"</definedName>
    <definedName name="Complaint_Data" localSheetId="0">#REF!</definedName>
    <definedName name="Complaint_Data">#REF!</definedName>
    <definedName name="Corporate_Data" localSheetId="0">#REF!</definedName>
    <definedName name="Corporate_Data">#REF!</definedName>
    <definedName name="Council" localSheetId="0">#REF!</definedName>
    <definedName name="Council">#REF!</definedName>
    <definedName name="Current" localSheetId="0">#REF!</definedName>
    <definedName name="Current">#REF!</definedName>
    <definedName name="D" localSheetId="0">#REF!</definedName>
    <definedName name="D">#REF!</definedName>
    <definedName name="Data_99_00">"'1999-00 DATA'!$C$3:$BU$181"</definedName>
    <definedName name="DD" localSheetId="0">#REF!</definedName>
    <definedName name="DD">#REF!</definedName>
    <definedName name="E" localSheetId="0">#REF!</definedName>
    <definedName name="E">#REF!</definedName>
    <definedName name="F" localSheetId="0">#REF!</definedName>
    <definedName name="F">#REF!</definedName>
    <definedName name="Financial_Monitoring" localSheetId="0">#REF!</definedName>
    <definedName name="Financial_Monitoring">#REF!</definedName>
    <definedName name="Flag" localSheetId="0">'[1]Definitions Used'!#REF!</definedName>
    <definedName name="Flag">'[1]Definitions Used'!#REF!</definedName>
    <definedName name="G" localSheetId="0">#REF!</definedName>
    <definedName name="G">#REF!</definedName>
    <definedName name="Group_2002_03" localSheetId="0">'[2]2002-03 DATA'!#REF!</definedName>
    <definedName name="Group_2002_03">'[2]2002-03 DATA'!#REF!</definedName>
    <definedName name="Group_2003_04" localSheetId="0">'[2]2003-04 DATA'!#REF!</definedName>
    <definedName name="Group_2003_04">'[2]2003-04 DATA'!#REF!</definedName>
    <definedName name="Group_2005_06" localSheetId="0">'[2]2005-06 DATA'!#REF!</definedName>
    <definedName name="Group_2005_06">'[2]2005-06 DATA'!#REF!</definedName>
    <definedName name="H" localSheetId="0">#REF!</definedName>
    <definedName name="H">#REF!</definedName>
    <definedName name="I" localSheetId="0">#REF!</definedName>
    <definedName name="I">#REF!</definedName>
    <definedName name="Item_100" localSheetId="0">#REF!</definedName>
    <definedName name="Item_100">#REF!</definedName>
    <definedName name="Item_101" localSheetId="0">#REF!</definedName>
    <definedName name="Item_101">#REF!</definedName>
    <definedName name="Item_76" localSheetId="0">'[1]Definitions Used'!#REF!</definedName>
    <definedName name="Item_76">'[1]Definitions Used'!#REF!</definedName>
    <definedName name="Item_77" localSheetId="0">'[1]Definitions Used'!#REF!</definedName>
    <definedName name="Item_77">'[1]Definitions Used'!#REF!</definedName>
    <definedName name="Item_78" localSheetId="0">'[1]Definitions Used'!#REF!</definedName>
    <definedName name="Item_78">'[1]Definitions Used'!#REF!</definedName>
    <definedName name="Item_79" localSheetId="0">'[1]Definitions Used'!#REF!</definedName>
    <definedName name="Item_79">'[1]Definitions Used'!#REF!</definedName>
    <definedName name="Item_80" localSheetId="0">'[1]Definitions Used'!#REF!</definedName>
    <definedName name="Item_80">'[1]Definitions Used'!#REF!</definedName>
    <definedName name="Item_81" localSheetId="0">'[1]Definitions Used'!#REF!</definedName>
    <definedName name="Item_81">'[1]Definitions Used'!#REF!</definedName>
    <definedName name="Item_82" localSheetId="0">'[1]Definitions Used'!#REF!</definedName>
    <definedName name="Item_82">'[1]Definitions Used'!#REF!</definedName>
    <definedName name="Item_83" localSheetId="0">'[1]Definitions Used'!#REF!</definedName>
    <definedName name="Item_83">'[1]Definitions Used'!#REF!</definedName>
    <definedName name="Item_84" localSheetId="0">'[1]Definitions Used'!#REF!</definedName>
    <definedName name="Item_84">'[1]Definitions Used'!#REF!</definedName>
    <definedName name="Item_85" localSheetId="0">#REF!</definedName>
    <definedName name="Item_85">#REF!</definedName>
    <definedName name="Item_86" localSheetId="0">#REF!</definedName>
    <definedName name="Item_86">#REF!</definedName>
    <definedName name="Item_88" localSheetId="0">#REF!</definedName>
    <definedName name="Item_88">#REF!</definedName>
    <definedName name="Item_89" localSheetId="0">#REF!</definedName>
    <definedName name="Item_89">#REF!</definedName>
    <definedName name="Item_91" localSheetId="0">#REF!</definedName>
    <definedName name="Item_91">#REF!</definedName>
    <definedName name="Item_92" localSheetId="0">#REF!</definedName>
    <definedName name="Item_92">#REF!</definedName>
    <definedName name="Item_94" localSheetId="0">#REF!</definedName>
    <definedName name="Item_94">#REF!</definedName>
    <definedName name="Item_95" localSheetId="0">#REF!</definedName>
    <definedName name="Item_95">#REF!</definedName>
    <definedName name="Item_97" localSheetId="0">#REF!</definedName>
    <definedName name="Item_97">#REF!</definedName>
    <definedName name="Item_98" localSheetId="0">#REF!</definedName>
    <definedName name="Item_98">#REF!</definedName>
    <definedName name="J" localSheetId="0">#REF!</definedName>
    <definedName name="J">#REF!</definedName>
    <definedName name="K" localSheetId="0">#REF!</definedName>
    <definedName name="K">#REF!</definedName>
    <definedName name="L" localSheetId="0">#REF!</definedName>
    <definedName name="L">#REF!</definedName>
    <definedName name="M" localSheetId="0">#REF!</definedName>
    <definedName name="M">#REF!</definedName>
    <definedName name="N" localSheetId="0">#REF!</definedName>
    <definedName name="N">#REF!</definedName>
    <definedName name="O" localSheetId="0">#REF!</definedName>
    <definedName name="O">#REF!</definedName>
    <definedName name="P" localSheetId="0">#REF!</definedName>
    <definedName name="P">#REF!</definedName>
    <definedName name="Present_2001_02_Data">'[3]2001-02 DATA'!$B$5:$DM$209</definedName>
    <definedName name="_xlnm.Print_Area" localSheetId="0">'2017-18 DATA (Final)'!$DA$1:$DC$129</definedName>
    <definedName name="Q" localSheetId="0">#REF!</definedName>
    <definedName name="Q">#REF!</definedName>
    <definedName name="R_" localSheetId="0">#REF!</definedName>
    <definedName name="R_">#REF!</definedName>
    <definedName name="Record1" help="_x0000_!0" localSheetId="0" xlm="1">#REF!</definedName>
    <definedName name="Record1" help="_x0000_!0" xlm="1">#REF!</definedName>
    <definedName name="S" localSheetId="0">#REF!</definedName>
    <definedName name="S">#REF!</definedName>
    <definedName name="Sydney" localSheetId="0">'[4]KPI 1.1'!#REF!</definedName>
    <definedName name="Sydney">'[4]KPI 1.1'!#REF!</definedName>
    <definedName name="T" localSheetId="0">#REF!</definedName>
    <definedName name="T">#REF!</definedName>
    <definedName name="Table1" localSheetId="0">#REF!</definedName>
    <definedName name="Table1">#REF!</definedName>
    <definedName name="Table2" localSheetId="0">#REF!</definedName>
    <definedName name="Table2">#REF!</definedName>
    <definedName name="Table3" localSheetId="0">#REF!</definedName>
    <definedName name="Table3">#REF!</definedName>
    <definedName name="Table4" localSheetId="0">#REF!</definedName>
    <definedName name="Table4">#REF!</definedName>
    <definedName name="Table5" localSheetId="0">#REF!</definedName>
    <definedName name="Table5">#REF!</definedName>
    <definedName name="Table6" localSheetId="0">#REF!</definedName>
    <definedName name="Table6">#REF!</definedName>
    <definedName name="test">'[5]2002-03 DATA'!$B$5:$DM$209</definedName>
    <definedName name="U" localSheetId="0">#REF!</definedName>
    <definedName name="U">#REF!</definedName>
    <definedName name="V" localSheetId="0">#REF!</definedName>
    <definedName name="V">#REF!</definedName>
    <definedName name="W" localSheetId="0">#REF!</definedName>
    <definedName name="W">#REF!</definedName>
    <definedName name="X" localSheetId="0">#REF!</definedName>
    <definedName name="X">#REF!</definedName>
    <definedName name="Y" localSheetId="0">#REF!</definedName>
    <definedName name="Y">#REF!</definedName>
    <definedName name="Z" localSheetId="0">#REF!</definedName>
    <definedName name="Z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D131" i="31" l="1"/>
  <c r="BE131" i="31" s="1"/>
  <c r="BD132" i="31" l="1"/>
  <c r="I154" i="25"/>
  <c r="G154" i="25"/>
  <c r="E154" i="25"/>
  <c r="I153" i="25"/>
  <c r="G153" i="25"/>
  <c r="E153" i="25"/>
  <c r="I152" i="25"/>
  <c r="G152" i="25"/>
  <c r="E152" i="25"/>
  <c r="I151" i="25"/>
  <c r="G151" i="25"/>
  <c r="E151" i="25"/>
  <c r="I150" i="25"/>
  <c r="G150" i="25"/>
  <c r="E150" i="25"/>
  <c r="I149" i="25"/>
  <c r="G149" i="25"/>
  <c r="E149" i="25"/>
  <c r="I148" i="25"/>
  <c r="G148" i="25"/>
  <c r="E148" i="25"/>
  <c r="I147" i="25"/>
  <c r="G147" i="25"/>
  <c r="E147" i="25"/>
  <c r="I146" i="25"/>
  <c r="G146" i="25"/>
  <c r="E146" i="25"/>
  <c r="I145" i="25"/>
  <c r="G145" i="25"/>
  <c r="E145" i="25"/>
  <c r="I144" i="25"/>
  <c r="G144" i="25"/>
  <c r="E144" i="25"/>
  <c r="I143" i="25"/>
  <c r="G143" i="25"/>
  <c r="E143" i="25"/>
  <c r="I142" i="25"/>
  <c r="G142" i="25"/>
  <c r="E142" i="25"/>
  <c r="I141" i="25"/>
  <c r="G141" i="25"/>
  <c r="E141" i="25"/>
  <c r="I140" i="25"/>
  <c r="G140" i="25"/>
  <c r="E140" i="25"/>
  <c r="I139" i="25"/>
  <c r="G139" i="25"/>
  <c r="E139" i="25"/>
  <c r="I138" i="25"/>
  <c r="G138" i="25"/>
  <c r="E138" i="25"/>
  <c r="I137" i="25"/>
  <c r="G137" i="25"/>
  <c r="E137" i="25"/>
  <c r="I136" i="25"/>
  <c r="G136" i="25"/>
  <c r="E136" i="25"/>
  <c r="I135" i="25"/>
  <c r="G135" i="25"/>
  <c r="E135" i="25"/>
  <c r="I134" i="25"/>
  <c r="G134" i="25"/>
  <c r="E134" i="25"/>
  <c r="I133" i="25"/>
  <c r="G133" i="25"/>
  <c r="E133" i="25"/>
  <c r="I132" i="25"/>
  <c r="G132" i="25"/>
  <c r="E132" i="25"/>
  <c r="I131" i="25"/>
  <c r="G131" i="25"/>
  <c r="E131" i="25"/>
  <c r="I130" i="25"/>
  <c r="G130" i="25"/>
  <c r="E130" i="25"/>
  <c r="I129" i="25"/>
  <c r="G129" i="25"/>
  <c r="E129" i="25"/>
  <c r="I128" i="25"/>
  <c r="G128" i="25"/>
  <c r="E128" i="25"/>
  <c r="I127" i="25"/>
  <c r="G127" i="25"/>
  <c r="E127" i="25"/>
  <c r="I126" i="25"/>
  <c r="G126" i="25"/>
  <c r="E126" i="25"/>
  <c r="I125" i="25"/>
  <c r="G125" i="25"/>
  <c r="E125" i="25"/>
  <c r="I124" i="25"/>
  <c r="G124" i="25"/>
  <c r="E124" i="25"/>
  <c r="I123" i="25"/>
  <c r="G123" i="25"/>
  <c r="E123" i="25"/>
  <c r="I122" i="25"/>
  <c r="G122" i="25"/>
  <c r="E122" i="25"/>
  <c r="I121" i="25"/>
  <c r="G121" i="25"/>
  <c r="E121" i="25"/>
  <c r="I120" i="25"/>
  <c r="G120" i="25"/>
  <c r="E120" i="25"/>
  <c r="I119" i="25"/>
  <c r="G119" i="25"/>
  <c r="E119" i="25"/>
  <c r="I118" i="25"/>
  <c r="G118" i="25"/>
  <c r="E118" i="25"/>
  <c r="I117" i="25"/>
  <c r="G117" i="25"/>
  <c r="E117" i="25"/>
  <c r="I116" i="25"/>
  <c r="G116" i="25"/>
  <c r="E116" i="25"/>
  <c r="I115" i="25"/>
  <c r="G115" i="25"/>
  <c r="E115" i="25"/>
  <c r="I114" i="25"/>
  <c r="G114" i="25"/>
  <c r="E114" i="25"/>
  <c r="I113" i="25"/>
  <c r="G113" i="25"/>
  <c r="E113" i="25"/>
  <c r="I112" i="25"/>
  <c r="G112" i="25"/>
  <c r="E112" i="25"/>
  <c r="I111" i="25"/>
  <c r="G111" i="25"/>
  <c r="E111" i="25"/>
  <c r="I110" i="25"/>
  <c r="G110" i="25"/>
  <c r="E110" i="25"/>
  <c r="I109" i="25"/>
  <c r="G109" i="25"/>
  <c r="E109" i="25"/>
  <c r="I108" i="25"/>
  <c r="G108" i="25"/>
  <c r="E108" i="25"/>
  <c r="I107" i="25"/>
  <c r="G107" i="25"/>
  <c r="E107" i="25"/>
  <c r="I106" i="25"/>
  <c r="G106" i="25"/>
  <c r="E106" i="25"/>
  <c r="I105" i="25"/>
  <c r="G105" i="25"/>
  <c r="E105" i="25"/>
  <c r="I104" i="25"/>
  <c r="G104" i="25"/>
  <c r="E104" i="25"/>
  <c r="I103" i="25"/>
  <c r="G103" i="25"/>
  <c r="E103" i="25"/>
  <c r="I102" i="25"/>
  <c r="G102" i="25"/>
  <c r="E102" i="25"/>
  <c r="I101" i="25"/>
  <c r="G101" i="25"/>
  <c r="E101" i="25"/>
  <c r="I100" i="25"/>
  <c r="G100" i="25"/>
  <c r="E100" i="25"/>
  <c r="I99" i="25"/>
  <c r="G99" i="25"/>
  <c r="E99" i="25"/>
  <c r="I98" i="25"/>
  <c r="G98" i="25"/>
  <c r="E98" i="25"/>
  <c r="I97" i="25"/>
  <c r="G97" i="25"/>
  <c r="E97" i="25"/>
  <c r="I96" i="25"/>
  <c r="G96" i="25"/>
  <c r="E96" i="25"/>
  <c r="I95" i="25"/>
  <c r="G95" i="25"/>
  <c r="E95" i="25"/>
  <c r="I94" i="25"/>
  <c r="G94" i="25"/>
  <c r="E94" i="25"/>
  <c r="I93" i="25"/>
  <c r="G93" i="25"/>
  <c r="E93" i="25"/>
  <c r="I92" i="25"/>
  <c r="G92" i="25"/>
  <c r="E92" i="25"/>
  <c r="I91" i="25"/>
  <c r="G91" i="25"/>
  <c r="E91" i="25"/>
  <c r="I90" i="25"/>
  <c r="G90" i="25"/>
  <c r="E90" i="25"/>
  <c r="I89" i="25"/>
  <c r="G89" i="25"/>
  <c r="E89" i="25"/>
  <c r="I88" i="25"/>
  <c r="G88" i="25"/>
  <c r="E88" i="25"/>
  <c r="I87" i="25"/>
  <c r="G87" i="25"/>
  <c r="E87" i="25"/>
  <c r="I86" i="25"/>
  <c r="G86" i="25"/>
  <c r="E86" i="25"/>
  <c r="I85" i="25"/>
  <c r="G85" i="25"/>
  <c r="E85" i="25"/>
  <c r="I84" i="25"/>
  <c r="G84" i="25"/>
  <c r="E84" i="25"/>
  <c r="I83" i="25"/>
  <c r="G83" i="25"/>
  <c r="E83" i="25"/>
  <c r="I82" i="25"/>
  <c r="G82" i="25"/>
  <c r="E82" i="25"/>
  <c r="I81" i="25"/>
  <c r="G81" i="25"/>
  <c r="E81" i="25"/>
  <c r="I80" i="25"/>
  <c r="G80" i="25"/>
  <c r="E80" i="25"/>
  <c r="I79" i="25"/>
  <c r="G79" i="25"/>
  <c r="E79" i="25"/>
  <c r="I78" i="25"/>
  <c r="G78" i="25"/>
  <c r="E78" i="25"/>
  <c r="I77" i="25"/>
  <c r="G77" i="25"/>
  <c r="E77" i="25"/>
  <c r="I76" i="25"/>
  <c r="G76" i="25"/>
  <c r="E76" i="25"/>
  <c r="I75" i="25"/>
  <c r="G75" i="25"/>
  <c r="E75" i="25"/>
  <c r="I74" i="25"/>
  <c r="G74" i="25"/>
  <c r="E74" i="25"/>
  <c r="I73" i="25"/>
  <c r="G73" i="25"/>
  <c r="E73" i="25"/>
  <c r="I72" i="25"/>
  <c r="G72" i="25"/>
  <c r="E72" i="25"/>
  <c r="I71" i="25"/>
  <c r="G71" i="25"/>
  <c r="E71" i="25"/>
  <c r="I70" i="25"/>
  <c r="G70" i="25"/>
  <c r="E70" i="25"/>
  <c r="I69" i="25"/>
  <c r="G69" i="25"/>
  <c r="E69" i="25"/>
  <c r="I68" i="25"/>
  <c r="G68" i="25"/>
  <c r="E68" i="25"/>
  <c r="I67" i="25"/>
  <c r="G67" i="25"/>
  <c r="E67" i="25"/>
  <c r="I66" i="25"/>
  <c r="G66" i="25"/>
  <c r="E66" i="25"/>
  <c r="I65" i="25"/>
  <c r="G65" i="25"/>
  <c r="E65" i="25"/>
  <c r="I64" i="25"/>
  <c r="G64" i="25"/>
  <c r="E64" i="25"/>
  <c r="I63" i="25"/>
  <c r="G63" i="25"/>
  <c r="E63" i="25"/>
  <c r="I62" i="25"/>
  <c r="G62" i="25"/>
  <c r="E62" i="25"/>
  <c r="I61" i="25"/>
  <c r="G61" i="25"/>
  <c r="E61" i="25"/>
  <c r="I60" i="25"/>
  <c r="G60" i="25"/>
  <c r="E60" i="25"/>
  <c r="I59" i="25"/>
  <c r="G59" i="25"/>
  <c r="E59" i="25"/>
  <c r="I58" i="25"/>
  <c r="G58" i="25"/>
  <c r="E58" i="25"/>
  <c r="I57" i="25"/>
  <c r="G57" i="25"/>
  <c r="E57" i="25"/>
  <c r="I56" i="25"/>
  <c r="G56" i="25"/>
  <c r="E56" i="25"/>
  <c r="I55" i="25"/>
  <c r="G55" i="25"/>
  <c r="E55" i="25"/>
  <c r="I54" i="25"/>
  <c r="G54" i="25"/>
  <c r="E54" i="25"/>
  <c r="I53" i="25"/>
  <c r="G53" i="25"/>
  <c r="E53" i="25"/>
  <c r="I52" i="25"/>
  <c r="G52" i="25"/>
  <c r="E52" i="25"/>
  <c r="I51" i="25"/>
  <c r="G51" i="25"/>
  <c r="E51" i="25"/>
  <c r="I50" i="25"/>
  <c r="G50" i="25"/>
  <c r="E50" i="25"/>
  <c r="I49" i="25"/>
  <c r="G49" i="25"/>
  <c r="E49" i="25"/>
  <c r="I48" i="25"/>
  <c r="G48" i="25"/>
  <c r="E48" i="25"/>
  <c r="I47" i="25"/>
  <c r="G47" i="25"/>
  <c r="E47" i="25"/>
  <c r="I46" i="25"/>
  <c r="G46" i="25"/>
  <c r="E46" i="25"/>
  <c r="I45" i="25"/>
  <c r="G45" i="25"/>
  <c r="E45" i="25"/>
  <c r="I44" i="25"/>
  <c r="G44" i="25"/>
  <c r="E44" i="25"/>
  <c r="I43" i="25"/>
  <c r="G43" i="25"/>
  <c r="E43" i="25"/>
  <c r="I42" i="25"/>
  <c r="G42" i="25"/>
  <c r="E42" i="25"/>
  <c r="I41" i="25"/>
  <c r="G41" i="25"/>
  <c r="E41" i="25"/>
  <c r="I40" i="25"/>
  <c r="G40" i="25"/>
  <c r="E40" i="25"/>
  <c r="I39" i="25"/>
  <c r="G39" i="25"/>
  <c r="E39" i="25"/>
  <c r="I38" i="25"/>
  <c r="G38" i="25"/>
  <c r="E38" i="25"/>
  <c r="I37" i="25"/>
  <c r="G37" i="25"/>
  <c r="E37" i="25"/>
  <c r="I36" i="25"/>
  <c r="G36" i="25"/>
  <c r="E36" i="25"/>
  <c r="I35" i="25"/>
  <c r="G35" i="25"/>
  <c r="E35" i="25"/>
  <c r="I34" i="25"/>
  <c r="G34" i="25"/>
  <c r="E34" i="25"/>
  <c r="I33" i="25"/>
  <c r="G33" i="25"/>
  <c r="E33" i="25"/>
  <c r="I32" i="25"/>
  <c r="G32" i="25"/>
  <c r="E32" i="25"/>
  <c r="I31" i="25"/>
  <c r="G31" i="25"/>
  <c r="E31" i="25"/>
  <c r="I30" i="25"/>
  <c r="G30" i="25"/>
  <c r="E30" i="25"/>
  <c r="I29" i="25"/>
  <c r="G29" i="25"/>
  <c r="E29" i="25"/>
  <c r="I28" i="25"/>
  <c r="G28" i="25"/>
  <c r="E28" i="25"/>
  <c r="I27" i="25"/>
  <c r="G27" i="25"/>
  <c r="E27" i="25"/>
  <c r="I26" i="25"/>
  <c r="G26" i="25"/>
  <c r="E26" i="25"/>
  <c r="I25" i="25"/>
  <c r="G25" i="25"/>
  <c r="E25" i="25"/>
  <c r="I24" i="25"/>
  <c r="G24" i="25"/>
  <c r="E24" i="25"/>
  <c r="I23" i="25"/>
  <c r="G23" i="25"/>
  <c r="E23" i="25"/>
  <c r="I22" i="25"/>
  <c r="G22" i="25"/>
  <c r="E22" i="25"/>
  <c r="I21" i="25"/>
  <c r="G21" i="25"/>
  <c r="E21" i="25"/>
  <c r="I20" i="25"/>
  <c r="G20" i="25"/>
  <c r="E20" i="25"/>
  <c r="I19" i="25"/>
  <c r="G19" i="25"/>
  <c r="E19" i="25"/>
  <c r="I18" i="25"/>
  <c r="G18" i="25"/>
  <c r="E18" i="25"/>
  <c r="I17" i="25"/>
  <c r="G17" i="25"/>
  <c r="E17" i="25"/>
  <c r="I16" i="25"/>
  <c r="G16" i="25"/>
  <c r="E16" i="25"/>
  <c r="I15" i="25"/>
  <c r="G15" i="25"/>
  <c r="E15" i="25"/>
  <c r="I14" i="25"/>
  <c r="G14" i="25"/>
  <c r="E14" i="25"/>
  <c r="I13" i="25"/>
  <c r="G13" i="25"/>
  <c r="E13" i="25"/>
  <c r="I12" i="25"/>
  <c r="G12" i="25"/>
  <c r="E12" i="25"/>
  <c r="I11" i="25"/>
  <c r="G11" i="25"/>
  <c r="E11" i="25"/>
  <c r="I10" i="25"/>
  <c r="G10" i="25"/>
  <c r="E10" i="25"/>
  <c r="I9" i="25"/>
  <c r="G9" i="25"/>
  <c r="E9" i="25"/>
  <c r="I8" i="25"/>
  <c r="G8" i="25"/>
  <c r="E8" i="25"/>
  <c r="I7" i="25"/>
  <c r="G7" i="25"/>
  <c r="E7" i="25"/>
  <c r="I6" i="25"/>
  <c r="G6" i="25"/>
  <c r="E6" i="25"/>
  <c r="I5" i="25"/>
  <c r="G5" i="25"/>
  <c r="E5" i="25"/>
  <c r="I4" i="25"/>
  <c r="G4" i="25"/>
  <c r="E4" i="25"/>
  <c r="I3" i="25"/>
  <c r="G3" i="25"/>
  <c r="E3" i="25"/>
</calcChain>
</file>

<file path=xl/sharedStrings.xml><?xml version="1.0" encoding="utf-8"?>
<sst xmlns="http://schemas.openxmlformats.org/spreadsheetml/2006/main" count="2856" uniqueCount="424">
  <si>
    <t>Guyra</t>
  </si>
  <si>
    <t>Gwydir</t>
  </si>
  <si>
    <t>Harden</t>
  </si>
  <si>
    <t>Hay</t>
  </si>
  <si>
    <t>Lismore</t>
  </si>
  <si>
    <t>Lithgow</t>
  </si>
  <si>
    <t>Liverpool Plains</t>
  </si>
  <si>
    <t>Lockhart</t>
  </si>
  <si>
    <t>Maitland</t>
  </si>
  <si>
    <t>Manly</t>
  </si>
  <si>
    <t>Marrickville</t>
  </si>
  <si>
    <t>Moree Plains</t>
  </si>
  <si>
    <t>Mosman</t>
  </si>
  <si>
    <t>Murray</t>
  </si>
  <si>
    <t>Murrumbidgee</t>
  </si>
  <si>
    <t>Muswellbrook</t>
  </si>
  <si>
    <t>Nambucca</t>
  </si>
  <si>
    <t>Narrabri</t>
  </si>
  <si>
    <t>Narrandera</t>
  </si>
  <si>
    <t>Narromine</t>
  </si>
  <si>
    <t>Newcastle</t>
  </si>
  <si>
    <t>North Sydney</t>
  </si>
  <si>
    <t>Oberon</t>
  </si>
  <si>
    <t>Orange</t>
  </si>
  <si>
    <t>Palerang</t>
  </si>
  <si>
    <t>Parkes</t>
  </si>
  <si>
    <t>Pittwater</t>
  </si>
  <si>
    <t>Ryde</t>
  </si>
  <si>
    <t>Shellharbour</t>
  </si>
  <si>
    <t>Shoalhaven</t>
  </si>
  <si>
    <t>Singleton</t>
  </si>
  <si>
    <t>Snowy River</t>
  </si>
  <si>
    <t>Number of Public Halls</t>
  </si>
  <si>
    <t>Albury</t>
  </si>
  <si>
    <t>Armidale Dumaresq</t>
  </si>
  <si>
    <t>Ashfield</t>
  </si>
  <si>
    <t>Ballina</t>
  </si>
  <si>
    <t>Balranald</t>
  </si>
  <si>
    <t>Walcha</t>
  </si>
  <si>
    <t>Walgett</t>
  </si>
  <si>
    <t>Warren</t>
  </si>
  <si>
    <t>Warringah</t>
  </si>
  <si>
    <t>Warrumbungle</t>
  </si>
  <si>
    <t>Waverley</t>
  </si>
  <si>
    <t>Weddin</t>
  </si>
  <si>
    <t>Wellington</t>
  </si>
  <si>
    <t>Wentworth</t>
  </si>
  <si>
    <t>Willoughby</t>
  </si>
  <si>
    <t>Wingecarribee</t>
  </si>
  <si>
    <t>Wollondilly</t>
  </si>
  <si>
    <t>Bathurst Regional</t>
  </si>
  <si>
    <t>Bega Valley</t>
  </si>
  <si>
    <t>Bellingen</t>
  </si>
  <si>
    <t>Berrigan</t>
  </si>
  <si>
    <t>Bland</t>
  </si>
  <si>
    <t>Blayney</t>
  </si>
  <si>
    <t>Port Macquarie-Hastings</t>
  </si>
  <si>
    <t>Port Stephens</t>
  </si>
  <si>
    <t>Queanbeyan</t>
  </si>
  <si>
    <t>Richmond Valley</t>
  </si>
  <si>
    <t>Broken Hill</t>
  </si>
  <si>
    <t>Burwood</t>
  </si>
  <si>
    <t>Byron</t>
  </si>
  <si>
    <t>Cabonne</t>
  </si>
  <si>
    <t>Camden</t>
  </si>
  <si>
    <t>Campbelltown</t>
  </si>
  <si>
    <t>Canada Bay</t>
  </si>
  <si>
    <t>Strathfield</t>
  </si>
  <si>
    <t>Sydney</t>
  </si>
  <si>
    <t>Tamworth Regional</t>
  </si>
  <si>
    <t>Temora</t>
  </si>
  <si>
    <t>Tenterfield</t>
  </si>
  <si>
    <t>Tumbarumba</t>
  </si>
  <si>
    <t>Tumut</t>
  </si>
  <si>
    <t>Tweed</t>
  </si>
  <si>
    <t>Upper Hunter</t>
  </si>
  <si>
    <t>Upper Lachlan</t>
  </si>
  <si>
    <t>Uralla</t>
  </si>
  <si>
    <t>Urana</t>
  </si>
  <si>
    <t>Wagga Wagga</t>
  </si>
  <si>
    <t>Wakool</t>
  </si>
  <si>
    <t>Deniliquin</t>
  </si>
  <si>
    <t>Dubbo</t>
  </si>
  <si>
    <t>Dungog</t>
  </si>
  <si>
    <t>Eurobodalla</t>
  </si>
  <si>
    <t>Forbes</t>
  </si>
  <si>
    <t>Gilgandra</t>
  </si>
  <si>
    <t>Glen Innes Severn</t>
  </si>
  <si>
    <t>Gloucester</t>
  </si>
  <si>
    <t>Gosford</t>
  </si>
  <si>
    <t>Goulburn Mulwaree</t>
  </si>
  <si>
    <t>Wollongong</t>
  </si>
  <si>
    <t>Woollahra</t>
  </si>
  <si>
    <t>Wyong</t>
  </si>
  <si>
    <t>Yass Valley</t>
  </si>
  <si>
    <t>Young</t>
  </si>
  <si>
    <t>Mid Western Regional</t>
  </si>
  <si>
    <t>Hornsby</t>
  </si>
  <si>
    <t>Hunters Hill</t>
  </si>
  <si>
    <t>Inverell</t>
  </si>
  <si>
    <t>Jerilderie</t>
  </si>
  <si>
    <t>Junee</t>
  </si>
  <si>
    <t>Kempsey</t>
  </si>
  <si>
    <t>Kiama</t>
  </si>
  <si>
    <t>Ku-Ring-Gai</t>
  </si>
  <si>
    <t>Kyogle</t>
  </si>
  <si>
    <t>Lachlan</t>
  </si>
  <si>
    <t>Lake Macquarie</t>
  </si>
  <si>
    <t>Lane Cove</t>
  </si>
  <si>
    <t>Leeton</t>
  </si>
  <si>
    <t>Population Density per capita/km2</t>
  </si>
  <si>
    <t>Number of Public Libraries</t>
  </si>
  <si>
    <t>Bogan</t>
  </si>
  <si>
    <t>Bombala</t>
  </si>
  <si>
    <t>Boorowa</t>
  </si>
  <si>
    <t>Botany Bay</t>
  </si>
  <si>
    <t>Bourke</t>
  </si>
  <si>
    <t>Brewarrina</t>
  </si>
  <si>
    <t>Carrathool</t>
  </si>
  <si>
    <t>Central Darling</t>
  </si>
  <si>
    <t>Cessnock</t>
  </si>
  <si>
    <t>Clarence Valley</t>
  </si>
  <si>
    <t>Cobar</t>
  </si>
  <si>
    <t>Coffs Harbour</t>
  </si>
  <si>
    <t>Conargo</t>
  </si>
  <si>
    <t>Coolamon</t>
  </si>
  <si>
    <t>Cooma-Monaro</t>
  </si>
  <si>
    <t>Coonamble</t>
  </si>
  <si>
    <t>Cootamundra</t>
  </si>
  <si>
    <t>Corowa</t>
  </si>
  <si>
    <t>Cowra</t>
  </si>
  <si>
    <t>Largest Industry Employer</t>
  </si>
  <si>
    <t>Great Lakes</t>
  </si>
  <si>
    <t>Greater Hume</t>
  </si>
  <si>
    <t>Greater Taree</t>
  </si>
  <si>
    <t>Griffith</t>
  </si>
  <si>
    <t>Gundagai</t>
  </si>
  <si>
    <t>Gunnedah</t>
  </si>
  <si>
    <t>Blue Mountains</t>
  </si>
  <si>
    <t>Hurstville</t>
  </si>
  <si>
    <t>Kogarah</t>
  </si>
  <si>
    <t>Leichhardt</t>
  </si>
  <si>
    <t>Randwick</t>
  </si>
  <si>
    <t>Rockdale</t>
  </si>
  <si>
    <t>Sutherland</t>
  </si>
  <si>
    <t>Auburn</t>
  </si>
  <si>
    <t>Bankstown</t>
  </si>
  <si>
    <t>Blacktown</t>
  </si>
  <si>
    <t>Canterbury</t>
  </si>
  <si>
    <t>Fairfield</t>
  </si>
  <si>
    <t>Holroyd</t>
  </si>
  <si>
    <t>Liverpool</t>
  </si>
  <si>
    <t>Penrith</t>
  </si>
  <si>
    <t>Hills</t>
  </si>
  <si>
    <t>Hawkesbury</t>
  </si>
  <si>
    <t>Parramatta</t>
  </si>
  <si>
    <t>Classification</t>
  </si>
  <si>
    <t>Population</t>
  </si>
  <si>
    <t>Number of  Councillors</t>
  </si>
  <si>
    <t xml:space="preserve">Full Time Equivalent Staff </t>
  </si>
  <si>
    <t>% of Total Expenditure on Governance &amp; Administration</t>
  </si>
  <si>
    <t>% of Total Expenditure on Public Order, Safety, Health, Water &amp; Sewer</t>
  </si>
  <si>
    <t>% of Total Expenditure on Environmental</t>
  </si>
  <si>
    <t xml:space="preserve">% of Total Expenditure on Community Services, Education &amp; Housing </t>
  </si>
  <si>
    <t>% of Total Expenditure on Recreational &amp; Cultural</t>
  </si>
  <si>
    <t>% of Total Expenditure on Roads, Bridges &amp; Footpaths</t>
  </si>
  <si>
    <t>% of Total Expenditure on Other Services</t>
  </si>
  <si>
    <t>Number of Active Businesses in LGA</t>
  </si>
  <si>
    <t>Male Population</t>
  </si>
  <si>
    <t>Female Population</t>
  </si>
  <si>
    <t xml:space="preserve">% Own Source Revenue </t>
  </si>
  <si>
    <t xml:space="preserve">Unrestricted Current Ratio </t>
  </si>
  <si>
    <t xml:space="preserve">Infrastructure Backlog Ratio </t>
  </si>
  <si>
    <t>Cash Expense Cover Ratio</t>
  </si>
  <si>
    <t xml:space="preserve">Operating Performance Ratio  </t>
  </si>
  <si>
    <t>Audited Financial Statements Submitted on Time</t>
  </si>
  <si>
    <t xml:space="preserve">Total Road Length (inlcuding local, regional &amp; state) (km) </t>
  </si>
  <si>
    <t>Companion Animals micro chipped (No.)</t>
  </si>
  <si>
    <t>Debt Service Ratio</t>
  </si>
  <si>
    <t>Area</t>
  </si>
  <si>
    <t>Pop</t>
  </si>
  <si>
    <t>EFT</t>
  </si>
  <si>
    <t>Road legth per capita</t>
  </si>
  <si>
    <t>Debt Service Cover Ratio</t>
  </si>
  <si>
    <t xml:space="preserve">Public Order, Safety &amp; Health Expenditure per capita 
($) </t>
  </si>
  <si>
    <t>Roads, Bridges &amp; Footpaths Expenditure per capita 
($)</t>
  </si>
  <si>
    <t>Companion Animals micro chipped and registered 
(%)</t>
  </si>
  <si>
    <t>Councillor Expenses 
($)</t>
  </si>
  <si>
    <t>Total Mayoral &amp; Councillor Fees 
($)</t>
  </si>
  <si>
    <t>Mayoral &amp; Councillor Overseas Travel 
($)</t>
  </si>
  <si>
    <t>Mayoral &amp; Councillor Interstate Travel  
($)</t>
  </si>
  <si>
    <t>General Manager's Remuneration 
($)</t>
  </si>
  <si>
    <t>Cost of dealing with Code of Conduct Complaints 
($)</t>
  </si>
  <si>
    <t>Population Change  over 5 years 
(%)</t>
  </si>
  <si>
    <t>Male Population
(%)</t>
  </si>
  <si>
    <t>Female Population
(%)</t>
  </si>
  <si>
    <t>Elected Female Councillors 
(%)</t>
  </si>
  <si>
    <t>Elected Male Councillors 
(%)</t>
  </si>
  <si>
    <t>Councillors ATSI 
(%)</t>
  </si>
  <si>
    <t>Councillors NESB
(%)</t>
  </si>
  <si>
    <t>Elected Age between 30 and 59
(%)</t>
  </si>
  <si>
    <t>OLG Group</t>
  </si>
  <si>
    <t>Population/Equivalent Full Time Staff</t>
  </si>
  <si>
    <t>Census 2016 - Average Household Size 
(Number)</t>
  </si>
  <si>
    <t>Pensioner Residential Rate
(%)</t>
  </si>
  <si>
    <t>Governance &amp; Administration Expenditure per capita 
($)</t>
  </si>
  <si>
    <t>Environmental Expenditure per capita 
($)</t>
  </si>
  <si>
    <t>Total Water &amp; Sewer Expenditure per capita 
($)</t>
  </si>
  <si>
    <t>Community Services &amp; Education, Housing  &amp; Community Amenities Expenditure per capita 
($)</t>
  </si>
  <si>
    <t xml:space="preserve">Recreational &amp; Cultural Expenditure per capita 
($) </t>
  </si>
  <si>
    <t xml:space="preserve">Other Services Expenditure per capita 
($) </t>
  </si>
  <si>
    <t>Library Services Expenditure per Capita 
($)</t>
  </si>
  <si>
    <t>Average Domestic Waste Annual Charge 
($)</t>
  </si>
  <si>
    <t>Rates and Annual Charges Outstanding 
(%)</t>
  </si>
  <si>
    <t>Open Public Space
(ha)</t>
  </si>
  <si>
    <t>Mayoral &amp; Councillor Conference Expenses 
($)</t>
  </si>
  <si>
    <t>Complaints Investigated for Breach 
(No.)</t>
  </si>
  <si>
    <t>Council Area
(km2)</t>
  </si>
  <si>
    <t>Total Governance &amp; Administration Expenditure 
($'000)</t>
  </si>
  <si>
    <t>Total Public Order, Safety, Health, Water &amp; Sewer Expenditure 
($'000)</t>
  </si>
  <si>
    <t>Total Environmental Expenditure 
($'000)</t>
  </si>
  <si>
    <t>Total Community Services, Education &amp; Housing Expenditure 
($'000)</t>
  </si>
  <si>
    <t>Total Recreational &amp; Cultural Expenditure 
($'000)</t>
  </si>
  <si>
    <t>Total Roads, Bridges &amp; Footpaths Expenditure 
($'000)</t>
  </si>
  <si>
    <t>Total Other Services Expenditure 
($'000)</t>
  </si>
  <si>
    <t>Number of Code of Conduct Complaints Received</t>
  </si>
  <si>
    <t>Asset Maintenance Ratio
(%)</t>
  </si>
  <si>
    <t xml:space="preserve">Building &amp; Infrastructure Renewal Ratio
(%)  </t>
  </si>
  <si>
    <t>Library circulation per capita</t>
  </si>
  <si>
    <t xml:space="preserve">Albury </t>
  </si>
  <si>
    <t>Armidale Regional</t>
  </si>
  <si>
    <t xml:space="preserve">Ballina </t>
  </si>
  <si>
    <t xml:space="preserve">Balranald </t>
  </si>
  <si>
    <t>Bayside</t>
  </si>
  <si>
    <t xml:space="preserve">Bega Valley </t>
  </si>
  <si>
    <t xml:space="preserve">Bellingen </t>
  </si>
  <si>
    <t xml:space="preserve">Berrigan </t>
  </si>
  <si>
    <t xml:space="preserve">Blacktown </t>
  </si>
  <si>
    <t xml:space="preserve">Bland </t>
  </si>
  <si>
    <t xml:space="preserve">Blayney </t>
  </si>
  <si>
    <t xml:space="preserve">Blue Mountains </t>
  </si>
  <si>
    <t xml:space="preserve">Bogan </t>
  </si>
  <si>
    <t xml:space="preserve">Bourke </t>
  </si>
  <si>
    <t xml:space="preserve">Brewarrina </t>
  </si>
  <si>
    <t xml:space="preserve">Broken Hill </t>
  </si>
  <si>
    <t xml:space="preserve">Byron </t>
  </si>
  <si>
    <t xml:space="preserve">Campbelltown </t>
  </si>
  <si>
    <t xml:space="preserve">Canada Bay </t>
  </si>
  <si>
    <t>Canterbury-Bankstown</t>
  </si>
  <si>
    <t xml:space="preserve">Carrathool </t>
  </si>
  <si>
    <t>Central Coast</t>
  </si>
  <si>
    <t xml:space="preserve">Central Darling </t>
  </si>
  <si>
    <t xml:space="preserve">Cessnock </t>
  </si>
  <si>
    <t xml:space="preserve">Cobar </t>
  </si>
  <si>
    <t xml:space="preserve">Coffs Harbour </t>
  </si>
  <si>
    <t xml:space="preserve">Coolamon </t>
  </si>
  <si>
    <t xml:space="preserve">Coonamble </t>
  </si>
  <si>
    <t>Cootamundra-Gundagai Regional</t>
  </si>
  <si>
    <t xml:space="preserve">Cowra </t>
  </si>
  <si>
    <t>Cumberland</t>
  </si>
  <si>
    <t>Dubbo Regional</t>
  </si>
  <si>
    <t xml:space="preserve">Dungog </t>
  </si>
  <si>
    <t>Edward River</t>
  </si>
  <si>
    <t xml:space="preserve">Eurobodalla </t>
  </si>
  <si>
    <t xml:space="preserve">Fairfield </t>
  </si>
  <si>
    <t>Federation</t>
  </si>
  <si>
    <t xml:space="preserve">Forbes </t>
  </si>
  <si>
    <t>Georges River</t>
  </si>
  <si>
    <t xml:space="preserve">Gilgandra </t>
  </si>
  <si>
    <t xml:space="preserve">Greater Hume </t>
  </si>
  <si>
    <t xml:space="preserve">Griffith </t>
  </si>
  <si>
    <t xml:space="preserve">Gunnedah </t>
  </si>
  <si>
    <t xml:space="preserve">Gwydir </t>
  </si>
  <si>
    <t xml:space="preserve">Hawkesbury </t>
  </si>
  <si>
    <t xml:space="preserve">Hay </t>
  </si>
  <si>
    <t xml:space="preserve">Hills </t>
  </si>
  <si>
    <t>Hilltops</t>
  </si>
  <si>
    <t xml:space="preserve">Hornsby </t>
  </si>
  <si>
    <t xml:space="preserve">Hunters Hill </t>
  </si>
  <si>
    <t>Inner West</t>
  </si>
  <si>
    <t xml:space="preserve">Inverell </t>
  </si>
  <si>
    <t xml:space="preserve">Junee </t>
  </si>
  <si>
    <t xml:space="preserve">Kempsey </t>
  </si>
  <si>
    <t xml:space="preserve">Kiama </t>
  </si>
  <si>
    <t>Ku-ring-gai</t>
  </si>
  <si>
    <t xml:space="preserve">Lachlan </t>
  </si>
  <si>
    <t xml:space="preserve">Lake Macquarie </t>
  </si>
  <si>
    <t xml:space="preserve">Lane Cove </t>
  </si>
  <si>
    <t xml:space="preserve">Leeton </t>
  </si>
  <si>
    <t xml:space="preserve">Lismore </t>
  </si>
  <si>
    <t xml:space="preserve">Lithgow </t>
  </si>
  <si>
    <t xml:space="preserve">Liverpool </t>
  </si>
  <si>
    <t xml:space="preserve">Liverpool Plains </t>
  </si>
  <si>
    <t xml:space="preserve">Lockhart </t>
  </si>
  <si>
    <t xml:space="preserve">Maitland </t>
  </si>
  <si>
    <t>Mid-Coast</t>
  </si>
  <si>
    <t>Mid-Western Regional</t>
  </si>
  <si>
    <t xml:space="preserve">Moree Plains </t>
  </si>
  <si>
    <t xml:space="preserve">Mosman </t>
  </si>
  <si>
    <t>Murray River</t>
  </si>
  <si>
    <t>Murrumbidgee (new)</t>
  </si>
  <si>
    <t xml:space="preserve">Muswellbrook </t>
  </si>
  <si>
    <t xml:space="preserve">Nambucca </t>
  </si>
  <si>
    <t xml:space="preserve">Narrabri </t>
  </si>
  <si>
    <t xml:space="preserve">Narrandera </t>
  </si>
  <si>
    <t xml:space="preserve">Narromine </t>
  </si>
  <si>
    <t xml:space="preserve">Newcastle </t>
  </si>
  <si>
    <t>Northern Beaches</t>
  </si>
  <si>
    <t xml:space="preserve">Orange </t>
  </si>
  <si>
    <t xml:space="preserve">Parkes </t>
  </si>
  <si>
    <t>Parramatta (new)</t>
  </si>
  <si>
    <t xml:space="preserve">Penrith </t>
  </si>
  <si>
    <t>Queanbeyan-Palerang Regional</t>
  </si>
  <si>
    <t xml:space="preserve">Randwick </t>
  </si>
  <si>
    <t xml:space="preserve">Ryde </t>
  </si>
  <si>
    <t xml:space="preserve">Shellharbour </t>
  </si>
  <si>
    <t xml:space="preserve">Shoalhaven </t>
  </si>
  <si>
    <t>Snowy Monaro Regional</t>
  </si>
  <si>
    <t>Snowy Valleys</t>
  </si>
  <si>
    <t xml:space="preserve">Strathfield </t>
  </si>
  <si>
    <t xml:space="preserve">Sutherland </t>
  </si>
  <si>
    <t xml:space="preserve">Sydney </t>
  </si>
  <si>
    <t xml:space="preserve">Temora </t>
  </si>
  <si>
    <t xml:space="preserve">Tenterfield </t>
  </si>
  <si>
    <t xml:space="preserve">Tweed </t>
  </si>
  <si>
    <t xml:space="preserve">Upper Hunter </t>
  </si>
  <si>
    <t xml:space="preserve">Upper Lachlan </t>
  </si>
  <si>
    <t xml:space="preserve">Uralla </t>
  </si>
  <si>
    <t xml:space="preserve">Wagga Wagga </t>
  </si>
  <si>
    <t xml:space="preserve">Walgett </t>
  </si>
  <si>
    <t xml:space="preserve">Warren </t>
  </si>
  <si>
    <t xml:space="preserve">Warrumbungle </t>
  </si>
  <si>
    <t xml:space="preserve">Weddin </t>
  </si>
  <si>
    <t xml:space="preserve">Wentworth </t>
  </si>
  <si>
    <t xml:space="preserve">Willoughby </t>
  </si>
  <si>
    <t xml:space="preserve">Wingecarribee </t>
  </si>
  <si>
    <t xml:space="preserve">Wollondilly </t>
  </si>
  <si>
    <t xml:space="preserve">Wollongong </t>
  </si>
  <si>
    <t xml:space="preserve">Woollahra </t>
  </si>
  <si>
    <t>Y</t>
  </si>
  <si>
    <t>Health Care &amp; Social Assistance</t>
  </si>
  <si>
    <t>Education &amp; Training</t>
  </si>
  <si>
    <t>Agriculture, Forestry and Fishing</t>
  </si>
  <si>
    <t>Manufacturing</t>
  </si>
  <si>
    <t>Professional Scientific &amp; Technical Services</t>
  </si>
  <si>
    <t>Mining</t>
  </si>
  <si>
    <t>Public Administration &amp; Safety</t>
  </si>
  <si>
    <t>Regional Town/City</t>
  </si>
  <si>
    <t>Rural</t>
  </si>
  <si>
    <t>Metropolitan</t>
  </si>
  <si>
    <t>Large Rural</t>
  </si>
  <si>
    <t>Metropolitan Fringe</t>
  </si>
  <si>
    <t>Construction</t>
  </si>
  <si>
    <t>Accommodation &amp; Food Services</t>
  </si>
  <si>
    <t>Population/ Number of Councillors</t>
  </si>
  <si>
    <t>Data not yet available</t>
  </si>
  <si>
    <t>Total Land Value / Total Rate Income
($)</t>
  </si>
  <si>
    <t xml:space="preserve">Metre Road Length per capita </t>
  </si>
  <si>
    <t xml:space="preserve">% Grants &amp; Contributions Revenue  </t>
  </si>
  <si>
    <t>Population aged &lt;20 
(%)</t>
  </si>
  <si>
    <t>Population aged between 20 and 60 
(%)</t>
  </si>
  <si>
    <t>Population aged &gt;60 
(%)</t>
  </si>
  <si>
    <t>Population aged &lt;30 
(%)</t>
  </si>
  <si>
    <t>Population aged between 30 and 60
(%)</t>
  </si>
  <si>
    <t>Aboriginal &amp; Torres Strait Islanders
Population 
(%)</t>
  </si>
  <si>
    <t>Language other than English
Population
(%)</t>
  </si>
  <si>
    <t>Elected Age &lt;30
(%)</t>
  </si>
  <si>
    <t>Elected Age &gt;60
(%)</t>
  </si>
  <si>
    <t xml:space="preserve">Total Road Length (including local &amp; regional roads) (km) </t>
  </si>
  <si>
    <t>Number of Public Swimming Pools (Including Tidal &amp; Rock Pools)</t>
  </si>
  <si>
    <t>-</t>
  </si>
  <si>
    <t xml:space="preserve"> Total Expenses from Continuing Operations 2017/18 
($'000) </t>
  </si>
  <si>
    <t>Total Revenue from Continuing Operations 2017/18  
($,000)</t>
  </si>
  <si>
    <t>Total Residential Rating Revenue 2017/18
($'000)</t>
  </si>
  <si>
    <t>Average Residential Rate 2017/18 
($)</t>
  </si>
  <si>
    <t>Number of Residential Rating Assessments 2017/18</t>
  </si>
  <si>
    <t>Actual Asset Maintenance Expenditure 2017/18 
($'000)</t>
  </si>
  <si>
    <t>Required Asset Maintenance Expenditure 2017/18 
($'000)</t>
  </si>
  <si>
    <t>N</t>
  </si>
  <si>
    <t>N/A</t>
  </si>
  <si>
    <t>n/a</t>
  </si>
  <si>
    <r>
      <t xml:space="preserve">Council  
</t>
    </r>
    <r>
      <rPr>
        <sz val="12"/>
        <color theme="1"/>
        <rFont val="Calibri"/>
        <family val="2"/>
        <scheme val="minor"/>
      </rPr>
      <t>The councils listed are those that continued operations and reported for the financial year 1 July 2017 to 30 June 2018</t>
    </r>
  </si>
  <si>
    <t xml:space="preserve"> Average Farmland Rate 2017/18
($)</t>
  </si>
  <si>
    <t xml:space="preserve">Total Farmland Rates Revenue 2017/18 
($'000)  </t>
  </si>
  <si>
    <t>Total Business Rates Revenue 2017/18 
($'000)</t>
  </si>
  <si>
    <t>Average Business Rate 2017/18  
($)</t>
  </si>
  <si>
    <t>Number of Business Rating Assessments 2017/18</t>
  </si>
  <si>
    <t xml:space="preserve">Total Mining Rates Revenue 2017/18 
($'000) </t>
  </si>
  <si>
    <t>Average  Mining Rate 2017/18 
($)</t>
  </si>
  <si>
    <t>* Council received an extension to submit 2017/18 financial statements. As at 15 April 2019, this information is yet to be provided</t>
  </si>
  <si>
    <t># This information will be updated once made available by the lead agency</t>
  </si>
  <si>
    <t>Number Development Applications Determined by Councillors #</t>
  </si>
  <si>
    <t>Number of Development Applications Determined #</t>
  </si>
  <si>
    <t>Value of Development Applications Determined
($) #</t>
  </si>
  <si>
    <t>Mean Gross Days for  Development Applications #</t>
  </si>
  <si>
    <t>Typical Water &amp; Sewer Bill 
($) #</t>
  </si>
  <si>
    <t>Recycling Rate
(%) #</t>
  </si>
  <si>
    <t>Tonnes Collected of Dry Recycling #</t>
  </si>
  <si>
    <t>Dry Recycling of Total Waste (%) #</t>
  </si>
  <si>
    <t>Tonnes Collected of Organics #</t>
  </si>
  <si>
    <t>Organics of Total Waste
(%) #</t>
  </si>
  <si>
    <t>Tonnes Collected of Residual Waste #</t>
  </si>
  <si>
    <t>Residual Waste of Total Waste
(%) #</t>
  </si>
  <si>
    <t>*</t>
  </si>
  <si>
    <t>Joint Organisation Region</t>
  </si>
  <si>
    <t xml:space="preserve">Riverina and Murray </t>
  </si>
  <si>
    <t xml:space="preserve">New England </t>
  </si>
  <si>
    <t>Northern Rivers</t>
  </si>
  <si>
    <t>Central NSW</t>
  </si>
  <si>
    <t>Canberra</t>
  </si>
  <si>
    <t>Mid North Coast</t>
  </si>
  <si>
    <t>Riverina</t>
  </si>
  <si>
    <t>Hunter</t>
  </si>
  <si>
    <t>Orana</t>
  </si>
  <si>
    <t>Namoi</t>
  </si>
  <si>
    <t>Illawarra Shoalhaven</t>
  </si>
  <si>
    <t>Far South West</t>
  </si>
  <si>
    <t>Far North West</t>
  </si>
  <si>
    <t>Census - Unemployment Rate at 30 Sept 2018
(%)</t>
  </si>
  <si>
    <t>Census 2016 - Average taxable income (taxable and non-taxable individuals) 
($)</t>
  </si>
  <si>
    <t xml:space="preserve">Census 2016 - Relative Socio-Economic Advantage &amp; Disadvantage Index Rating </t>
  </si>
  <si>
    <t xml:space="preserve"> Number of Farmland Rating Assessments 2017/18</t>
  </si>
  <si>
    <t xml:space="preserve"> Number of Mining Rating Assessments 2017/18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</si>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</sst>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_(* #,##0.00_);_(* \(#,##0.00\);_(* &quot;-&quot;??_);_(@_)"/>
    <numFmt numFmtId="167" formatCode="#,##0_ ;\-#,##0\ "/>
    <numFmt numFmtId="168" formatCode="#,##0.0"/>
    <numFmt numFmtId="169" formatCode="_-* #,##0.0_-;\-* #,##0.0_-;_-* &quot;-&quot;??_-;_-@_-"/>
  </numFmts>
  <fonts count="56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Arial (W1)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sz val="10"/>
      <name val="Helv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name val="Arial"/>
    </font>
  </fonts>
  <fills count="50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7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3"/>
      </patternFill>
    </fill>
  </fills>
  <borders count="4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17">
    <xf numFmtId="0" fontId="0" fillId="0" borderId="0"/>
    <xf numFmtId="0" fontId="12" fillId="2" borderId="2" applyNumberFormat="0" applyAlignment="0" applyProtection="0"/>
    <xf numFmtId="43" fontId="7" fillId="0" borderId="0" applyFont="0" applyFill="0" applyBorder="0" applyAlignment="0" applyProtection="0"/>
    <xf numFmtId="16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9" fillId="0" borderId="0"/>
    <xf numFmtId="0" fontId="9" fillId="0" borderId="0"/>
    <xf numFmtId="0" fontId="6" fillId="0" borderId="0"/>
    <xf numFmtId="0" fontId="8" fillId="0" borderId="0"/>
    <xf numFmtId="0" fontId="6" fillId="0" borderId="0"/>
    <xf numFmtId="0" fontId="13" fillId="0" borderId="0"/>
    <xf numFmtId="9" fontId="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2" fontId="7" fillId="0" borderId="0">
      <alignment vertical="distributed"/>
    </xf>
    <xf numFmtId="0" fontId="14" fillId="0" borderId="0" applyNumberFormat="0" applyFill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0" applyNumberFormat="0" applyBorder="0" applyAlignment="0" applyProtection="0"/>
    <xf numFmtId="0" fontId="19" fillId="4" borderId="0" applyNumberFormat="0" applyBorder="0" applyAlignment="0" applyProtection="0"/>
    <xf numFmtId="0" fontId="20" fillId="5" borderId="0" applyNumberFormat="0" applyBorder="0" applyAlignment="0" applyProtection="0"/>
    <xf numFmtId="0" fontId="21" fillId="6" borderId="6" applyNumberFormat="0" applyAlignment="0" applyProtection="0"/>
    <xf numFmtId="0" fontId="22" fillId="7" borderId="7" applyNumberFormat="0" applyAlignment="0" applyProtection="0"/>
    <xf numFmtId="0" fontId="23" fillId="7" borderId="6" applyNumberFormat="0" applyAlignment="0" applyProtection="0"/>
    <xf numFmtId="0" fontId="24" fillId="0" borderId="8" applyNumberFormat="0" applyFill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10" applyNumberFormat="0" applyFill="0" applyAlignment="0" applyProtection="0"/>
    <xf numFmtId="0" fontId="28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8" fillId="16" borderId="0" applyNumberFormat="0" applyBorder="0" applyAlignment="0" applyProtection="0"/>
    <xf numFmtId="0" fontId="28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8" fillId="24" borderId="0" applyNumberFormat="0" applyBorder="0" applyAlignment="0" applyProtection="0"/>
    <xf numFmtId="0" fontId="28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8" fillId="28" borderId="0" applyNumberFormat="0" applyBorder="0" applyAlignment="0" applyProtection="0"/>
    <xf numFmtId="0" fontId="28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8" fillId="32" borderId="0" applyNumberFormat="0" applyBorder="0" applyAlignment="0" applyProtection="0"/>
    <xf numFmtId="0" fontId="5" fillId="0" borderId="0"/>
    <xf numFmtId="0" fontId="5" fillId="8" borderId="9" applyNumberFormat="0" applyFont="0" applyAlignment="0" applyProtection="0"/>
    <xf numFmtId="9" fontId="7" fillId="0" borderId="0" applyFont="0" applyFill="0" applyBorder="0" applyAlignment="0" applyProtection="0"/>
    <xf numFmtId="0" fontId="4" fillId="0" borderId="0"/>
    <xf numFmtId="0" fontId="4" fillId="8" borderId="9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2" fillId="0" borderId="0"/>
    <xf numFmtId="0" fontId="3" fillId="0" borderId="0"/>
    <xf numFmtId="0" fontId="7" fillId="0" borderId="0"/>
    <xf numFmtId="0" fontId="35" fillId="0" borderId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5" fillId="0" borderId="0"/>
    <xf numFmtId="0" fontId="36" fillId="37" borderId="0" applyNumberFormat="0" applyBorder="0" applyAlignment="0" applyProtection="0"/>
    <xf numFmtId="0" fontId="36" fillId="38" borderId="0" applyNumberFormat="0" applyBorder="0" applyAlignment="0" applyProtection="0"/>
    <xf numFmtId="0" fontId="36" fillId="39" borderId="0" applyNumberFormat="0" applyBorder="0" applyAlignment="0" applyProtection="0"/>
    <xf numFmtId="0" fontId="36" fillId="40" borderId="0" applyNumberFormat="0" applyBorder="0" applyAlignment="0" applyProtection="0"/>
    <xf numFmtId="0" fontId="36" fillId="37" borderId="0" applyNumberFormat="0" applyBorder="0" applyAlignment="0" applyProtection="0"/>
    <xf numFmtId="0" fontId="36" fillId="41" borderId="0" applyNumberFormat="0" applyBorder="0" applyAlignment="0" applyProtection="0"/>
    <xf numFmtId="0" fontId="36" fillId="42" borderId="0" applyNumberFormat="0" applyBorder="0" applyAlignment="0" applyProtection="0"/>
    <xf numFmtId="0" fontId="36" fillId="38" borderId="0" applyNumberFormat="0" applyBorder="0" applyAlignment="0" applyProtection="0"/>
    <xf numFmtId="0" fontId="36" fillId="39" borderId="0" applyNumberFormat="0" applyBorder="0" applyAlignment="0" applyProtection="0"/>
    <xf numFmtId="0" fontId="36" fillId="43" borderId="0" applyNumberFormat="0" applyBorder="0" applyAlignment="0" applyProtection="0"/>
    <xf numFmtId="0" fontId="36" fillId="44" borderId="0" applyNumberFormat="0" applyBorder="0" applyAlignment="0" applyProtection="0"/>
    <xf numFmtId="0" fontId="36" fillId="45" borderId="0" applyNumberFormat="0" applyBorder="0" applyAlignment="0" applyProtection="0"/>
    <xf numFmtId="0" fontId="37" fillId="46" borderId="0" applyNumberFormat="0" applyBorder="0" applyAlignment="0" applyProtection="0"/>
    <xf numFmtId="0" fontId="38" fillId="47" borderId="15" applyNumberFormat="0" applyAlignment="0" applyProtection="0"/>
    <xf numFmtId="0" fontId="39" fillId="48" borderId="16" applyNumberFormat="0" applyAlignment="0" applyProtection="0"/>
    <xf numFmtId="0" fontId="40" fillId="0" borderId="0" applyNumberFormat="0" applyFill="0" applyBorder="0" applyAlignment="0" applyProtection="0"/>
    <xf numFmtId="0" fontId="41" fillId="37" borderId="0" applyNumberFormat="0" applyBorder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4" fillId="0" borderId="19" applyNumberFormat="0" applyFill="0" applyAlignment="0" applyProtection="0"/>
    <xf numFmtId="0" fontId="44" fillId="0" borderId="0" applyNumberFormat="0" applyFill="0" applyBorder="0" applyAlignment="0" applyProtection="0"/>
    <xf numFmtId="0" fontId="45" fillId="49" borderId="15" applyNumberFormat="0" applyAlignment="0" applyProtection="0"/>
    <xf numFmtId="0" fontId="46" fillId="0" borderId="20" applyNumberFormat="0" applyFill="0" applyAlignment="0" applyProtection="0"/>
    <xf numFmtId="0" fontId="47" fillId="49" borderId="0" applyNumberFormat="0" applyBorder="0" applyAlignment="0" applyProtection="0"/>
    <xf numFmtId="0" fontId="48" fillId="47" borderId="21" applyNumberFormat="0" applyAlignment="0" applyProtection="0"/>
    <xf numFmtId="9" fontId="34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4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53" fillId="0" borderId="0">
      <alignment horizontal="right"/>
    </xf>
    <xf numFmtId="0" fontId="1" fillId="0" borderId="0"/>
    <xf numFmtId="43" fontId="1" fillId="0" borderId="0" applyFont="0" applyFill="0" applyBorder="0" applyAlignment="0" applyProtection="0"/>
  </cellStyleXfs>
  <cellXfs count="185">
    <xf numFmtId="0" fontId="0" fillId="0" borderId="0" xfId="0"/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7" fillId="0" borderId="0" xfId="0" applyFont="1"/>
    <xf numFmtId="0" fontId="0" fillId="0" borderId="0" xfId="0" applyAlignment="1">
      <alignment vertical="center"/>
    </xf>
    <xf numFmtId="0" fontId="7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0" fillId="0" borderId="0" xfId="0" applyBorder="1" applyAlignment="1">
      <alignment vertical="center"/>
    </xf>
    <xf numFmtId="164" fontId="31" fillId="0" borderId="0" xfId="2" applyNumberFormat="1" applyFont="1" applyFill="1" applyBorder="1"/>
    <xf numFmtId="164" fontId="31" fillId="0" borderId="0" xfId="2" applyNumberFormat="1" applyFont="1" applyBorder="1"/>
    <xf numFmtId="164" fontId="31" fillId="0" borderId="1" xfId="2" applyNumberFormat="1" applyFont="1" applyBorder="1"/>
    <xf numFmtId="3" fontId="31" fillId="0" borderId="0" xfId="0" applyNumberFormat="1" applyFont="1"/>
    <xf numFmtId="3" fontId="31" fillId="0" borderId="1" xfId="0" applyNumberFormat="1" applyFont="1" applyBorder="1"/>
    <xf numFmtId="3" fontId="31" fillId="0" borderId="0" xfId="0" applyNumberFormat="1" applyFont="1" applyAlignment="1">
      <alignment vertical="center"/>
    </xf>
    <xf numFmtId="164" fontId="31" fillId="0" borderId="0" xfId="2" applyNumberFormat="1" applyFont="1" applyBorder="1" applyAlignment="1">
      <alignment vertical="center"/>
    </xf>
    <xf numFmtId="3" fontId="31" fillId="0" borderId="0" xfId="0" applyNumberFormat="1" applyFont="1" applyAlignment="1"/>
    <xf numFmtId="164" fontId="31" fillId="0" borderId="0" xfId="2" applyNumberFormat="1" applyFont="1" applyBorder="1" applyAlignment="1"/>
    <xf numFmtId="3" fontId="31" fillId="0" borderId="0" xfId="0" applyNumberFormat="1" applyFont="1" applyFill="1"/>
    <xf numFmtId="0" fontId="7" fillId="0" borderId="0" xfId="76" applyFont="1" applyAlignment="1">
      <alignment vertical="top" wrapText="1"/>
    </xf>
    <xf numFmtId="0" fontId="7" fillId="0" borderId="0" xfId="0" applyFont="1" applyAlignment="1">
      <alignment wrapText="1"/>
    </xf>
    <xf numFmtId="10" fontId="30" fillId="33" borderId="11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vertical="center"/>
    </xf>
    <xf numFmtId="0" fontId="7" fillId="0" borderId="0" xfId="0" applyFont="1" applyBorder="1" applyAlignment="1">
      <alignment vertical="center" wrapText="1"/>
    </xf>
    <xf numFmtId="0" fontId="7" fillId="0" borderId="0" xfId="77" applyFont="1" applyBorder="1" applyAlignment="1">
      <alignment vertical="center" wrapText="1"/>
    </xf>
    <xf numFmtId="0" fontId="10" fillId="0" borderId="0" xfId="0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7" fillId="0" borderId="0" xfId="0" applyFont="1" applyBorder="1" applyAlignment="1">
      <alignment wrapText="1"/>
    </xf>
    <xf numFmtId="168" fontId="0" fillId="0" borderId="0" xfId="0" applyNumberFormat="1"/>
    <xf numFmtId="167" fontId="0" fillId="0" borderId="0" xfId="0" applyNumberFormat="1"/>
    <xf numFmtId="0" fontId="35" fillId="0" borderId="0" xfId="79" applyFill="1" applyBorder="1" applyAlignment="1">
      <alignment vertical="center"/>
    </xf>
    <xf numFmtId="0" fontId="31" fillId="0" borderId="0" xfId="79" applyFont="1" applyBorder="1"/>
    <xf numFmtId="0" fontId="31" fillId="0" borderId="0" xfId="79" applyFont="1" applyFill="1" applyBorder="1"/>
    <xf numFmtId="0" fontId="35" fillId="0" borderId="0" xfId="79" applyFill="1" applyBorder="1"/>
    <xf numFmtId="0" fontId="31" fillId="0" borderId="0" xfId="79" applyFont="1" applyFill="1"/>
    <xf numFmtId="0" fontId="31" fillId="0" borderId="0" xfId="79" applyFont="1" applyFill="1" applyBorder="1" applyAlignment="1">
      <alignment horizontal="center"/>
    </xf>
    <xf numFmtId="164" fontId="31" fillId="0" borderId="0" xfId="80" applyNumberFormat="1" applyFont="1" applyFill="1"/>
    <xf numFmtId="0" fontId="31" fillId="0" borderId="0" xfId="79" applyNumberFormat="1" applyFont="1" applyFill="1"/>
    <xf numFmtId="165" fontId="31" fillId="0" borderId="0" xfId="79" applyNumberFormat="1" applyFont="1" applyFill="1"/>
    <xf numFmtId="0" fontId="2" fillId="0" borderId="0" xfId="79" applyFont="1" applyFill="1"/>
    <xf numFmtId="9" fontId="2" fillId="0" borderId="0" xfId="79" applyNumberFormat="1" applyFont="1" applyFill="1"/>
    <xf numFmtId="0" fontId="2" fillId="0" borderId="0" xfId="79" applyNumberFormat="1" applyFont="1" applyFill="1"/>
    <xf numFmtId="0" fontId="2" fillId="0" borderId="0" xfId="79" applyFont="1" applyFill="1" applyBorder="1"/>
    <xf numFmtId="2" fontId="31" fillId="0" borderId="0" xfId="79" applyNumberFormat="1" applyFont="1" applyFill="1"/>
    <xf numFmtId="3" fontId="2" fillId="0" borderId="0" xfId="79" applyNumberFormat="1" applyFont="1" applyFill="1"/>
    <xf numFmtId="9" fontId="31" fillId="0" borderId="0" xfId="79" applyNumberFormat="1" applyFont="1" applyFill="1"/>
    <xf numFmtId="164" fontId="2" fillId="0" borderId="0" xfId="80" applyNumberFormat="1" applyFont="1" applyFill="1"/>
    <xf numFmtId="0" fontId="2" fillId="0" borderId="0" xfId="79" applyFont="1" applyFill="1" applyBorder="1" applyAlignment="1"/>
    <xf numFmtId="0" fontId="31" fillId="0" borderId="0" xfId="79" applyFont="1" applyFill="1" applyAlignment="1">
      <alignment horizontal="right"/>
    </xf>
    <xf numFmtId="0" fontId="2" fillId="0" borderId="0" xfId="79" applyFont="1" applyFill="1" applyAlignment="1">
      <alignment horizontal="center" vertical="center"/>
    </xf>
    <xf numFmtId="0" fontId="2" fillId="0" borderId="0" xfId="79" applyFont="1" applyFill="1" applyAlignment="1">
      <alignment vertical="center"/>
    </xf>
    <xf numFmtId="3" fontId="31" fillId="0" borderId="0" xfId="80" applyNumberFormat="1" applyFont="1" applyFill="1"/>
    <xf numFmtId="3" fontId="31" fillId="0" borderId="0" xfId="79" applyNumberFormat="1" applyFont="1" applyFill="1"/>
    <xf numFmtId="43" fontId="31" fillId="0" borderId="0" xfId="79" applyNumberFormat="1" applyFont="1" applyBorder="1"/>
    <xf numFmtId="3" fontId="31" fillId="0" borderId="0" xfId="79" applyNumberFormat="1" applyFont="1" applyBorder="1"/>
    <xf numFmtId="164" fontId="30" fillId="34" borderId="29" xfId="80" applyNumberFormat="1" applyFont="1" applyFill="1" applyBorder="1" applyAlignment="1">
      <alignment horizontal="center" vertical="center" wrapText="1"/>
    </xf>
    <xf numFmtId="0" fontId="30" fillId="36" borderId="29" xfId="79" applyNumberFormat="1" applyFont="1" applyFill="1" applyBorder="1" applyAlignment="1">
      <alignment horizontal="center" vertical="center" wrapText="1"/>
    </xf>
    <xf numFmtId="0" fontId="33" fillId="36" borderId="29" xfId="79" applyFont="1" applyFill="1" applyBorder="1" applyAlignment="1">
      <alignment horizontal="center" vertical="center" wrapText="1"/>
    </xf>
    <xf numFmtId="0" fontId="27" fillId="36" borderId="32" xfId="79" applyFont="1" applyFill="1" applyBorder="1" applyAlignment="1">
      <alignment horizontal="center" vertical="center" wrapText="1"/>
    </xf>
    <xf numFmtId="9" fontId="27" fillId="35" borderId="34" xfId="79" applyNumberFormat="1" applyFont="1" applyFill="1" applyBorder="1" applyAlignment="1">
      <alignment horizontal="center" vertical="center" wrapText="1"/>
    </xf>
    <xf numFmtId="164" fontId="30" fillId="34" borderId="34" xfId="80" applyNumberFormat="1" applyFont="1" applyFill="1" applyBorder="1" applyAlignment="1">
      <alignment horizontal="center" vertical="center" wrapText="1"/>
    </xf>
    <xf numFmtId="9" fontId="27" fillId="35" borderId="36" xfId="79" applyNumberFormat="1" applyFont="1" applyFill="1" applyBorder="1" applyAlignment="1">
      <alignment horizontal="center" vertical="center" wrapText="1"/>
    </xf>
    <xf numFmtId="1" fontId="31" fillId="0" borderId="0" xfId="79" applyNumberFormat="1" applyFont="1" applyFill="1"/>
    <xf numFmtId="3" fontId="31" fillId="0" borderId="0" xfId="79" applyNumberFormat="1" applyFont="1" applyFill="1" applyBorder="1"/>
    <xf numFmtId="0" fontId="30" fillId="36" borderId="37" xfId="79" applyNumberFormat="1" applyFont="1" applyFill="1" applyBorder="1" applyAlignment="1">
      <alignment horizontal="center" vertical="center" wrapText="1"/>
    </xf>
    <xf numFmtId="0" fontId="30" fillId="35" borderId="34" xfId="79" applyNumberFormat="1" applyFont="1" applyFill="1" applyBorder="1" applyAlignment="1">
      <alignment horizontal="center" vertical="center" wrapText="1"/>
    </xf>
    <xf numFmtId="165" fontId="27" fillId="35" borderId="34" xfId="79" applyNumberFormat="1" applyFont="1" applyFill="1" applyBorder="1" applyAlignment="1">
      <alignment horizontal="center" vertical="center" wrapText="1"/>
    </xf>
    <xf numFmtId="0" fontId="27" fillId="35" borderId="34" xfId="79" applyFont="1" applyFill="1" applyBorder="1" applyAlignment="1">
      <alignment horizontal="center" vertical="center" wrapText="1"/>
    </xf>
    <xf numFmtId="9" fontId="27" fillId="35" borderId="34" xfId="26" applyNumberFormat="1" applyFont="1" applyFill="1" applyBorder="1" applyAlignment="1">
      <alignment horizontal="center" vertical="center" wrapText="1"/>
    </xf>
    <xf numFmtId="0" fontId="30" fillId="35" borderId="34" xfId="79" quotePrefix="1" applyFont="1" applyFill="1" applyBorder="1" applyAlignment="1">
      <alignment horizontal="center" vertical="center" wrapText="1"/>
    </xf>
    <xf numFmtId="0" fontId="27" fillId="34" borderId="34" xfId="79" applyFont="1" applyFill="1" applyBorder="1" applyAlignment="1">
      <alignment horizontal="center" vertical="center" wrapText="1"/>
    </xf>
    <xf numFmtId="165" fontId="30" fillId="34" borderId="34" xfId="79" applyNumberFormat="1" applyFont="1" applyFill="1" applyBorder="1" applyAlignment="1">
      <alignment horizontal="center" vertical="center" wrapText="1"/>
    </xf>
    <xf numFmtId="0" fontId="30" fillId="34" borderId="34" xfId="79" applyFont="1" applyFill="1" applyBorder="1" applyAlignment="1">
      <alignment horizontal="center" vertical="center" wrapText="1"/>
    </xf>
    <xf numFmtId="0" fontId="27" fillId="34" borderId="35" xfId="79" applyFont="1" applyFill="1" applyBorder="1" applyAlignment="1">
      <alignment horizontal="center" vertical="center" wrapText="1"/>
    </xf>
    <xf numFmtId="0" fontId="30" fillId="34" borderId="33" xfId="79" applyFont="1" applyFill="1" applyBorder="1" applyAlignment="1">
      <alignment horizontal="center" vertical="center" wrapText="1"/>
    </xf>
    <xf numFmtId="0" fontId="30" fillId="34" borderId="29" xfId="79" applyFont="1" applyFill="1" applyBorder="1" applyAlignment="1">
      <alignment horizontal="center" vertical="center" wrapText="1"/>
    </xf>
    <xf numFmtId="165" fontId="31" fillId="0" borderId="13" xfId="113" applyNumberFormat="1" applyFont="1" applyFill="1" applyBorder="1" applyAlignment="1">
      <alignment horizontal="right"/>
    </xf>
    <xf numFmtId="0" fontId="7" fillId="0" borderId="41" xfId="0" applyFont="1" applyFill="1" applyBorder="1" applyAlignment="1">
      <alignment horizontal="center" vertical="center"/>
    </xf>
    <xf numFmtId="165" fontId="7" fillId="0" borderId="41" xfId="0" applyNumberFormat="1" applyFont="1" applyFill="1" applyBorder="1" applyAlignment="1">
      <alignment horizontal="right" vertical="center"/>
    </xf>
    <xf numFmtId="164" fontId="7" fillId="0" borderId="41" xfId="2" applyNumberFormat="1" applyFont="1" applyFill="1" applyBorder="1" applyAlignment="1">
      <alignment horizontal="right" vertical="center"/>
    </xf>
    <xf numFmtId="3" fontId="31" fillId="0" borderId="41" xfId="79" applyNumberFormat="1" applyFont="1" applyFill="1" applyBorder="1" applyAlignment="1">
      <alignment horizontal="right" vertical="center"/>
    </xf>
    <xf numFmtId="3" fontId="31" fillId="0" borderId="42" xfId="79" applyNumberFormat="1" applyFont="1" applyFill="1" applyBorder="1" applyAlignment="1">
      <alignment horizontal="right" vertical="center" wrapText="1"/>
    </xf>
    <xf numFmtId="0" fontId="7" fillId="0" borderId="13" xfId="0" applyFont="1" applyFill="1" applyBorder="1" applyAlignment="1">
      <alignment horizontal="center" vertical="center"/>
    </xf>
    <xf numFmtId="165" fontId="7" fillId="0" borderId="13" xfId="0" applyNumberFormat="1" applyFont="1" applyFill="1" applyBorder="1" applyAlignment="1">
      <alignment horizontal="right" vertical="center"/>
    </xf>
    <xf numFmtId="164" fontId="7" fillId="0" borderId="13" xfId="2" applyNumberFormat="1" applyFont="1" applyFill="1" applyBorder="1" applyAlignment="1">
      <alignment horizontal="right" vertical="center"/>
    </xf>
    <xf numFmtId="165" fontId="7" fillId="0" borderId="23" xfId="0" applyNumberFormat="1" applyFont="1" applyFill="1" applyBorder="1" applyAlignment="1">
      <alignment horizontal="right" vertical="center"/>
    </xf>
    <xf numFmtId="3" fontId="31" fillId="0" borderId="13" xfId="79" applyNumberFormat="1" applyFont="1" applyFill="1" applyBorder="1" applyAlignment="1">
      <alignment horizontal="right" vertical="center"/>
    </xf>
    <xf numFmtId="3" fontId="31" fillId="0" borderId="27" xfId="79" applyNumberFormat="1" applyFont="1" applyFill="1" applyBorder="1" applyAlignment="1">
      <alignment horizontal="right" vertical="center" wrapText="1"/>
    </xf>
    <xf numFmtId="0" fontId="7" fillId="0" borderId="13" xfId="0" applyFont="1" applyFill="1" applyBorder="1" applyAlignment="1">
      <alignment horizontal="right" vertical="center"/>
    </xf>
    <xf numFmtId="168" fontId="7" fillId="0" borderId="13" xfId="0" applyNumberFormat="1" applyFont="1" applyFill="1" applyBorder="1" applyAlignment="1">
      <alignment horizontal="right" vertical="center"/>
    </xf>
    <xf numFmtId="165" fontId="31" fillId="0" borderId="13" xfId="79" applyNumberFormat="1" applyFont="1" applyFill="1" applyBorder="1" applyAlignment="1">
      <alignment horizontal="right" vertical="center"/>
    </xf>
    <xf numFmtId="165" fontId="31" fillId="0" borderId="13" xfId="113" applyNumberFormat="1" applyFont="1" applyFill="1" applyBorder="1" applyAlignment="1">
      <alignment horizontal="right" vertical="center"/>
    </xf>
    <xf numFmtId="3" fontId="31" fillId="0" borderId="27" xfId="79" applyNumberFormat="1" applyFont="1" applyFill="1" applyBorder="1" applyAlignment="1">
      <alignment horizontal="right" vertical="center"/>
    </xf>
    <xf numFmtId="0" fontId="7" fillId="0" borderId="24" xfId="0" applyFont="1" applyFill="1" applyBorder="1" applyAlignment="1">
      <alignment horizontal="center" vertical="center"/>
    </xf>
    <xf numFmtId="165" fontId="7" fillId="0" borderId="24" xfId="0" applyNumberFormat="1" applyFont="1" applyFill="1" applyBorder="1" applyAlignment="1">
      <alignment horizontal="right" vertical="center"/>
    </xf>
    <xf numFmtId="164" fontId="7" fillId="0" borderId="24" xfId="2" applyNumberFormat="1" applyFont="1" applyFill="1" applyBorder="1" applyAlignment="1">
      <alignment horizontal="right" vertical="center"/>
    </xf>
    <xf numFmtId="165" fontId="7" fillId="0" borderId="38" xfId="0" applyNumberFormat="1" applyFont="1" applyFill="1" applyBorder="1" applyAlignment="1">
      <alignment horizontal="right" vertical="center"/>
    </xf>
    <xf numFmtId="3" fontId="31" fillId="0" borderId="28" xfId="79" applyNumberFormat="1" applyFont="1" applyFill="1" applyBorder="1" applyAlignment="1">
      <alignment horizontal="right" vertical="center" wrapText="1"/>
    </xf>
    <xf numFmtId="3" fontId="31" fillId="0" borderId="39" xfId="79" applyNumberFormat="1" applyFont="1" applyFill="1" applyBorder="1" applyAlignment="1">
      <alignment horizontal="center" vertical="center"/>
    </xf>
    <xf numFmtId="3" fontId="31" fillId="0" borderId="14" xfId="79" applyNumberFormat="1" applyFont="1" applyFill="1" applyBorder="1" applyAlignment="1">
      <alignment horizontal="center" vertical="center"/>
    </xf>
    <xf numFmtId="3" fontId="31" fillId="0" borderId="26" xfId="79" applyNumberFormat="1" applyFont="1" applyFill="1" applyBorder="1" applyAlignment="1">
      <alignment horizontal="center" vertical="center"/>
    </xf>
    <xf numFmtId="0" fontId="31" fillId="0" borderId="40" xfId="79" applyFont="1" applyFill="1" applyBorder="1" applyAlignment="1">
      <alignment horizontal="right" vertical="center"/>
    </xf>
    <xf numFmtId="0" fontId="7" fillId="0" borderId="41" xfId="0" applyFont="1" applyFill="1" applyBorder="1" applyAlignment="1">
      <alignment horizontal="right" vertical="center"/>
    </xf>
    <xf numFmtId="168" fontId="7" fillId="0" borderId="41" xfId="0" applyNumberFormat="1" applyFont="1" applyFill="1" applyBorder="1" applyAlignment="1">
      <alignment horizontal="right" vertical="center"/>
    </xf>
    <xf numFmtId="165" fontId="31" fillId="0" borderId="41" xfId="79" applyNumberFormat="1" applyFont="1" applyFill="1" applyBorder="1" applyAlignment="1">
      <alignment horizontal="right" vertical="center"/>
    </xf>
    <xf numFmtId="4" fontId="31" fillId="0" borderId="41" xfId="80" applyNumberFormat="1" applyFont="1" applyFill="1" applyBorder="1" applyAlignment="1">
      <alignment horizontal="right" vertical="center"/>
    </xf>
    <xf numFmtId="4" fontId="31" fillId="0" borderId="41" xfId="79" applyNumberFormat="1" applyFont="1" applyFill="1" applyBorder="1" applyAlignment="1">
      <alignment horizontal="right" vertical="center"/>
    </xf>
    <xf numFmtId="0" fontId="31" fillId="0" borderId="41" xfId="79" applyFont="1" applyFill="1" applyBorder="1" applyAlignment="1">
      <alignment horizontal="right" vertical="center"/>
    </xf>
    <xf numFmtId="0" fontId="31" fillId="0" borderId="30" xfId="79" applyFont="1" applyFill="1" applyBorder="1" applyAlignment="1">
      <alignment horizontal="right" vertical="center"/>
    </xf>
    <xf numFmtId="0" fontId="7" fillId="0" borderId="23" xfId="0" applyFont="1" applyFill="1" applyBorder="1" applyAlignment="1">
      <alignment horizontal="right" vertical="center"/>
    </xf>
    <xf numFmtId="4" fontId="31" fillId="0" borderId="23" xfId="80" applyNumberFormat="1" applyFont="1" applyFill="1" applyBorder="1" applyAlignment="1">
      <alignment horizontal="right" vertical="center"/>
    </xf>
    <xf numFmtId="4" fontId="31" fillId="0" borderId="23" xfId="79" applyNumberFormat="1" applyFont="1" applyFill="1" applyBorder="1" applyAlignment="1">
      <alignment horizontal="right" vertical="center"/>
    </xf>
    <xf numFmtId="0" fontId="31" fillId="0" borderId="23" xfId="79" applyFont="1" applyFill="1" applyBorder="1" applyAlignment="1">
      <alignment horizontal="right" vertical="center"/>
    </xf>
    <xf numFmtId="3" fontId="31" fillId="0" borderId="23" xfId="79" applyNumberFormat="1" applyFont="1" applyFill="1" applyBorder="1" applyAlignment="1">
      <alignment horizontal="right" vertical="center"/>
    </xf>
    <xf numFmtId="0" fontId="31" fillId="0" borderId="13" xfId="79" applyFont="1" applyFill="1" applyBorder="1" applyAlignment="1">
      <alignment horizontal="right" vertical="center"/>
    </xf>
    <xf numFmtId="0" fontId="31" fillId="0" borderId="31" xfId="79" applyFont="1" applyFill="1" applyBorder="1" applyAlignment="1">
      <alignment horizontal="right" vertical="center"/>
    </xf>
    <xf numFmtId="0" fontId="7" fillId="0" borderId="24" xfId="0" applyFont="1" applyFill="1" applyBorder="1" applyAlignment="1">
      <alignment horizontal="right" vertical="center"/>
    </xf>
    <xf numFmtId="168" fontId="7" fillId="0" borderId="24" xfId="0" applyNumberFormat="1" applyFont="1" applyFill="1" applyBorder="1" applyAlignment="1">
      <alignment horizontal="right" vertical="center"/>
    </xf>
    <xf numFmtId="0" fontId="7" fillId="0" borderId="38" xfId="0" applyFont="1" applyFill="1" applyBorder="1" applyAlignment="1">
      <alignment horizontal="right" vertical="center"/>
    </xf>
    <xf numFmtId="3" fontId="31" fillId="0" borderId="24" xfId="79" applyNumberFormat="1" applyFont="1" applyFill="1" applyBorder="1" applyAlignment="1">
      <alignment horizontal="right" vertical="center"/>
    </xf>
    <xf numFmtId="165" fontId="31" fillId="0" borderId="24" xfId="79" applyNumberFormat="1" applyFont="1" applyFill="1" applyBorder="1" applyAlignment="1">
      <alignment horizontal="right" vertical="center"/>
    </xf>
    <xf numFmtId="4" fontId="31" fillId="0" borderId="24" xfId="80" applyNumberFormat="1" applyFont="1" applyFill="1" applyBorder="1" applyAlignment="1">
      <alignment horizontal="right" vertical="center"/>
    </xf>
    <xf numFmtId="4" fontId="31" fillId="0" borderId="24" xfId="79" applyNumberFormat="1" applyFont="1" applyFill="1" applyBorder="1" applyAlignment="1">
      <alignment horizontal="right" vertical="center"/>
    </xf>
    <xf numFmtId="0" fontId="31" fillId="0" borderId="24" xfId="79" applyFont="1" applyFill="1" applyBorder="1" applyAlignment="1">
      <alignment horizontal="right" vertical="center"/>
    </xf>
    <xf numFmtId="165" fontId="31" fillId="0" borderId="24" xfId="113" applyNumberFormat="1" applyFont="1" applyFill="1" applyBorder="1" applyAlignment="1">
      <alignment horizontal="right" vertical="center"/>
    </xf>
    <xf numFmtId="3" fontId="31" fillId="0" borderId="38" xfId="79" applyNumberFormat="1" applyFont="1" applyFill="1" applyBorder="1" applyAlignment="1">
      <alignment horizontal="right" vertical="center"/>
    </xf>
    <xf numFmtId="165" fontId="31" fillId="0" borderId="41" xfId="113" applyNumberFormat="1" applyFont="1" applyFill="1" applyBorder="1" applyAlignment="1">
      <alignment horizontal="right"/>
    </xf>
    <xf numFmtId="3" fontId="31" fillId="0" borderId="41" xfId="2" applyNumberFormat="1" applyFont="1" applyFill="1" applyBorder="1" applyAlignment="1">
      <alignment horizontal="right" vertical="center"/>
    </xf>
    <xf numFmtId="3" fontId="31" fillId="0" borderId="13" xfId="2" applyNumberFormat="1" applyFont="1" applyFill="1" applyBorder="1" applyAlignment="1">
      <alignment horizontal="right" vertical="center"/>
    </xf>
    <xf numFmtId="3" fontId="31" fillId="0" borderId="24" xfId="2" applyNumberFormat="1" applyFont="1" applyFill="1" applyBorder="1" applyAlignment="1">
      <alignment horizontal="right" vertical="center"/>
    </xf>
    <xf numFmtId="169" fontId="7" fillId="0" borderId="41" xfId="2" applyNumberFormat="1" applyFont="1" applyFill="1" applyBorder="1" applyAlignment="1">
      <alignment horizontal="right" vertical="center"/>
    </xf>
    <xf numFmtId="169" fontId="7" fillId="0" borderId="13" xfId="2" applyNumberFormat="1" applyFont="1" applyFill="1" applyBorder="1" applyAlignment="1">
      <alignment horizontal="right" vertical="center"/>
    </xf>
    <xf numFmtId="169" fontId="7" fillId="0" borderId="24" xfId="2" applyNumberFormat="1" applyFont="1" applyFill="1" applyBorder="1" applyAlignment="1">
      <alignment horizontal="right" vertical="center"/>
    </xf>
    <xf numFmtId="3" fontId="30" fillId="34" borderId="34" xfId="79" applyNumberFormat="1" applyFont="1" applyFill="1" applyBorder="1" applyAlignment="1">
      <alignment horizontal="center" vertical="center" wrapText="1"/>
    </xf>
    <xf numFmtId="43" fontId="7" fillId="0" borderId="13" xfId="2" applyFont="1" applyFill="1" applyBorder="1" applyAlignment="1">
      <alignment horizontal="right" vertical="center"/>
    </xf>
    <xf numFmtId="169" fontId="31" fillId="0" borderId="41" xfId="2" applyNumberFormat="1" applyFont="1" applyFill="1" applyBorder="1" applyAlignment="1">
      <alignment horizontal="right"/>
    </xf>
    <xf numFmtId="169" fontId="31" fillId="0" borderId="13" xfId="2" applyNumberFormat="1" applyFont="1" applyFill="1" applyBorder="1" applyAlignment="1">
      <alignment horizontal="right"/>
    </xf>
    <xf numFmtId="169" fontId="31" fillId="0" borderId="23" xfId="2" applyNumberFormat="1" applyFont="1" applyFill="1" applyBorder="1" applyAlignment="1">
      <alignment horizontal="right" vertical="center"/>
    </xf>
    <xf numFmtId="169" fontId="31" fillId="0" borderId="13" xfId="2" applyNumberFormat="1" applyFont="1" applyFill="1" applyBorder="1" applyAlignment="1">
      <alignment horizontal="right" vertical="center"/>
    </xf>
    <xf numFmtId="169" fontId="31" fillId="0" borderId="24" xfId="2" applyNumberFormat="1" applyFont="1" applyFill="1" applyBorder="1" applyAlignment="1">
      <alignment horizontal="right" vertical="center"/>
    </xf>
    <xf numFmtId="169" fontId="31" fillId="0" borderId="23" xfId="2" applyNumberFormat="1" applyFont="1" applyFill="1" applyBorder="1" applyAlignment="1">
      <alignment horizontal="right"/>
    </xf>
    <xf numFmtId="168" fontId="31" fillId="0" borderId="0" xfId="79" applyNumberFormat="1" applyFont="1" applyFill="1"/>
    <xf numFmtId="4" fontId="31" fillId="0" borderId="38" xfId="79" applyNumberFormat="1" applyFont="1" applyFill="1" applyBorder="1" applyAlignment="1">
      <alignment horizontal="right" vertical="center"/>
    </xf>
    <xf numFmtId="1" fontId="31" fillId="0" borderId="0" xfId="79" applyNumberFormat="1" applyFont="1" applyFill="1" applyBorder="1"/>
    <xf numFmtId="4" fontId="7" fillId="0" borderId="41" xfId="0" applyNumberFormat="1" applyFont="1" applyFill="1" applyBorder="1" applyAlignment="1">
      <alignment horizontal="right" vertical="center"/>
    </xf>
    <xf numFmtId="43" fontId="7" fillId="0" borderId="41" xfId="2" applyFont="1" applyFill="1" applyBorder="1" applyAlignment="1">
      <alignment horizontal="right" vertical="center"/>
    </xf>
    <xf numFmtId="3" fontId="31" fillId="0" borderId="43" xfId="79" applyNumberFormat="1" applyFont="1" applyFill="1" applyBorder="1" applyAlignment="1">
      <alignment horizontal="right" vertical="center" wrapText="1"/>
    </xf>
    <xf numFmtId="4" fontId="7" fillId="0" borderId="13" xfId="0" applyNumberFormat="1" applyFont="1" applyFill="1" applyBorder="1" applyAlignment="1">
      <alignment horizontal="right" vertical="center"/>
    </xf>
    <xf numFmtId="4" fontId="7" fillId="0" borderId="24" xfId="0" applyNumberFormat="1" applyFont="1" applyFill="1" applyBorder="1" applyAlignment="1">
      <alignment horizontal="right" vertical="center"/>
    </xf>
    <xf numFmtId="43" fontId="7" fillId="0" borderId="24" xfId="2" applyFont="1" applyFill="1" applyBorder="1" applyAlignment="1">
      <alignment horizontal="right" vertical="center"/>
    </xf>
    <xf numFmtId="3" fontId="31" fillId="0" borderId="25" xfId="79" applyNumberFormat="1" applyFont="1" applyFill="1" applyBorder="1" applyAlignment="1">
      <alignment horizontal="right" vertical="center" wrapText="1"/>
    </xf>
    <xf numFmtId="164" fontId="31" fillId="0" borderId="0" xfId="79" applyNumberFormat="1" applyFont="1" applyFill="1"/>
    <xf numFmtId="165" fontId="7" fillId="0" borderId="0" xfId="0" applyNumberFormat="1" applyFont="1" applyFill="1" applyBorder="1"/>
    <xf numFmtId="165" fontId="31" fillId="0" borderId="0" xfId="79" applyNumberFormat="1" applyFont="1" applyFill="1" applyBorder="1"/>
    <xf numFmtId="0" fontId="31" fillId="0" borderId="0" xfId="79" applyFont="1" applyFill="1" applyBorder="1" applyAlignment="1"/>
    <xf numFmtId="0" fontId="31" fillId="0" borderId="0" xfId="79" applyFont="1" applyFill="1" applyAlignment="1">
      <alignment horizontal="center" vertical="center"/>
    </xf>
    <xf numFmtId="0" fontId="31" fillId="0" borderId="0" xfId="79" applyFont="1" applyFill="1" applyAlignment="1">
      <alignment vertical="center"/>
    </xf>
    <xf numFmtId="0" fontId="7" fillId="0" borderId="0" xfId="0" applyFont="1" applyFill="1"/>
    <xf numFmtId="165" fontId="0" fillId="0" borderId="27" xfId="113" applyNumberFormat="1" applyFont="1" applyFill="1" applyBorder="1"/>
    <xf numFmtId="165" fontId="0" fillId="0" borderId="47" xfId="0" applyNumberFormat="1" applyFill="1" applyBorder="1"/>
    <xf numFmtId="165" fontId="0" fillId="0" borderId="13" xfId="113" applyNumberFormat="1" applyFont="1" applyFill="1" applyBorder="1"/>
    <xf numFmtId="0" fontId="54" fillId="0" borderId="13" xfId="0" applyFont="1" applyFill="1" applyBorder="1" applyAlignment="1">
      <alignment horizontal="center" vertical="center" wrapText="1"/>
    </xf>
    <xf numFmtId="0" fontId="54" fillId="0" borderId="13" xfId="0" applyFont="1" applyFill="1" applyBorder="1" applyAlignment="1">
      <alignment horizontal="center" wrapText="1"/>
    </xf>
    <xf numFmtId="0" fontId="54" fillId="0" borderId="12" xfId="0" applyFont="1" applyFill="1" applyBorder="1" applyAlignment="1">
      <alignment horizontal="center" vertical="center" wrapText="1"/>
    </xf>
    <xf numFmtId="4" fontId="31" fillId="0" borderId="13" xfId="80" applyNumberFormat="1" applyFont="1" applyFill="1" applyBorder="1" applyAlignment="1">
      <alignment horizontal="right" vertical="center"/>
    </xf>
    <xf numFmtId="167" fontId="7" fillId="0" borderId="13" xfId="2" applyNumberFormat="1" applyFont="1" applyFill="1" applyBorder="1" applyAlignment="1">
      <alignment horizontal="right" vertical="center"/>
    </xf>
    <xf numFmtId="0" fontId="54" fillId="0" borderId="24" xfId="0" applyFont="1" applyFill="1" applyBorder="1" applyAlignment="1">
      <alignment horizontal="center" wrapText="1"/>
    </xf>
    <xf numFmtId="165" fontId="7" fillId="0" borderId="44" xfId="113" applyNumberFormat="1" applyFont="1" applyFill="1" applyBorder="1" applyAlignment="1">
      <alignment horizontal="right" vertical="center"/>
    </xf>
    <xf numFmtId="165" fontId="7" fillId="0" borderId="41" xfId="113" applyNumberFormat="1" applyFont="1" applyFill="1" applyBorder="1" applyAlignment="1">
      <alignment horizontal="right" vertical="center"/>
    </xf>
    <xf numFmtId="165" fontId="0" fillId="0" borderId="44" xfId="113" applyNumberFormat="1" applyFont="1" applyFill="1" applyBorder="1"/>
    <xf numFmtId="165" fontId="0" fillId="0" borderId="48" xfId="113" applyNumberFormat="1" applyFont="1" applyFill="1" applyBorder="1"/>
    <xf numFmtId="165" fontId="0" fillId="0" borderId="0" xfId="0" applyNumberFormat="1" applyFill="1"/>
    <xf numFmtId="165" fontId="7" fillId="0" borderId="13" xfId="113" applyNumberFormat="1" applyFont="1" applyFill="1" applyBorder="1" applyAlignment="1">
      <alignment horizontal="right" vertical="center"/>
    </xf>
    <xf numFmtId="165" fontId="7" fillId="0" borderId="24" xfId="113" applyNumberFormat="1" applyFont="1" applyFill="1" applyBorder="1" applyAlignment="1">
      <alignment horizontal="right" vertical="center"/>
    </xf>
    <xf numFmtId="165" fontId="0" fillId="0" borderId="38" xfId="113" applyNumberFormat="1" applyFont="1" applyFill="1" applyBorder="1"/>
    <xf numFmtId="165" fontId="0" fillId="0" borderId="45" xfId="113" applyNumberFormat="1" applyFont="1" applyFill="1" applyBorder="1"/>
    <xf numFmtId="165" fontId="0" fillId="0" borderId="46" xfId="0" applyNumberFormat="1" applyFill="1" applyBorder="1"/>
    <xf numFmtId="0" fontId="31" fillId="0" borderId="0" xfId="79" applyFont="1" applyFill="1" applyAlignment="1">
      <alignment wrapText="1"/>
    </xf>
    <xf numFmtId="0" fontId="30" fillId="36" borderId="32" xfId="79" applyNumberFormat="1" applyFont="1" applyFill="1" applyBorder="1" applyAlignment="1">
      <alignment horizontal="center" vertical="center" wrapText="1"/>
    </xf>
    <xf numFmtId="10" fontId="31" fillId="0" borderId="0" xfId="79" applyNumberFormat="1" applyFont="1" applyFill="1"/>
    <xf numFmtId="10" fontId="31" fillId="0" borderId="0" xfId="113" applyNumberFormat="1" applyFont="1" applyFill="1"/>
    <xf numFmtId="3" fontId="31" fillId="0" borderId="0" xfId="79" applyNumberFormat="1" applyFont="1" applyFill="1" applyAlignment="1">
      <alignment vertical="center"/>
    </xf>
    <xf numFmtId="0" fontId="33" fillId="36" borderId="32" xfId="79" applyFont="1" applyFill="1" applyBorder="1" applyAlignment="1">
      <alignment horizontal="center" vertical="center" wrapText="1"/>
    </xf>
    <xf numFmtId="3" fontId="31" fillId="0" borderId="40" xfId="79" applyNumberFormat="1" applyFont="1" applyFill="1" applyBorder="1" applyAlignment="1">
      <alignment horizontal="center" vertical="center"/>
    </xf>
  </cellXfs>
  <cellStyles count="117">
    <cellStyle name="20% - Accent1" xfId="36" builtinId="30" customBuiltin="1"/>
    <cellStyle name="20% - Accent1 2" xfId="64" xr:uid="{00000000-0005-0000-0000-000001000000}"/>
    <cellStyle name="20% - Accent2" xfId="40" builtinId="34" customBuiltin="1"/>
    <cellStyle name="20% - Accent2 2" xfId="66" xr:uid="{00000000-0005-0000-0000-000003000000}"/>
    <cellStyle name="20% - Accent3" xfId="44" builtinId="38" customBuiltin="1"/>
    <cellStyle name="20% - Accent3 2" xfId="68" xr:uid="{00000000-0005-0000-0000-000005000000}"/>
    <cellStyle name="20% - Accent4" xfId="48" builtinId="42" customBuiltin="1"/>
    <cellStyle name="20% - Accent4 2" xfId="70" xr:uid="{00000000-0005-0000-0000-000007000000}"/>
    <cellStyle name="20% - Accent5" xfId="52" builtinId="46" customBuiltin="1"/>
    <cellStyle name="20% - Accent5 2" xfId="72" xr:uid="{00000000-0005-0000-0000-000009000000}"/>
    <cellStyle name="20% - Accent6" xfId="56" builtinId="50" customBuiltin="1"/>
    <cellStyle name="20% - Accent6 2" xfId="74" xr:uid="{00000000-0005-0000-0000-00000B000000}"/>
    <cellStyle name="40% - Accent1" xfId="37" builtinId="31" customBuiltin="1"/>
    <cellStyle name="40% - Accent1 2" xfId="65" xr:uid="{00000000-0005-0000-0000-00000D000000}"/>
    <cellStyle name="40% - Accent2" xfId="41" builtinId="35" customBuiltin="1"/>
    <cellStyle name="40% - Accent2 2" xfId="67" xr:uid="{00000000-0005-0000-0000-00000F000000}"/>
    <cellStyle name="40% - Accent3" xfId="45" builtinId="39" customBuiltin="1"/>
    <cellStyle name="40% - Accent3 2" xfId="69" xr:uid="{00000000-0005-0000-0000-000011000000}"/>
    <cellStyle name="40% - Accent4" xfId="49" builtinId="43" customBuiltin="1"/>
    <cellStyle name="40% - Accent4 2" xfId="71" xr:uid="{00000000-0005-0000-0000-000013000000}"/>
    <cellStyle name="40% - Accent5" xfId="53" builtinId="47" customBuiltin="1"/>
    <cellStyle name="40% - Accent5 2" xfId="73" xr:uid="{00000000-0005-0000-0000-000015000000}"/>
    <cellStyle name="40% - Accent6" xfId="57" builtinId="51" customBuiltin="1"/>
    <cellStyle name="40% - Accent6 2" xfId="75" xr:uid="{00000000-0005-0000-0000-000017000000}"/>
    <cellStyle name="60% - Accent1" xfId="38" builtinId="32" customBuiltin="1"/>
    <cellStyle name="60% - Accent1 2" xfId="84" xr:uid="{00000000-0005-0000-0000-000019000000}"/>
    <cellStyle name="60% - Accent2" xfId="42" builtinId="36" customBuiltin="1"/>
    <cellStyle name="60% - Accent2 2" xfId="85" xr:uid="{00000000-0005-0000-0000-00001B000000}"/>
    <cellStyle name="60% - Accent3" xfId="46" builtinId="40" customBuiltin="1"/>
    <cellStyle name="60% - Accent3 2" xfId="86" xr:uid="{00000000-0005-0000-0000-00001D000000}"/>
    <cellStyle name="60% - Accent4" xfId="50" builtinId="44" customBuiltin="1"/>
    <cellStyle name="60% - Accent4 2" xfId="87" xr:uid="{00000000-0005-0000-0000-00001F000000}"/>
    <cellStyle name="60% - Accent5" xfId="54" builtinId="48" customBuiltin="1"/>
    <cellStyle name="60% - Accent5 2" xfId="88" xr:uid="{00000000-0005-0000-0000-000021000000}"/>
    <cellStyle name="60% - Accent6" xfId="58" builtinId="52" customBuiltin="1"/>
    <cellStyle name="60% - Accent6 2" xfId="89" xr:uid="{00000000-0005-0000-0000-000023000000}"/>
    <cellStyle name="Accent1" xfId="35" builtinId="29" customBuiltin="1"/>
    <cellStyle name="Accent1 2" xfId="90" xr:uid="{00000000-0005-0000-0000-000025000000}"/>
    <cellStyle name="Accent2" xfId="39" builtinId="33" customBuiltin="1"/>
    <cellStyle name="Accent2 2" xfId="91" xr:uid="{00000000-0005-0000-0000-000027000000}"/>
    <cellStyle name="Accent3" xfId="43" builtinId="37" customBuiltin="1"/>
    <cellStyle name="Accent3 2" xfId="92" xr:uid="{00000000-0005-0000-0000-000029000000}"/>
    <cellStyle name="Accent4" xfId="47" builtinId="41" customBuiltin="1"/>
    <cellStyle name="Accent4 2" xfId="93" xr:uid="{00000000-0005-0000-0000-00002B000000}"/>
    <cellStyle name="Accent5" xfId="51" builtinId="45" customBuiltin="1"/>
    <cellStyle name="Accent5 2" xfId="94" xr:uid="{00000000-0005-0000-0000-00002D000000}"/>
    <cellStyle name="Accent6" xfId="55" builtinId="49" customBuiltin="1"/>
    <cellStyle name="Accent6 2" xfId="95" xr:uid="{00000000-0005-0000-0000-00002F000000}"/>
    <cellStyle name="Bad" xfId="26" builtinId="27" customBuiltin="1"/>
    <cellStyle name="Bad 2" xfId="96" xr:uid="{00000000-0005-0000-0000-000031000000}"/>
    <cellStyle name="Calculation" xfId="30" builtinId="22" customBuiltin="1"/>
    <cellStyle name="Calculation 2" xfId="97" xr:uid="{00000000-0005-0000-0000-000033000000}"/>
    <cellStyle name="Check Cell" xfId="1" builtinId="23" customBuiltin="1"/>
    <cellStyle name="Check Cell 2" xfId="98" xr:uid="{00000000-0005-0000-0000-000035000000}"/>
    <cellStyle name="Comma" xfId="2" builtinId="3"/>
    <cellStyle name="Comma 2" xfId="3" xr:uid="{00000000-0005-0000-0000-000037000000}"/>
    <cellStyle name="Comma 3" xfId="4" xr:uid="{00000000-0005-0000-0000-000038000000}"/>
    <cellStyle name="Comma 3 2" xfId="81" xr:uid="{00000000-0005-0000-0000-000039000000}"/>
    <cellStyle name="Comma 4" xfId="5" xr:uid="{00000000-0005-0000-0000-00003A000000}"/>
    <cellStyle name="Comma 4 2" xfId="6" xr:uid="{00000000-0005-0000-0000-00003B000000}"/>
    <cellStyle name="Comma 5" xfId="80" xr:uid="{00000000-0005-0000-0000-00003C000000}"/>
    <cellStyle name="Comma 6" xfId="116" xr:uid="{00000000-0005-0000-0000-00003D000000}"/>
    <cellStyle name="Currency 2" xfId="7" xr:uid="{00000000-0005-0000-0000-00003E000000}"/>
    <cellStyle name="Currency 3" xfId="8" xr:uid="{00000000-0005-0000-0000-00003F000000}"/>
    <cellStyle name="Currency 3 2" xfId="9" xr:uid="{00000000-0005-0000-0000-000040000000}"/>
    <cellStyle name="Explanatory Text" xfId="33" builtinId="53" customBuiltin="1"/>
    <cellStyle name="Explanatory Text 2" xfId="99" xr:uid="{00000000-0005-0000-0000-000042000000}"/>
    <cellStyle name="Good" xfId="25" builtinId="26" customBuiltin="1"/>
    <cellStyle name="Good 2" xfId="100" xr:uid="{00000000-0005-0000-0000-000044000000}"/>
    <cellStyle name="Heading 1" xfId="21" builtinId="16" customBuiltin="1"/>
    <cellStyle name="Heading 1 2" xfId="101" xr:uid="{00000000-0005-0000-0000-000046000000}"/>
    <cellStyle name="Heading 2" xfId="22" builtinId="17" customBuiltin="1"/>
    <cellStyle name="Heading 2 2" xfId="102" xr:uid="{00000000-0005-0000-0000-000048000000}"/>
    <cellStyle name="Heading 3" xfId="23" builtinId="18" customBuiltin="1"/>
    <cellStyle name="Heading 3 2" xfId="103" xr:uid="{00000000-0005-0000-0000-00004A000000}"/>
    <cellStyle name="Heading 4" xfId="24" builtinId="19" customBuiltin="1"/>
    <cellStyle name="Heading 4 2" xfId="104" xr:uid="{00000000-0005-0000-0000-00004C000000}"/>
    <cellStyle name="Input" xfId="28" builtinId="20" customBuiltin="1"/>
    <cellStyle name="Input 2" xfId="105" xr:uid="{00000000-0005-0000-0000-00004E000000}"/>
    <cellStyle name="Linked Cell" xfId="31" builtinId="24" customBuiltin="1"/>
    <cellStyle name="Linked Cell 2" xfId="106" xr:uid="{00000000-0005-0000-0000-000050000000}"/>
    <cellStyle name="Neutral" xfId="27" builtinId="28" customBuiltin="1"/>
    <cellStyle name="Neutral 2" xfId="107" xr:uid="{00000000-0005-0000-0000-000052000000}"/>
    <cellStyle name="Normal" xfId="0" builtinId="0"/>
    <cellStyle name="Normal 2" xfId="10" xr:uid="{00000000-0005-0000-0000-000054000000}"/>
    <cellStyle name="Normal 2 2" xfId="11" xr:uid="{00000000-0005-0000-0000-000055000000}"/>
    <cellStyle name="Normal 2 2 2" xfId="12" xr:uid="{00000000-0005-0000-0000-000056000000}"/>
    <cellStyle name="Normal 2 3" xfId="13" xr:uid="{00000000-0005-0000-0000-000057000000}"/>
    <cellStyle name="Normal 2 3 2" xfId="78" xr:uid="{00000000-0005-0000-0000-000058000000}"/>
    <cellStyle name="Normal 2 4" xfId="14" xr:uid="{00000000-0005-0000-0000-000059000000}"/>
    <cellStyle name="Normal 3" xfId="15" xr:uid="{00000000-0005-0000-0000-00005A000000}"/>
    <cellStyle name="Normal 4" xfId="59" xr:uid="{00000000-0005-0000-0000-00005B000000}"/>
    <cellStyle name="Normal 5" xfId="62" xr:uid="{00000000-0005-0000-0000-00005C000000}"/>
    <cellStyle name="Normal 6" xfId="76" xr:uid="{00000000-0005-0000-0000-00005D000000}"/>
    <cellStyle name="Normal 6 2" xfId="83" xr:uid="{00000000-0005-0000-0000-00005E000000}"/>
    <cellStyle name="Normal 7" xfId="77" xr:uid="{00000000-0005-0000-0000-00005F000000}"/>
    <cellStyle name="Normal 8" xfId="79" xr:uid="{00000000-0005-0000-0000-000060000000}"/>
    <cellStyle name="Normal 9" xfId="115" xr:uid="{00000000-0005-0000-0000-000061000000}"/>
    <cellStyle name="Note 2" xfId="60" xr:uid="{00000000-0005-0000-0000-000062000000}"/>
    <cellStyle name="Note 3" xfId="63" xr:uid="{00000000-0005-0000-0000-000063000000}"/>
    <cellStyle name="Output" xfId="29" builtinId="21" customBuiltin="1"/>
    <cellStyle name="Output 2" xfId="108" xr:uid="{00000000-0005-0000-0000-000065000000}"/>
    <cellStyle name="Percent" xfId="113" builtinId="5"/>
    <cellStyle name="Percent 2" xfId="16" xr:uid="{00000000-0005-0000-0000-000067000000}"/>
    <cellStyle name="Percent 3" xfId="17" xr:uid="{00000000-0005-0000-0000-000068000000}"/>
    <cellStyle name="Percent 3 2" xfId="18" xr:uid="{00000000-0005-0000-0000-000069000000}"/>
    <cellStyle name="Percent 4" xfId="109" xr:uid="{00000000-0005-0000-0000-00006A000000}"/>
    <cellStyle name="Percent 5" xfId="82" xr:uid="{00000000-0005-0000-0000-00006B000000}"/>
    <cellStyle name="Percent 8" xfId="61" xr:uid="{00000000-0005-0000-0000-00006C000000}"/>
    <cellStyle name="Style 1" xfId="19" xr:uid="{00000000-0005-0000-0000-00006D000000}"/>
    <cellStyle name="Style6" xfId="114" xr:uid="{00000000-0005-0000-0000-00006E000000}"/>
    <cellStyle name="Title" xfId="20" builtinId="15" customBuiltin="1"/>
    <cellStyle name="Title 2" xfId="110" xr:uid="{00000000-0005-0000-0000-000070000000}"/>
    <cellStyle name="Total" xfId="34" builtinId="25" customBuiltin="1"/>
    <cellStyle name="Total 2" xfId="111" xr:uid="{00000000-0005-0000-0000-000072000000}"/>
    <cellStyle name="Warning Text" xfId="32" builtinId="11" customBuiltin="1"/>
    <cellStyle name="Warning Text 2" xfId="112" xr:uid="{00000000-0005-0000-0000-000074000000}"/>
  </cellStyles>
  <dxfs count="0"/>
  <tableStyles count="0" defaultTableStyle="TableStyleMedium2" defaultPivotStyle="PivotStyleLight16"/>
  <colors>
    <mruColors>
      <color rgb="FFFFCC66"/>
      <color rgb="FFFFFF99"/>
      <color rgb="FFFFFFCC"/>
      <color rgb="FFCCFFFF"/>
      <color rgb="FF66FFFF"/>
      <color rgb="FF0099FF"/>
      <color rgb="FFFFCCCC"/>
      <color rgb="FFFFCCFF"/>
      <color rgb="FFFF0000"/>
      <color rgb="FF7F9E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2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dlg.nsw.gov.au/GRANTS/ADMIN/Web%20Page/2000-01/road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B02/Objective/Objects/Time%20Series%20Data%201994%20-%202015%20(A505203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lgfs1\Data\Documents%20and%20Settings\KS01\Local%20Settings\Temporary%20Internet%20Files\OLK1A\Draft%2011%20-%20Comparative%20Info%201994-95%20-2003-0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lgfs1\Data\Documents%20and%20Settings\da02\Objective\Objects\A7374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lgfs1\Data\Documents%20and%20Settings\KS01\Local%20Settings\Temporary%20Internet%20Files\OLK1A\Working%20Summary%20-%20Comparative%20Info%202003-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 Used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2014-15 DATA"/>
      <sheetName val="2013-14 DATA"/>
      <sheetName val="2012-13 DATA"/>
      <sheetName val="2011-12 DATA"/>
      <sheetName val="2010-11 DATA"/>
      <sheetName val="2009-10 DATA"/>
      <sheetName val="2008-09 DATA"/>
      <sheetName val="2007-08 DATA"/>
      <sheetName val="2006-07 DATA"/>
      <sheetName val="2005-06 DATA"/>
      <sheetName val="2004-05 DATA"/>
      <sheetName val="2003-04 DATA"/>
      <sheetName val="2002-03 DATA"/>
      <sheetName val="2001-02 DATA"/>
      <sheetName val="2000-01 DATA"/>
      <sheetName val="1999-00 DATA"/>
      <sheetName val="1998-99 DATA"/>
      <sheetName val="1997-98 DATA"/>
      <sheetName val="1996-97 DATA"/>
      <sheetName val="1995-96 DATA"/>
      <sheetName val="1994-95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mple Council Profile Sheet"/>
      <sheetName val="Council Profile Sheet"/>
      <sheetName val="Geographical Character"/>
      <sheetName val="Complaint Data"/>
      <sheetName val="Financial Monitoring"/>
      <sheetName val="Grants 2002-2003"/>
      <sheetName val="Rates"/>
      <sheetName val="Corporate Data"/>
      <sheetName val="Results Portrait Sheet"/>
      <sheetName val="Results Portrait &amp; Mean Sheet"/>
      <sheetName val="Results L Sheet"/>
      <sheetName val="KPI 1.1"/>
      <sheetName val="KPI 1.2"/>
      <sheetName val="KPI 1.3"/>
      <sheetName val="KPI 1.4"/>
      <sheetName val="KPI 1.5"/>
      <sheetName val="KPI 1.6"/>
      <sheetName val="KPI 2.1"/>
      <sheetName val="KPI 2.2"/>
      <sheetName val="KPI 2.3"/>
      <sheetName val="KPI 2.4"/>
      <sheetName val="KPI 2.5"/>
      <sheetName val="KPI 2.6"/>
      <sheetName val="KPI 2.7"/>
      <sheetName val="KPI 3.1"/>
      <sheetName val="KPI 3.2 (i)"/>
      <sheetName val="KPI 3.2 (ii)"/>
      <sheetName val="KPI 3.2 (iii)"/>
      <sheetName val="KPI 3.2 (iv)"/>
      <sheetName val="KPI 3.2 (v)"/>
      <sheetName val="KPI 4.1"/>
      <sheetName val="KPI 4.2"/>
      <sheetName val="KPI 5.1"/>
      <sheetName val="KPI 5.2"/>
      <sheetName val="KPI 5.3"/>
      <sheetName val="KPI 5.4"/>
      <sheetName val="KPI 6.1"/>
      <sheetName val="KPI 6.2"/>
      <sheetName val="KPI 7.1"/>
      <sheetName val="KPI 7.2"/>
      <sheetName val="KPI 8.1"/>
      <sheetName val="KPI 8.2"/>
      <sheetName val="KPI 8.3"/>
      <sheetName val="KPI 8.4"/>
      <sheetName val="KPI 9.1"/>
      <sheetName val="KPI 10.1"/>
      <sheetName val="KPI 11.1"/>
      <sheetName val="2003-04 DATA"/>
      <sheetName val="2002-03 DATA"/>
      <sheetName val="2001-02 DATA"/>
      <sheetName val="2000-01 DATA"/>
      <sheetName val="1999-00 DATA"/>
      <sheetName val="1998-99 DATA"/>
      <sheetName val="1997-98 DATA"/>
      <sheetName val="1996-97 DATA"/>
      <sheetName val="1995-96 DATA"/>
      <sheetName val="1994-95 DATA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>
        <row r="5">
          <cell r="B5" t="str">
            <v>Albury City Council</v>
          </cell>
          <cell r="C5">
            <v>4</v>
          </cell>
          <cell r="D5">
            <v>13042000</v>
          </cell>
          <cell r="E5">
            <v>16705</v>
          </cell>
          <cell r="F5">
            <v>780.72433403172704</v>
          </cell>
          <cell r="G5">
            <v>125000</v>
          </cell>
          <cell r="H5">
            <v>93</v>
          </cell>
          <cell r="I5">
            <v>1344.0860215053763</v>
          </cell>
          <cell r="J5">
            <v>5378000</v>
          </cell>
          <cell r="K5">
            <v>1346</v>
          </cell>
          <cell r="L5">
            <v>3995.5423476968795</v>
          </cell>
          <cell r="M5">
            <v>3127000</v>
          </cell>
          <cell r="N5">
            <v>38557000</v>
          </cell>
          <cell r="O5">
            <v>8.1100708042638178E-2</v>
          </cell>
          <cell r="P5">
            <v>-1598000</v>
          </cell>
          <cell r="Q5">
            <v>29270000</v>
          </cell>
          <cell r="R5">
            <v>-5.4595148616330712E-2</v>
          </cell>
          <cell r="S5">
            <v>2046000</v>
          </cell>
          <cell r="T5">
            <v>8839000</v>
          </cell>
          <cell r="U5">
            <v>0.23147414865935059</v>
          </cell>
          <cell r="V5">
            <v>27672000</v>
          </cell>
          <cell r="W5">
            <v>53332000</v>
          </cell>
          <cell r="X5">
            <v>0.5188629715742894</v>
          </cell>
          <cell r="Y5">
            <v>10885000</v>
          </cell>
          <cell r="Z5">
            <v>53332000</v>
          </cell>
          <cell r="AA5">
            <v>0.20409885247131179</v>
          </cell>
          <cell r="AB5">
            <v>946000</v>
          </cell>
          <cell r="AC5">
            <v>53332000</v>
          </cell>
          <cell r="AD5">
            <v>1.7737943448586216E-2</v>
          </cell>
          <cell r="AE5">
            <v>8569000</v>
          </cell>
          <cell r="AF5">
            <v>53332000</v>
          </cell>
          <cell r="AG5">
            <v>0.16067276681917048</v>
          </cell>
          <cell r="AH5">
            <v>3543000</v>
          </cell>
          <cell r="AI5">
            <v>53332000</v>
          </cell>
          <cell r="AJ5">
            <v>6.6432910822770572E-2</v>
          </cell>
          <cell r="AK5">
            <v>1717000</v>
          </cell>
          <cell r="AL5">
            <v>53332000</v>
          </cell>
          <cell r="AM5">
            <v>3.2194554863871599E-2</v>
          </cell>
          <cell r="AN5">
            <v>36668000</v>
          </cell>
          <cell r="AO5">
            <v>44079</v>
          </cell>
          <cell r="AP5">
            <v>831.87005149844595</v>
          </cell>
          <cell r="AQ5">
            <v>19080000</v>
          </cell>
          <cell r="AR5">
            <v>48460000</v>
          </cell>
          <cell r="AS5">
            <v>0.39372678497730085</v>
          </cell>
          <cell r="AT5">
            <v>11348000</v>
          </cell>
          <cell r="AU5">
            <v>48460000</v>
          </cell>
          <cell r="AV5">
            <v>0.23417251341312423</v>
          </cell>
          <cell r="AW5">
            <v>1874000</v>
          </cell>
          <cell r="AX5">
            <v>48460000</v>
          </cell>
          <cell r="AY5">
            <v>3.8671068922822946E-2</v>
          </cell>
          <cell r="AZ5">
            <v>10293000</v>
          </cell>
          <cell r="BA5">
            <v>48460000</v>
          </cell>
          <cell r="BB5">
            <v>0.21240198101527033</v>
          </cell>
          <cell r="BC5">
            <v>5865000</v>
          </cell>
          <cell r="BD5">
            <v>48460000</v>
          </cell>
          <cell r="BE5">
            <v>0.12102765167148163</v>
          </cell>
          <cell r="BF5">
            <v>35217000</v>
          </cell>
          <cell r="BG5">
            <v>44079</v>
          </cell>
          <cell r="BH5">
            <v>798.95188184849928</v>
          </cell>
          <cell r="BI5">
            <v>11445000</v>
          </cell>
          <cell r="BJ5">
            <v>6652000</v>
          </cell>
          <cell r="BK5">
            <v>1.7205351773902586</v>
          </cell>
          <cell r="BL5">
            <v>4005000</v>
          </cell>
          <cell r="BM5">
            <v>45935000</v>
          </cell>
          <cell r="BN5">
            <v>8.7188418417328828E-2</v>
          </cell>
          <cell r="BO5">
            <v>8517000</v>
          </cell>
          <cell r="BP5">
            <v>6959000</v>
          </cell>
          <cell r="BQ5">
            <v>1.2238827417732432</v>
          </cell>
          <cell r="BR5">
            <v>395.5</v>
          </cell>
          <cell r="BS5" t="str">
            <v>On Time</v>
          </cell>
          <cell r="BT5" t="str">
            <v>On Time</v>
          </cell>
          <cell r="BU5" t="str">
            <v>On Time</v>
          </cell>
          <cell r="BV5">
            <v>1020000</v>
          </cell>
          <cell r="BW5">
            <v>44079</v>
          </cell>
          <cell r="BX5">
            <v>23.140270877288504</v>
          </cell>
          <cell r="BY5">
            <v>291272</v>
          </cell>
          <cell r="BZ5">
            <v>44079</v>
          </cell>
          <cell r="CA5">
            <v>6.6079539009505659</v>
          </cell>
          <cell r="CB5">
            <v>2095000</v>
          </cell>
          <cell r="CC5">
            <v>18097</v>
          </cell>
          <cell r="CD5">
            <v>115.76504392993314</v>
          </cell>
          <cell r="CE5">
            <v>1665750</v>
          </cell>
          <cell r="CF5">
            <v>27145</v>
          </cell>
          <cell r="CG5">
            <v>61.364892245349054</v>
          </cell>
          <cell r="CH5">
            <v>7990510</v>
          </cell>
          <cell r="CI5">
            <v>44079</v>
          </cell>
          <cell r="CJ5">
            <v>181.27702534086526</v>
          </cell>
          <cell r="CK5">
            <v>16959000</v>
          </cell>
          <cell r="CL5">
            <v>44079</v>
          </cell>
          <cell r="CM5">
            <v>384.74103314503503</v>
          </cell>
          <cell r="CN5">
            <v>232</v>
          </cell>
          <cell r="CO5">
            <v>321.47790055248601</v>
          </cell>
          <cell r="CP5">
            <v>327</v>
          </cell>
          <cell r="CQ5">
            <v>385</v>
          </cell>
          <cell r="CR5">
            <v>686</v>
          </cell>
          <cell r="CS5">
            <v>16963</v>
          </cell>
          <cell r="CT5">
            <v>686</v>
          </cell>
          <cell r="CU5">
            <v>24.727405247813412</v>
          </cell>
          <cell r="CV5">
            <v>8</v>
          </cell>
          <cell r="CW5">
            <v>50000</v>
          </cell>
          <cell r="CX5">
            <v>1590000</v>
          </cell>
          <cell r="CY5">
            <v>3.1446540880503145E-2</v>
          </cell>
          <cell r="CZ5">
            <v>485000</v>
          </cell>
          <cell r="DA5">
            <v>44079</v>
          </cell>
          <cell r="DB5">
            <v>11.002971936749926</v>
          </cell>
          <cell r="DC5">
            <v>4454000</v>
          </cell>
          <cell r="DD5">
            <v>44079</v>
          </cell>
          <cell r="DE5">
            <v>101.04584949749314</v>
          </cell>
          <cell r="DF5">
            <v>4204000</v>
          </cell>
          <cell r="DG5">
            <v>44079</v>
          </cell>
          <cell r="DH5">
            <v>95.374214478549874</v>
          </cell>
          <cell r="DI5">
            <v>105.7</v>
          </cell>
          <cell r="DJ5">
            <v>417.01986754966885</v>
          </cell>
          <cell r="DK5">
            <v>9.5009505703422051E-3</v>
          </cell>
          <cell r="DL5">
            <v>1.67</v>
          </cell>
          <cell r="DM5">
            <v>4.88</v>
          </cell>
        </row>
        <row r="6">
          <cell r="B6" t="str">
            <v>Armidale City Council</v>
          </cell>
          <cell r="C6" t="str">
            <v>A</v>
          </cell>
          <cell r="F6">
            <v>0</v>
          </cell>
          <cell r="I6">
            <v>0</v>
          </cell>
          <cell r="L6">
            <v>0</v>
          </cell>
          <cell r="O6">
            <v>0</v>
          </cell>
          <cell r="R6">
            <v>0</v>
          </cell>
          <cell r="U6">
            <v>0</v>
          </cell>
          <cell r="X6">
            <v>0</v>
          </cell>
          <cell r="Z6">
            <v>0</v>
          </cell>
          <cell r="AA6">
            <v>0</v>
          </cell>
          <cell r="AC6">
            <v>0</v>
          </cell>
          <cell r="AD6">
            <v>0</v>
          </cell>
          <cell r="AF6">
            <v>0</v>
          </cell>
          <cell r="AG6">
            <v>0</v>
          </cell>
          <cell r="AI6">
            <v>0</v>
          </cell>
          <cell r="AJ6">
            <v>0</v>
          </cell>
          <cell r="AL6">
            <v>0</v>
          </cell>
          <cell r="AM6">
            <v>0</v>
          </cell>
          <cell r="AP6">
            <v>0</v>
          </cell>
          <cell r="AS6">
            <v>0</v>
          </cell>
          <cell r="AU6">
            <v>0</v>
          </cell>
          <cell r="AV6">
            <v>0</v>
          </cell>
          <cell r="AX6">
            <v>0</v>
          </cell>
          <cell r="AY6">
            <v>0</v>
          </cell>
          <cell r="BA6">
            <v>0</v>
          </cell>
          <cell r="BB6">
            <v>0</v>
          </cell>
          <cell r="BD6">
            <v>0</v>
          </cell>
          <cell r="BE6">
            <v>0</v>
          </cell>
          <cell r="BG6">
            <v>0</v>
          </cell>
          <cell r="BH6">
            <v>0</v>
          </cell>
          <cell r="BK6">
            <v>0</v>
          </cell>
          <cell r="BN6">
            <v>0</v>
          </cell>
          <cell r="BQ6">
            <v>0</v>
          </cell>
          <cell r="BW6">
            <v>0</v>
          </cell>
          <cell r="BX6">
            <v>0</v>
          </cell>
          <cell r="BZ6">
            <v>0</v>
          </cell>
          <cell r="CA6">
            <v>0</v>
          </cell>
          <cell r="CD6">
            <v>0</v>
          </cell>
          <cell r="CG6">
            <v>0</v>
          </cell>
          <cell r="CI6">
            <v>0</v>
          </cell>
          <cell r="CJ6">
            <v>0</v>
          </cell>
          <cell r="CL6">
            <v>0</v>
          </cell>
          <cell r="CM6">
            <v>0</v>
          </cell>
          <cell r="CT6">
            <v>0</v>
          </cell>
          <cell r="CU6">
            <v>0</v>
          </cell>
          <cell r="CY6">
            <v>0</v>
          </cell>
          <cell r="DA6">
            <v>0</v>
          </cell>
          <cell r="DB6">
            <v>0</v>
          </cell>
          <cell r="DD6">
            <v>0</v>
          </cell>
          <cell r="DE6">
            <v>0</v>
          </cell>
          <cell r="DG6">
            <v>0</v>
          </cell>
          <cell r="DH6">
            <v>0</v>
          </cell>
          <cell r="DK6">
            <v>-0.2</v>
          </cell>
        </row>
        <row r="7">
          <cell r="B7" t="str">
            <v>Armidale Dumaresq Council</v>
          </cell>
          <cell r="C7">
            <v>4</v>
          </cell>
          <cell r="D7">
            <v>5082000</v>
          </cell>
          <cell r="E7">
            <v>7942</v>
          </cell>
          <cell r="F7">
            <v>639.88919667590028</v>
          </cell>
          <cell r="G7">
            <v>1397000</v>
          </cell>
          <cell r="H7">
            <v>883</v>
          </cell>
          <cell r="I7">
            <v>1582.1064552661383</v>
          </cell>
          <cell r="J7">
            <v>1225000</v>
          </cell>
          <cell r="K7">
            <v>550</v>
          </cell>
          <cell r="L7">
            <v>2227.2727272727275</v>
          </cell>
          <cell r="M7">
            <v>1716000</v>
          </cell>
          <cell r="N7">
            <v>19500000</v>
          </cell>
          <cell r="O7">
            <v>8.7999999999999995E-2</v>
          </cell>
          <cell r="P7">
            <v>606000</v>
          </cell>
          <cell r="Q7">
            <v>10674000</v>
          </cell>
          <cell r="R7">
            <v>5.6773468240584601E-2</v>
          </cell>
          <cell r="S7">
            <v>665000</v>
          </cell>
          <cell r="T7">
            <v>7555000</v>
          </cell>
          <cell r="U7">
            <v>8.802117802779616E-2</v>
          </cell>
          <cell r="V7">
            <v>11280000</v>
          </cell>
          <cell r="W7">
            <v>27327000</v>
          </cell>
          <cell r="X7">
            <v>0.41277857064441759</v>
          </cell>
          <cell r="Y7">
            <v>8220000</v>
          </cell>
          <cell r="Z7">
            <v>27327000</v>
          </cell>
          <cell r="AA7">
            <v>0.30080140520364473</v>
          </cell>
          <cell r="AB7">
            <v>796000</v>
          </cell>
          <cell r="AC7">
            <v>27327000</v>
          </cell>
          <cell r="AD7">
            <v>2.9128700552567059E-2</v>
          </cell>
          <cell r="AE7">
            <v>3866000</v>
          </cell>
          <cell r="AF7">
            <v>27327000</v>
          </cell>
          <cell r="AG7">
            <v>0.14147180444249277</v>
          </cell>
          <cell r="AH7">
            <v>2650000</v>
          </cell>
          <cell r="AI7">
            <v>27327000</v>
          </cell>
          <cell r="AJ7">
            <v>9.6973689025505905E-2</v>
          </cell>
          <cell r="AK7">
            <v>515000</v>
          </cell>
          <cell r="AL7">
            <v>27327000</v>
          </cell>
          <cell r="AM7">
            <v>1.8845830131371904E-2</v>
          </cell>
          <cell r="AN7">
            <v>19248000</v>
          </cell>
          <cell r="AO7">
            <v>24875</v>
          </cell>
          <cell r="AP7">
            <v>773.7889447236181</v>
          </cell>
          <cell r="AQ7">
            <v>10233000</v>
          </cell>
          <cell r="AR7">
            <v>26449000</v>
          </cell>
          <cell r="AS7">
            <v>0.38689553480282807</v>
          </cell>
          <cell r="AT7">
            <v>5467000</v>
          </cell>
          <cell r="AU7">
            <v>26449000</v>
          </cell>
          <cell r="AV7">
            <v>0.20669968618851375</v>
          </cell>
          <cell r="AW7">
            <v>712000</v>
          </cell>
          <cell r="AX7">
            <v>26449000</v>
          </cell>
          <cell r="AY7">
            <v>2.6919732315021361E-2</v>
          </cell>
          <cell r="AZ7">
            <v>7084000</v>
          </cell>
          <cell r="BA7">
            <v>26449000</v>
          </cell>
          <cell r="BB7">
            <v>0.26783621308934175</v>
          </cell>
          <cell r="BC7">
            <v>2953000</v>
          </cell>
          <cell r="BD7">
            <v>26449000</v>
          </cell>
          <cell r="BE7">
            <v>0.11164883360429506</v>
          </cell>
          <cell r="BF7">
            <v>20855000</v>
          </cell>
          <cell r="BG7">
            <v>24875</v>
          </cell>
          <cell r="BH7">
            <v>838.391959798995</v>
          </cell>
          <cell r="BI7">
            <v>10734000</v>
          </cell>
          <cell r="BJ7">
            <v>4071000</v>
          </cell>
          <cell r="BK7">
            <v>2.636698599852616</v>
          </cell>
          <cell r="BL7">
            <v>1566000</v>
          </cell>
          <cell r="BM7">
            <v>23880000</v>
          </cell>
          <cell r="BN7">
            <v>6.5577889447236179E-2</v>
          </cell>
          <cell r="BO7">
            <v>3107000</v>
          </cell>
          <cell r="BP7">
            <v>4779000</v>
          </cell>
          <cell r="BQ7">
            <v>0.65013601171793267</v>
          </cell>
          <cell r="BR7">
            <v>217.69</v>
          </cell>
          <cell r="BS7" t="str">
            <v>On Time</v>
          </cell>
          <cell r="BT7" t="str">
            <v>On Time</v>
          </cell>
          <cell r="BU7" t="str">
            <v>On Time</v>
          </cell>
          <cell r="BV7">
            <v>681000</v>
          </cell>
          <cell r="BW7">
            <v>24875</v>
          </cell>
          <cell r="BX7">
            <v>27.376884422110553</v>
          </cell>
          <cell r="BY7">
            <v>214572</v>
          </cell>
          <cell r="BZ7">
            <v>24875</v>
          </cell>
          <cell r="CA7">
            <v>8.6260100502512564</v>
          </cell>
          <cell r="CB7">
            <v>1363000</v>
          </cell>
          <cell r="CC7">
            <v>6813</v>
          </cell>
          <cell r="CD7">
            <v>200.05871128724496</v>
          </cell>
          <cell r="CE7">
            <v>599540</v>
          </cell>
          <cell r="CF7">
            <v>7708</v>
          </cell>
          <cell r="CG7">
            <v>77.781525687597295</v>
          </cell>
          <cell r="CH7">
            <v>8655000</v>
          </cell>
          <cell r="CI7">
            <v>24875</v>
          </cell>
          <cell r="CJ7">
            <v>347.9396984924623</v>
          </cell>
          <cell r="CK7">
            <v>9700000</v>
          </cell>
          <cell r="CL7">
            <v>24875</v>
          </cell>
          <cell r="CM7">
            <v>389.9497487437186</v>
          </cell>
          <cell r="CN7">
            <v>421.99832705738697</v>
          </cell>
          <cell r="CO7">
            <v>557.867017774852</v>
          </cell>
          <cell r="CP7">
            <v>223.75298909958599</v>
          </cell>
          <cell r="CQ7">
            <v>360.03861003860999</v>
          </cell>
          <cell r="CR7">
            <v>337</v>
          </cell>
          <cell r="CS7">
            <v>8154</v>
          </cell>
          <cell r="CT7">
            <v>337</v>
          </cell>
          <cell r="CU7">
            <v>24.195845697329379</v>
          </cell>
          <cell r="CV7">
            <v>15</v>
          </cell>
          <cell r="CW7">
            <v>7000</v>
          </cell>
          <cell r="CX7">
            <v>611000</v>
          </cell>
          <cell r="CY7">
            <v>1.1456628477905073E-2</v>
          </cell>
          <cell r="CZ7">
            <v>411000</v>
          </cell>
          <cell r="DA7">
            <v>24875</v>
          </cell>
          <cell r="DB7">
            <v>16.522613065326635</v>
          </cell>
          <cell r="DC7">
            <v>1136000</v>
          </cell>
          <cell r="DD7">
            <v>24875</v>
          </cell>
          <cell r="DE7">
            <v>45.668341708542712</v>
          </cell>
          <cell r="DF7">
            <v>433000</v>
          </cell>
          <cell r="DG7">
            <v>24875</v>
          </cell>
          <cell r="DH7">
            <v>17.407035175879397</v>
          </cell>
          <cell r="DI7">
            <v>4234.8999999999996</v>
          </cell>
          <cell r="DJ7">
            <v>5.8738104795862958</v>
          </cell>
          <cell r="DL7">
            <v>4.38</v>
          </cell>
          <cell r="DM7">
            <v>5.98</v>
          </cell>
        </row>
        <row r="8">
          <cell r="B8" t="str">
            <v>Ashfield, The Council of the Municipality of</v>
          </cell>
          <cell r="C8">
            <v>2</v>
          </cell>
          <cell r="D8">
            <v>8526000</v>
          </cell>
          <cell r="E8">
            <v>14097</v>
          </cell>
          <cell r="F8">
            <v>604.80953394339224</v>
          </cell>
          <cell r="G8">
            <v>0</v>
          </cell>
          <cell r="H8">
            <v>0</v>
          </cell>
          <cell r="I8" t="str">
            <v>N/A</v>
          </cell>
          <cell r="J8">
            <v>2143000</v>
          </cell>
          <cell r="K8">
            <v>879</v>
          </cell>
          <cell r="L8">
            <v>2437.9977246871445</v>
          </cell>
          <cell r="M8">
            <v>438000</v>
          </cell>
          <cell r="N8">
            <v>14830000</v>
          </cell>
          <cell r="O8">
            <v>2.9534726904922454E-2</v>
          </cell>
          <cell r="P8">
            <v>841000</v>
          </cell>
          <cell r="Q8">
            <v>12501000</v>
          </cell>
          <cell r="R8">
            <v>6.7274618030557551E-2</v>
          </cell>
          <cell r="S8">
            <v>290000</v>
          </cell>
          <cell r="T8">
            <v>1198000</v>
          </cell>
          <cell r="U8">
            <v>0.24207011686143573</v>
          </cell>
          <cell r="V8">
            <v>13342000</v>
          </cell>
          <cell r="W8">
            <v>19903000</v>
          </cell>
          <cell r="X8">
            <v>0.67035120333618048</v>
          </cell>
          <cell r="Y8">
            <v>1488000</v>
          </cell>
          <cell r="Z8">
            <v>19903000</v>
          </cell>
          <cell r="AA8">
            <v>7.476259860322565E-2</v>
          </cell>
          <cell r="AB8">
            <v>448000</v>
          </cell>
          <cell r="AC8">
            <v>19903000</v>
          </cell>
          <cell r="AD8">
            <v>2.2509169471938904E-2</v>
          </cell>
          <cell r="AE8">
            <v>1630000</v>
          </cell>
          <cell r="AF8">
            <v>19903000</v>
          </cell>
          <cell r="AG8">
            <v>8.1897201426920571E-2</v>
          </cell>
          <cell r="AH8">
            <v>2400000</v>
          </cell>
          <cell r="AI8">
            <v>19903000</v>
          </cell>
          <cell r="AJ8">
            <v>0.12058483645681556</v>
          </cell>
          <cell r="AK8">
            <v>595000</v>
          </cell>
          <cell r="AL8">
            <v>19903000</v>
          </cell>
          <cell r="AM8">
            <v>2.9894990704918856E-2</v>
          </cell>
          <cell r="AN8">
            <v>20326000</v>
          </cell>
          <cell r="AO8">
            <v>41145</v>
          </cell>
          <cell r="AP8">
            <v>494.00899258719164</v>
          </cell>
          <cell r="AQ8">
            <v>7313000</v>
          </cell>
          <cell r="AR8">
            <v>19446000</v>
          </cell>
          <cell r="AS8">
            <v>0.37606705749254343</v>
          </cell>
          <cell r="AT8">
            <v>4277000</v>
          </cell>
          <cell r="AU8">
            <v>19446000</v>
          </cell>
          <cell r="AV8">
            <v>0.2199424046076314</v>
          </cell>
          <cell r="AW8">
            <v>0</v>
          </cell>
          <cell r="AX8">
            <v>19446000</v>
          </cell>
          <cell r="AY8">
            <v>0</v>
          </cell>
          <cell r="AZ8">
            <v>2815000</v>
          </cell>
          <cell r="BA8">
            <v>19446000</v>
          </cell>
          <cell r="BB8">
            <v>0.14475984778360587</v>
          </cell>
          <cell r="BC8">
            <v>5041000</v>
          </cell>
          <cell r="BD8">
            <v>19446000</v>
          </cell>
          <cell r="BE8">
            <v>0.2592306901162193</v>
          </cell>
          <cell r="BF8">
            <v>19446000</v>
          </cell>
          <cell r="BG8">
            <v>41145</v>
          </cell>
          <cell r="BH8">
            <v>472.62121764491434</v>
          </cell>
          <cell r="BI8">
            <v>7976000</v>
          </cell>
          <cell r="BJ8">
            <v>2078000</v>
          </cell>
          <cell r="BK8">
            <v>3.8383060635226181</v>
          </cell>
          <cell r="BL8">
            <v>0</v>
          </cell>
          <cell r="BM8">
            <v>19292000</v>
          </cell>
          <cell r="BN8">
            <v>0</v>
          </cell>
          <cell r="BO8">
            <v>788000</v>
          </cell>
          <cell r="BP8">
            <v>2815000</v>
          </cell>
          <cell r="BQ8">
            <v>0.2799289520426288</v>
          </cell>
          <cell r="BR8">
            <v>149</v>
          </cell>
          <cell r="BS8" t="str">
            <v>On Time</v>
          </cell>
          <cell r="BT8" t="str">
            <v>On Time</v>
          </cell>
          <cell r="BU8" t="str">
            <v>On Time</v>
          </cell>
          <cell r="BV8">
            <v>1190000</v>
          </cell>
          <cell r="BW8">
            <v>41145</v>
          </cell>
          <cell r="BX8">
            <v>28.922104751488639</v>
          </cell>
          <cell r="BY8">
            <v>306065</v>
          </cell>
          <cell r="BZ8">
            <v>41145</v>
          </cell>
          <cell r="CA8">
            <v>7.4386924292137566</v>
          </cell>
          <cell r="CB8">
            <v>2346000</v>
          </cell>
          <cell r="CC8">
            <v>14150</v>
          </cell>
          <cell r="CD8">
            <v>165.79505300353358</v>
          </cell>
          <cell r="CE8">
            <v>1565488</v>
          </cell>
          <cell r="CF8">
            <v>17630</v>
          </cell>
          <cell r="CG8">
            <v>88.796823596142943</v>
          </cell>
          <cell r="CH8">
            <v>4564000</v>
          </cell>
          <cell r="CI8">
            <v>41145</v>
          </cell>
          <cell r="CJ8">
            <v>110.92477822335643</v>
          </cell>
          <cell r="CK8">
            <v>10362000</v>
          </cell>
          <cell r="CL8">
            <v>41145</v>
          </cell>
          <cell r="CM8">
            <v>251.84104994531535</v>
          </cell>
          <cell r="CN8" t="str">
            <v>N/A</v>
          </cell>
          <cell r="CO8" t="str">
            <v>N/A</v>
          </cell>
          <cell r="CP8" t="str">
            <v>N/A</v>
          </cell>
          <cell r="CQ8" t="str">
            <v>N/A</v>
          </cell>
          <cell r="CR8">
            <v>501</v>
          </cell>
          <cell r="CS8">
            <v>23096</v>
          </cell>
          <cell r="CT8">
            <v>501</v>
          </cell>
          <cell r="CU8">
            <v>46.099800399201598</v>
          </cell>
          <cell r="CV8">
            <v>42</v>
          </cell>
          <cell r="CW8">
            <v>345000</v>
          </cell>
          <cell r="CX8">
            <v>1457000</v>
          </cell>
          <cell r="CY8">
            <v>0.2367879203843514</v>
          </cell>
          <cell r="CZ8">
            <v>345000</v>
          </cell>
          <cell r="DA8">
            <v>41145</v>
          </cell>
          <cell r="DB8">
            <v>8.3849799489609911</v>
          </cell>
          <cell r="DC8">
            <v>1661000</v>
          </cell>
          <cell r="DD8">
            <v>41145</v>
          </cell>
          <cell r="DE8">
            <v>40.369425203548424</v>
          </cell>
          <cell r="DF8">
            <v>612000</v>
          </cell>
          <cell r="DG8">
            <v>41145</v>
          </cell>
          <cell r="DH8">
            <v>14.874225300765586</v>
          </cell>
          <cell r="DI8">
            <v>8.3000000000000007</v>
          </cell>
          <cell r="DJ8">
            <v>4957.2289156626503</v>
          </cell>
          <cell r="DK8">
            <v>-3.8379022646007153E-3</v>
          </cell>
          <cell r="DL8">
            <v>0.61</v>
          </cell>
          <cell r="DM8">
            <v>40.01</v>
          </cell>
        </row>
        <row r="9">
          <cell r="B9" t="str">
            <v>Auburn Council</v>
          </cell>
          <cell r="C9">
            <v>2</v>
          </cell>
          <cell r="D9">
            <v>7353000</v>
          </cell>
          <cell r="E9">
            <v>16981</v>
          </cell>
          <cell r="F9">
            <v>433.01336788175018</v>
          </cell>
          <cell r="G9">
            <v>0</v>
          </cell>
          <cell r="H9">
            <v>0</v>
          </cell>
          <cell r="I9" t="str">
            <v>N/A</v>
          </cell>
          <cell r="J9">
            <v>9288000</v>
          </cell>
          <cell r="K9">
            <v>1868</v>
          </cell>
          <cell r="L9">
            <v>4972.1627408993572</v>
          </cell>
          <cell r="M9">
            <v>1643000</v>
          </cell>
          <cell r="N9">
            <v>24866000</v>
          </cell>
          <cell r="O9">
            <v>6.6074157484114854E-2</v>
          </cell>
          <cell r="P9">
            <v>2148000</v>
          </cell>
          <cell r="Q9">
            <v>18103000</v>
          </cell>
          <cell r="R9">
            <v>0.11865436667955588</v>
          </cell>
          <cell r="S9">
            <v>1440000</v>
          </cell>
          <cell r="T9">
            <v>3175000</v>
          </cell>
          <cell r="U9">
            <v>0.45354330708661417</v>
          </cell>
          <cell r="V9">
            <v>20251000</v>
          </cell>
          <cell r="W9">
            <v>32565000</v>
          </cell>
          <cell r="X9">
            <v>0.62186396437893443</v>
          </cell>
          <cell r="Y9">
            <v>4615000</v>
          </cell>
          <cell r="Z9">
            <v>32565000</v>
          </cell>
          <cell r="AA9">
            <v>0.14171656686626746</v>
          </cell>
          <cell r="AB9">
            <v>1031000</v>
          </cell>
          <cell r="AC9">
            <v>32565000</v>
          </cell>
          <cell r="AD9">
            <v>3.1659757408260401E-2</v>
          </cell>
          <cell r="AE9">
            <v>3363000</v>
          </cell>
          <cell r="AF9">
            <v>32565000</v>
          </cell>
          <cell r="AG9">
            <v>0.10327038231229849</v>
          </cell>
          <cell r="AH9">
            <v>3013000</v>
          </cell>
          <cell r="AI9">
            <v>32565000</v>
          </cell>
          <cell r="AJ9">
            <v>9.2522647013664971E-2</v>
          </cell>
          <cell r="AK9">
            <v>292000</v>
          </cell>
          <cell r="AL9">
            <v>32565000</v>
          </cell>
          <cell r="AM9">
            <v>8.9666820205742369E-3</v>
          </cell>
          <cell r="AN9">
            <v>29582000</v>
          </cell>
          <cell r="AO9">
            <v>58736</v>
          </cell>
          <cell r="AP9">
            <v>503.64342141105965</v>
          </cell>
          <cell r="AQ9">
            <v>12602000</v>
          </cell>
          <cell r="AR9">
            <v>27932000</v>
          </cell>
          <cell r="AS9">
            <v>0.45116712014893312</v>
          </cell>
          <cell r="AT9">
            <v>6516000</v>
          </cell>
          <cell r="AU9">
            <v>27932000</v>
          </cell>
          <cell r="AV9">
            <v>0.23328082486037519</v>
          </cell>
          <cell r="AW9">
            <v>428000</v>
          </cell>
          <cell r="AX9">
            <v>27932000</v>
          </cell>
          <cell r="AY9">
            <v>1.5322927108692539E-2</v>
          </cell>
          <cell r="AZ9">
            <v>4146000</v>
          </cell>
          <cell r="BA9">
            <v>27932000</v>
          </cell>
          <cell r="BB9">
            <v>0.14843190605756837</v>
          </cell>
          <cell r="BC9">
            <v>4240000</v>
          </cell>
          <cell r="BD9">
            <v>27932000</v>
          </cell>
          <cell r="BE9">
            <v>0.15179722182443076</v>
          </cell>
          <cell r="BF9">
            <v>27932000</v>
          </cell>
          <cell r="BG9">
            <v>58736</v>
          </cell>
          <cell r="BH9">
            <v>475.55162081176792</v>
          </cell>
          <cell r="BI9">
            <v>15568000</v>
          </cell>
          <cell r="BJ9">
            <v>4462000</v>
          </cell>
          <cell r="BK9">
            <v>3.4890183774092334</v>
          </cell>
          <cell r="BL9">
            <v>1191000</v>
          </cell>
          <cell r="BM9">
            <v>28398000</v>
          </cell>
          <cell r="BN9">
            <v>4.1939573209380944E-2</v>
          </cell>
          <cell r="BO9">
            <v>3510000</v>
          </cell>
          <cell r="BP9">
            <v>4146000</v>
          </cell>
          <cell r="BQ9">
            <v>0.84659913169319823</v>
          </cell>
          <cell r="BR9">
            <v>236</v>
          </cell>
          <cell r="BS9" t="str">
            <v>On Time</v>
          </cell>
          <cell r="BT9" t="str">
            <v>Not Received</v>
          </cell>
          <cell r="BU9" t="str">
            <v>On Time</v>
          </cell>
          <cell r="BV9">
            <v>1597000</v>
          </cell>
          <cell r="BW9">
            <v>58736</v>
          </cell>
          <cell r="BX9">
            <v>27.189457913375101</v>
          </cell>
          <cell r="BY9">
            <v>359531</v>
          </cell>
          <cell r="BZ9">
            <v>58736</v>
          </cell>
          <cell r="CA9">
            <v>6.1211352492508855</v>
          </cell>
          <cell r="CB9">
            <v>3611000</v>
          </cell>
          <cell r="CC9">
            <v>17071</v>
          </cell>
          <cell r="CD9">
            <v>211.52832288676703</v>
          </cell>
          <cell r="CE9">
            <v>1515093</v>
          </cell>
          <cell r="CF9">
            <v>17071</v>
          </cell>
          <cell r="CG9">
            <v>88.752445668092079</v>
          </cell>
          <cell r="CH9">
            <v>4687720</v>
          </cell>
          <cell r="CI9">
            <v>58736</v>
          </cell>
          <cell r="CJ9">
            <v>79.809997275946614</v>
          </cell>
          <cell r="CK9">
            <v>16712460</v>
          </cell>
          <cell r="CL9">
            <v>58736</v>
          </cell>
          <cell r="CM9">
            <v>284.53520839008445</v>
          </cell>
          <cell r="CN9" t="str">
            <v>N/A</v>
          </cell>
          <cell r="CO9" t="str">
            <v>N/A</v>
          </cell>
          <cell r="CP9" t="str">
            <v>N/A</v>
          </cell>
          <cell r="CQ9" t="str">
            <v>N/A</v>
          </cell>
          <cell r="CR9">
            <v>748</v>
          </cell>
          <cell r="CS9">
            <v>51000</v>
          </cell>
          <cell r="CT9">
            <v>748</v>
          </cell>
          <cell r="CU9">
            <v>68.181818181818187</v>
          </cell>
          <cell r="CV9">
            <v>35</v>
          </cell>
          <cell r="CW9">
            <v>183000</v>
          </cell>
          <cell r="CX9">
            <v>1709000</v>
          </cell>
          <cell r="CY9">
            <v>0.10708016383850205</v>
          </cell>
          <cell r="CZ9">
            <v>246000</v>
          </cell>
          <cell r="DA9">
            <v>58736</v>
          </cell>
          <cell r="DB9">
            <v>4.1882320893489515</v>
          </cell>
          <cell r="DC9">
            <v>2177000</v>
          </cell>
          <cell r="DD9">
            <v>58736</v>
          </cell>
          <cell r="DE9">
            <v>37.064151457368567</v>
          </cell>
          <cell r="DF9">
            <v>1130000</v>
          </cell>
          <cell r="DG9">
            <v>58736</v>
          </cell>
          <cell r="DH9">
            <v>19.238627077090712</v>
          </cell>
          <cell r="DI9">
            <v>32.4</v>
          </cell>
          <cell r="DJ9">
            <v>1812.8395061728395</v>
          </cell>
          <cell r="DK9">
            <v>3.4475049900199603E-2</v>
          </cell>
          <cell r="DL9">
            <v>0.74</v>
          </cell>
          <cell r="DM9">
            <v>47.49</v>
          </cell>
        </row>
        <row r="10">
          <cell r="B10" t="str">
            <v>Ballina Shire Council</v>
          </cell>
          <cell r="C10">
            <v>4</v>
          </cell>
          <cell r="D10">
            <v>5832000</v>
          </cell>
          <cell r="E10">
            <v>13537</v>
          </cell>
          <cell r="F10">
            <v>430.81923616754079</v>
          </cell>
          <cell r="G10">
            <v>972000</v>
          </cell>
          <cell r="H10">
            <v>1080</v>
          </cell>
          <cell r="I10">
            <v>900</v>
          </cell>
          <cell r="J10">
            <v>727000</v>
          </cell>
          <cell r="K10">
            <v>984</v>
          </cell>
          <cell r="L10">
            <v>738.82113821138216</v>
          </cell>
          <cell r="M10">
            <v>2784000</v>
          </cell>
          <cell r="N10">
            <v>26400000</v>
          </cell>
          <cell r="O10">
            <v>0.10545454545454545</v>
          </cell>
          <cell r="P10">
            <v>-1230000</v>
          </cell>
          <cell r="Q10">
            <v>16229000</v>
          </cell>
          <cell r="R10">
            <v>-7.5790252017992485E-2</v>
          </cell>
          <cell r="S10">
            <v>3971000</v>
          </cell>
          <cell r="T10">
            <v>7430000</v>
          </cell>
          <cell r="U10">
            <v>0.53445491251682364</v>
          </cell>
          <cell r="V10">
            <v>14999000</v>
          </cell>
          <cell r="W10">
            <v>39151000</v>
          </cell>
          <cell r="X10">
            <v>0.38310643406298689</v>
          </cell>
          <cell r="Y10">
            <v>11401000</v>
          </cell>
          <cell r="Z10">
            <v>39151000</v>
          </cell>
          <cell r="AA10">
            <v>0.29120584403974353</v>
          </cell>
          <cell r="AB10">
            <v>1815000</v>
          </cell>
          <cell r="AC10">
            <v>39151000</v>
          </cell>
          <cell r="AD10">
            <v>4.6358969119562721E-2</v>
          </cell>
          <cell r="AE10">
            <v>4049000</v>
          </cell>
          <cell r="AF10">
            <v>39151000</v>
          </cell>
          <cell r="AG10">
            <v>0.10342009144083165</v>
          </cell>
          <cell r="AH10">
            <v>6258000</v>
          </cell>
          <cell r="AI10">
            <v>39151000</v>
          </cell>
          <cell r="AJ10">
            <v>0.1598426604684427</v>
          </cell>
          <cell r="AK10">
            <v>629000</v>
          </cell>
          <cell r="AL10">
            <v>39151000</v>
          </cell>
          <cell r="AM10">
            <v>1.6066000868432479E-2</v>
          </cell>
          <cell r="AN10">
            <v>23890000</v>
          </cell>
          <cell r="AO10">
            <v>38236</v>
          </cell>
          <cell r="AP10">
            <v>624.80384977508106</v>
          </cell>
          <cell r="AQ10">
            <v>11532000</v>
          </cell>
          <cell r="AR10">
            <v>34449000</v>
          </cell>
          <cell r="AS10">
            <v>0.33475572585561264</v>
          </cell>
          <cell r="AT10">
            <v>10103000</v>
          </cell>
          <cell r="AU10">
            <v>34449000</v>
          </cell>
          <cell r="AV10">
            <v>0.29327411535893638</v>
          </cell>
          <cell r="AW10">
            <v>547000</v>
          </cell>
          <cell r="AX10">
            <v>34449000</v>
          </cell>
          <cell r="AY10">
            <v>1.5878545095648639E-2</v>
          </cell>
          <cell r="AZ10">
            <v>8488000</v>
          </cell>
          <cell r="BA10">
            <v>34449000</v>
          </cell>
          <cell r="BB10">
            <v>0.24639321896136318</v>
          </cell>
          <cell r="BC10">
            <v>3779000</v>
          </cell>
          <cell r="BD10">
            <v>34449000</v>
          </cell>
          <cell r="BE10">
            <v>0.10969839472843915</v>
          </cell>
          <cell r="BF10">
            <v>25444000</v>
          </cell>
          <cell r="BG10">
            <v>38236</v>
          </cell>
          <cell r="BH10">
            <v>665.4461763782823</v>
          </cell>
          <cell r="BI10">
            <v>13128000</v>
          </cell>
          <cell r="BJ10">
            <v>4095000</v>
          </cell>
          <cell r="BK10">
            <v>3.205860805860806</v>
          </cell>
          <cell r="BL10">
            <v>1576000</v>
          </cell>
          <cell r="BM10">
            <v>31691000</v>
          </cell>
          <cell r="BN10">
            <v>4.9730207314379479E-2</v>
          </cell>
          <cell r="BO10">
            <v>4821000</v>
          </cell>
          <cell r="BP10">
            <v>6441000</v>
          </cell>
          <cell r="BQ10">
            <v>0.74848625989753148</v>
          </cell>
          <cell r="BR10">
            <v>209</v>
          </cell>
          <cell r="BS10" t="str">
            <v>On Time</v>
          </cell>
          <cell r="BT10" t="str">
            <v>&lt;=2</v>
          </cell>
          <cell r="BU10" t="str">
            <v>On Time</v>
          </cell>
          <cell r="BV10">
            <v>779000</v>
          </cell>
          <cell r="BW10">
            <v>38236</v>
          </cell>
          <cell r="BX10">
            <v>20.373470028245631</v>
          </cell>
          <cell r="BY10">
            <v>376833</v>
          </cell>
          <cell r="BZ10">
            <v>38236</v>
          </cell>
          <cell r="CA10">
            <v>9.8554503609164144</v>
          </cell>
          <cell r="CB10">
            <v>1889000</v>
          </cell>
          <cell r="CC10">
            <v>13677</v>
          </cell>
          <cell r="CD10">
            <v>138.11508371718944</v>
          </cell>
          <cell r="CE10">
            <v>307000</v>
          </cell>
          <cell r="CF10">
            <v>13677</v>
          </cell>
          <cell r="CG10">
            <v>22.446442933391825</v>
          </cell>
          <cell r="CH10">
            <v>1734540</v>
          </cell>
          <cell r="CI10">
            <v>38236</v>
          </cell>
          <cell r="CJ10">
            <v>45.364054817449521</v>
          </cell>
          <cell r="CK10">
            <v>12120820</v>
          </cell>
          <cell r="CL10">
            <v>38236</v>
          </cell>
          <cell r="CM10">
            <v>317.00020922690658</v>
          </cell>
          <cell r="CN10">
            <v>245.581782638172</v>
          </cell>
          <cell r="CO10">
            <v>280.60586344104701</v>
          </cell>
          <cell r="CP10">
            <v>344.24106071514302</v>
          </cell>
          <cell r="CQ10">
            <v>439.40145502645498</v>
          </cell>
          <cell r="CR10">
            <v>1007</v>
          </cell>
          <cell r="CS10">
            <v>30026</v>
          </cell>
          <cell r="CT10">
            <v>1007</v>
          </cell>
          <cell r="CU10">
            <v>29.817279046673288</v>
          </cell>
          <cell r="CV10">
            <v>21</v>
          </cell>
          <cell r="CW10">
            <v>193000</v>
          </cell>
          <cell r="CX10">
            <v>2008000</v>
          </cell>
          <cell r="CY10">
            <v>9.6115537848605576E-2</v>
          </cell>
          <cell r="CZ10">
            <v>544000</v>
          </cell>
          <cell r="DA10">
            <v>38236</v>
          </cell>
          <cell r="DB10">
            <v>14.227429647452663</v>
          </cell>
          <cell r="DC10">
            <v>1723000</v>
          </cell>
          <cell r="DD10">
            <v>38236</v>
          </cell>
          <cell r="DE10">
            <v>45.062245004707606</v>
          </cell>
          <cell r="DF10">
            <v>92000</v>
          </cell>
          <cell r="DG10">
            <v>38236</v>
          </cell>
          <cell r="DH10">
            <v>2.4061094256721414</v>
          </cell>
          <cell r="DI10">
            <v>484.4</v>
          </cell>
          <cell r="DJ10">
            <v>78.934764657308008</v>
          </cell>
          <cell r="DK10">
            <v>1.3728339854667412E-2</v>
          </cell>
          <cell r="DL10">
            <v>2.1800000000000002</v>
          </cell>
          <cell r="DM10">
            <v>2.9</v>
          </cell>
        </row>
        <row r="11">
          <cell r="B11" t="str">
            <v>Balranald Shire Council</v>
          </cell>
          <cell r="C11">
            <v>9</v>
          </cell>
          <cell r="D11">
            <v>104000</v>
          </cell>
          <cell r="E11">
            <v>735</v>
          </cell>
          <cell r="F11">
            <v>141.49659863945578</v>
          </cell>
          <cell r="G11">
            <v>517000</v>
          </cell>
          <cell r="H11">
            <v>436</v>
          </cell>
          <cell r="I11">
            <v>1185.7798165137615</v>
          </cell>
          <cell r="J11">
            <v>72000</v>
          </cell>
          <cell r="K11">
            <v>136</v>
          </cell>
          <cell r="L11">
            <v>529.41176470588232</v>
          </cell>
          <cell r="M11">
            <v>149000</v>
          </cell>
          <cell r="N11">
            <v>2237000</v>
          </cell>
          <cell r="O11">
            <v>6.6607063030844876E-2</v>
          </cell>
          <cell r="P11">
            <v>74000</v>
          </cell>
          <cell r="Q11">
            <v>1376000</v>
          </cell>
          <cell r="R11">
            <v>5.3779069767441859E-2</v>
          </cell>
          <cell r="S11">
            <v>314000</v>
          </cell>
          <cell r="T11">
            <v>473000</v>
          </cell>
          <cell r="U11">
            <v>0.66384778012684986</v>
          </cell>
          <cell r="V11">
            <v>1450000</v>
          </cell>
          <cell r="W11">
            <v>6921000</v>
          </cell>
          <cell r="X11">
            <v>0.20950729663343448</v>
          </cell>
          <cell r="Y11">
            <v>787000</v>
          </cell>
          <cell r="Z11">
            <v>6921000</v>
          </cell>
          <cell r="AA11">
            <v>0.11371189134518134</v>
          </cell>
          <cell r="AB11">
            <v>146000</v>
          </cell>
          <cell r="AC11">
            <v>6921000</v>
          </cell>
          <cell r="AD11">
            <v>2.1095217454125126E-2</v>
          </cell>
          <cell r="AE11">
            <v>2559000</v>
          </cell>
          <cell r="AF11">
            <v>6921000</v>
          </cell>
          <cell r="AG11">
            <v>0.3697442566103164</v>
          </cell>
          <cell r="AH11">
            <v>1739000</v>
          </cell>
          <cell r="AI11">
            <v>6921000</v>
          </cell>
          <cell r="AJ11">
            <v>0.25126426816933967</v>
          </cell>
          <cell r="AK11">
            <v>240000</v>
          </cell>
          <cell r="AL11">
            <v>6921000</v>
          </cell>
          <cell r="AM11">
            <v>3.4677069787602946E-2</v>
          </cell>
          <cell r="AN11">
            <v>4915000</v>
          </cell>
          <cell r="AO11">
            <v>2792</v>
          </cell>
          <cell r="AP11">
            <v>1760.3868194842407</v>
          </cell>
          <cell r="AQ11">
            <v>2290000</v>
          </cell>
          <cell r="AR11">
            <v>5452000</v>
          </cell>
          <cell r="AS11">
            <v>0.42002934702861333</v>
          </cell>
          <cell r="AT11">
            <v>1053000</v>
          </cell>
          <cell r="AU11">
            <v>5452000</v>
          </cell>
          <cell r="AV11">
            <v>0.19314013206162875</v>
          </cell>
          <cell r="AW11">
            <v>52000</v>
          </cell>
          <cell r="AX11">
            <v>5452000</v>
          </cell>
          <cell r="AY11">
            <v>9.5377842993396925E-3</v>
          </cell>
          <cell r="AZ11">
            <v>1540000</v>
          </cell>
          <cell r="BA11">
            <v>5452000</v>
          </cell>
          <cell r="BB11">
            <v>0.28246515040352166</v>
          </cell>
          <cell r="BC11">
            <v>517000</v>
          </cell>
          <cell r="BD11">
            <v>5452000</v>
          </cell>
          <cell r="BE11">
            <v>9.4827586206896547E-2</v>
          </cell>
          <cell r="BF11">
            <v>4819000</v>
          </cell>
          <cell r="BG11">
            <v>2792</v>
          </cell>
          <cell r="BH11">
            <v>1726.0028653295128</v>
          </cell>
          <cell r="BI11">
            <v>2395000</v>
          </cell>
          <cell r="BJ11">
            <v>825000</v>
          </cell>
          <cell r="BK11">
            <v>2.9030303030303028</v>
          </cell>
          <cell r="BL11">
            <v>223000</v>
          </cell>
          <cell r="BM11">
            <v>4459000</v>
          </cell>
          <cell r="BN11">
            <v>5.0011213276519396E-2</v>
          </cell>
          <cell r="BO11">
            <v>2338000</v>
          </cell>
          <cell r="BP11">
            <v>1293000</v>
          </cell>
          <cell r="BQ11">
            <v>1.8081979891724671</v>
          </cell>
          <cell r="BR11">
            <v>46</v>
          </cell>
          <cell r="BS11" t="str">
            <v>&lt;=16</v>
          </cell>
          <cell r="BT11" t="str">
            <v>On Time</v>
          </cell>
          <cell r="BU11" t="str">
            <v>On Time</v>
          </cell>
          <cell r="BV11">
            <v>55000</v>
          </cell>
          <cell r="BW11">
            <v>2792</v>
          </cell>
          <cell r="BX11">
            <v>19.699140401146131</v>
          </cell>
          <cell r="BY11">
            <v>16811</v>
          </cell>
          <cell r="BZ11">
            <v>2792</v>
          </cell>
          <cell r="CA11">
            <v>6.0211318051575935</v>
          </cell>
          <cell r="CB11">
            <v>101000</v>
          </cell>
          <cell r="CC11">
            <v>732</v>
          </cell>
          <cell r="CD11">
            <v>137.97814207650273</v>
          </cell>
          <cell r="CE11">
            <v>91398</v>
          </cell>
          <cell r="CF11">
            <v>732</v>
          </cell>
          <cell r="CG11">
            <v>124.86065573770492</v>
          </cell>
          <cell r="CH11">
            <v>390880</v>
          </cell>
          <cell r="CI11">
            <v>2792</v>
          </cell>
          <cell r="CJ11">
            <v>140</v>
          </cell>
          <cell r="CK11">
            <v>1023000</v>
          </cell>
          <cell r="CL11">
            <v>2792</v>
          </cell>
          <cell r="CM11">
            <v>366.40401146131808</v>
          </cell>
          <cell r="CN11">
            <v>512.83867953908396</v>
          </cell>
          <cell r="CO11">
            <v>485.52631578947398</v>
          </cell>
          <cell r="CP11">
            <v>372.20486280636698</v>
          </cell>
          <cell r="CQ11">
            <v>332.19412166780597</v>
          </cell>
          <cell r="CR11">
            <v>46</v>
          </cell>
          <cell r="CS11">
            <v>250</v>
          </cell>
          <cell r="CT11">
            <v>46</v>
          </cell>
          <cell r="CU11">
            <v>5.4347826086956523</v>
          </cell>
          <cell r="CV11">
            <v>10</v>
          </cell>
          <cell r="CW11">
            <v>0</v>
          </cell>
          <cell r="CX11">
            <v>1000</v>
          </cell>
          <cell r="CY11">
            <v>0</v>
          </cell>
          <cell r="CZ11">
            <v>178000</v>
          </cell>
          <cell r="DA11">
            <v>2792</v>
          </cell>
          <cell r="DB11">
            <v>63.753581661891118</v>
          </cell>
          <cell r="DC11">
            <v>179000</v>
          </cell>
          <cell r="DD11">
            <v>2792</v>
          </cell>
          <cell r="DE11">
            <v>64.11174785100286</v>
          </cell>
          <cell r="DF11">
            <v>392000</v>
          </cell>
          <cell r="DG11">
            <v>2792</v>
          </cell>
          <cell r="DH11">
            <v>140.40114613180515</v>
          </cell>
          <cell r="DI11">
            <v>21699.3</v>
          </cell>
          <cell r="DJ11">
            <v>0.12866774504246681</v>
          </cell>
          <cell r="DK11">
            <v>-1.0711864406779662E-2</v>
          </cell>
          <cell r="DL11">
            <v>5.89</v>
          </cell>
          <cell r="DM11">
            <v>5.28</v>
          </cell>
        </row>
        <row r="12">
          <cell r="B12" t="str">
            <v>Bankstown City Council</v>
          </cell>
          <cell r="C12">
            <v>3</v>
          </cell>
          <cell r="D12">
            <v>34578000</v>
          </cell>
          <cell r="E12">
            <v>53880</v>
          </cell>
          <cell r="F12">
            <v>641.75946547884189</v>
          </cell>
          <cell r="G12">
            <v>2000</v>
          </cell>
          <cell r="H12">
            <v>3</v>
          </cell>
          <cell r="I12">
            <v>666.66666666666663</v>
          </cell>
          <cell r="J12">
            <v>18202000</v>
          </cell>
          <cell r="K12">
            <v>4134</v>
          </cell>
          <cell r="L12">
            <v>4402.9995162070636</v>
          </cell>
          <cell r="M12">
            <v>6049000</v>
          </cell>
          <cell r="N12">
            <v>69655000</v>
          </cell>
          <cell r="O12">
            <v>8.6842294164094461E-2</v>
          </cell>
          <cell r="P12">
            <v>4479000</v>
          </cell>
          <cell r="Q12">
            <v>59567000</v>
          </cell>
          <cell r="R12">
            <v>7.5192640220256179E-2</v>
          </cell>
          <cell r="S12">
            <v>774000</v>
          </cell>
          <cell r="T12">
            <v>4835000</v>
          </cell>
          <cell r="U12">
            <v>0.16008273009307136</v>
          </cell>
          <cell r="V12">
            <v>64046000</v>
          </cell>
          <cell r="W12">
            <v>97931000</v>
          </cell>
          <cell r="X12">
            <v>0.65399107534897016</v>
          </cell>
          <cell r="Y12">
            <v>5609000</v>
          </cell>
          <cell r="Z12">
            <v>97931000</v>
          </cell>
          <cell r="AA12">
            <v>5.7275020167260625E-2</v>
          </cell>
          <cell r="AB12">
            <v>2380000</v>
          </cell>
          <cell r="AC12">
            <v>97931000</v>
          </cell>
          <cell r="AD12">
            <v>2.4302825458741358E-2</v>
          </cell>
          <cell r="AE12">
            <v>11736000</v>
          </cell>
          <cell r="AF12">
            <v>97931000</v>
          </cell>
          <cell r="AG12">
            <v>0.11983947881671789</v>
          </cell>
          <cell r="AH12">
            <v>3846000</v>
          </cell>
          <cell r="AI12">
            <v>97931000</v>
          </cell>
          <cell r="AJ12">
            <v>3.9272549039629942E-2</v>
          </cell>
          <cell r="AK12">
            <v>10314000</v>
          </cell>
          <cell r="AL12">
            <v>97931000</v>
          </cell>
          <cell r="AM12">
            <v>0.10531905116867998</v>
          </cell>
          <cell r="AN12">
            <v>91275000</v>
          </cell>
          <cell r="AO12">
            <v>172785</v>
          </cell>
          <cell r="AP12">
            <v>528.25766125531732</v>
          </cell>
          <cell r="AQ12">
            <v>37361000</v>
          </cell>
          <cell r="AR12">
            <v>91058000</v>
          </cell>
          <cell r="AS12">
            <v>0.41029893035208331</v>
          </cell>
          <cell r="AT12">
            <v>16284000</v>
          </cell>
          <cell r="AU12">
            <v>91058000</v>
          </cell>
          <cell r="AV12">
            <v>0.17883107469964199</v>
          </cell>
          <cell r="AW12">
            <v>1494000</v>
          </cell>
          <cell r="AX12">
            <v>91058000</v>
          </cell>
          <cell r="AY12">
            <v>1.6407125129038636E-2</v>
          </cell>
          <cell r="AZ12">
            <v>15755000</v>
          </cell>
          <cell r="BA12">
            <v>91058000</v>
          </cell>
          <cell r="BB12">
            <v>0.17302159063454062</v>
          </cell>
          <cell r="BC12">
            <v>20164000</v>
          </cell>
          <cell r="BD12">
            <v>91058000</v>
          </cell>
          <cell r="BE12">
            <v>0.22144127918469547</v>
          </cell>
          <cell r="BF12">
            <v>91058000</v>
          </cell>
          <cell r="BG12">
            <v>172785</v>
          </cell>
          <cell r="BH12">
            <v>527.00176519952538</v>
          </cell>
          <cell r="BI12">
            <v>40701000</v>
          </cell>
          <cell r="BJ12">
            <v>20171000</v>
          </cell>
          <cell r="BK12">
            <v>2.0177978285657625</v>
          </cell>
          <cell r="BL12">
            <v>6224000</v>
          </cell>
          <cell r="BM12">
            <v>89128000</v>
          </cell>
          <cell r="BN12">
            <v>6.9832151512431564E-2</v>
          </cell>
          <cell r="BO12">
            <v>16171000</v>
          </cell>
          <cell r="BP12">
            <v>15755000</v>
          </cell>
          <cell r="BQ12">
            <v>1.0264043160901302</v>
          </cell>
          <cell r="BR12">
            <v>648</v>
          </cell>
          <cell r="BS12" t="str">
            <v>On Time</v>
          </cell>
          <cell r="BT12" t="str">
            <v>&lt;=2</v>
          </cell>
          <cell r="BU12" t="str">
            <v>On Time</v>
          </cell>
          <cell r="BV12">
            <v>4092000</v>
          </cell>
          <cell r="BW12">
            <v>172785</v>
          </cell>
          <cell r="BX12">
            <v>23.682611337789737</v>
          </cell>
          <cell r="BY12">
            <v>1206221</v>
          </cell>
          <cell r="BZ12">
            <v>172785</v>
          </cell>
          <cell r="CA12">
            <v>6.9810515959139972</v>
          </cell>
          <cell r="CB12">
            <v>10861000</v>
          </cell>
          <cell r="CC12">
            <v>57185</v>
          </cell>
          <cell r="CD12">
            <v>189.92742852146543</v>
          </cell>
          <cell r="CE12">
            <v>7658000</v>
          </cell>
          <cell r="CF12">
            <v>57185</v>
          </cell>
          <cell r="CG12">
            <v>133.91623677537817</v>
          </cell>
          <cell r="CH12">
            <v>32937000</v>
          </cell>
          <cell r="CI12">
            <v>172785</v>
          </cell>
          <cell r="CJ12">
            <v>190.62418612726799</v>
          </cell>
          <cell r="CK12">
            <v>41392000</v>
          </cell>
          <cell r="CL12">
            <v>172785</v>
          </cell>
          <cell r="CM12">
            <v>239.55783198773042</v>
          </cell>
          <cell r="CN12" t="str">
            <v>N/A</v>
          </cell>
          <cell r="CO12" t="str">
            <v>N/A</v>
          </cell>
          <cell r="CP12" t="str">
            <v>N/A</v>
          </cell>
          <cell r="CQ12" t="str">
            <v>N/A</v>
          </cell>
          <cell r="CR12">
            <v>2025</v>
          </cell>
          <cell r="CS12">
            <v>137359</v>
          </cell>
          <cell r="CT12">
            <v>2025</v>
          </cell>
          <cell r="CU12">
            <v>67.83160493827161</v>
          </cell>
          <cell r="CV12">
            <v>33</v>
          </cell>
          <cell r="CW12">
            <v>248000</v>
          </cell>
          <cell r="CX12">
            <v>3188000</v>
          </cell>
          <cell r="CY12">
            <v>7.779171894604768E-2</v>
          </cell>
          <cell r="CZ12">
            <v>2049000</v>
          </cell>
          <cell r="DA12">
            <v>172785</v>
          </cell>
          <cell r="DB12">
            <v>11.858668287177707</v>
          </cell>
          <cell r="DC12">
            <v>5991000</v>
          </cell>
          <cell r="DD12">
            <v>172785</v>
          </cell>
          <cell r="DE12">
            <v>34.673148710825593</v>
          </cell>
          <cell r="DF12">
            <v>2835000</v>
          </cell>
          <cell r="DG12">
            <v>172785</v>
          </cell>
          <cell r="DH12">
            <v>16.407674277281014</v>
          </cell>
          <cell r="DI12">
            <v>76.8</v>
          </cell>
          <cell r="DJ12">
            <v>2249.8046875</v>
          </cell>
          <cell r="DK12">
            <v>1.1164069660861595E-2</v>
          </cell>
          <cell r="DL12">
            <v>0.64</v>
          </cell>
          <cell r="DM12">
            <v>28.27</v>
          </cell>
        </row>
        <row r="13">
          <cell r="B13" t="str">
            <v>Barraba Shire Council</v>
          </cell>
          <cell r="C13">
            <v>9</v>
          </cell>
          <cell r="D13">
            <v>188000</v>
          </cell>
          <cell r="E13">
            <v>762</v>
          </cell>
          <cell r="F13">
            <v>246.71916010498688</v>
          </cell>
          <cell r="G13">
            <v>689000</v>
          </cell>
          <cell r="H13">
            <v>411</v>
          </cell>
          <cell r="I13">
            <v>1676.3990267639904</v>
          </cell>
          <cell r="J13">
            <v>68000</v>
          </cell>
          <cell r="K13">
            <v>131</v>
          </cell>
          <cell r="L13">
            <v>519.08396946564881</v>
          </cell>
          <cell r="M13">
            <v>218000</v>
          </cell>
          <cell r="N13">
            <v>2659000</v>
          </cell>
          <cell r="O13">
            <v>8.1985708913125233E-2</v>
          </cell>
          <cell r="P13">
            <v>104000</v>
          </cell>
          <cell r="Q13">
            <v>1381000</v>
          </cell>
          <cell r="R13">
            <v>7.5307748008689362E-2</v>
          </cell>
          <cell r="S13">
            <v>544000</v>
          </cell>
          <cell r="T13">
            <v>630000</v>
          </cell>
          <cell r="U13">
            <v>0.86349206349206353</v>
          </cell>
          <cell r="V13">
            <v>1485000</v>
          </cell>
          <cell r="W13">
            <v>4730000</v>
          </cell>
          <cell r="X13">
            <v>0.31395348837209303</v>
          </cell>
          <cell r="Y13">
            <v>1174000</v>
          </cell>
          <cell r="Z13">
            <v>4730000</v>
          </cell>
          <cell r="AA13">
            <v>0.24820295983086682</v>
          </cell>
          <cell r="AB13">
            <v>81000</v>
          </cell>
          <cell r="AC13">
            <v>4730000</v>
          </cell>
          <cell r="AD13">
            <v>1.7124735729386893E-2</v>
          </cell>
          <cell r="AE13">
            <v>1698000</v>
          </cell>
          <cell r="AF13">
            <v>4730000</v>
          </cell>
          <cell r="AG13">
            <v>0.35898520084566599</v>
          </cell>
          <cell r="AH13">
            <v>244000</v>
          </cell>
          <cell r="AI13">
            <v>4730000</v>
          </cell>
          <cell r="AJ13">
            <v>5.1585623678646934E-2</v>
          </cell>
          <cell r="AK13">
            <v>48000</v>
          </cell>
          <cell r="AL13">
            <v>4730000</v>
          </cell>
          <cell r="AM13">
            <v>1.014799154334038E-2</v>
          </cell>
          <cell r="AN13">
            <v>4162000</v>
          </cell>
          <cell r="AO13">
            <v>2245</v>
          </cell>
          <cell r="AP13">
            <v>1853.8975501113587</v>
          </cell>
          <cell r="AQ13">
            <v>1810000</v>
          </cell>
          <cell r="AR13">
            <v>4546000</v>
          </cell>
          <cell r="AS13">
            <v>0.39815222173339199</v>
          </cell>
          <cell r="AT13">
            <v>1081000</v>
          </cell>
          <cell r="AU13">
            <v>4546000</v>
          </cell>
          <cell r="AV13">
            <v>0.2377914650241971</v>
          </cell>
          <cell r="AW13">
            <v>54000</v>
          </cell>
          <cell r="AX13">
            <v>4546000</v>
          </cell>
          <cell r="AY13">
            <v>1.1878574571051475E-2</v>
          </cell>
          <cell r="AZ13">
            <v>1196000</v>
          </cell>
          <cell r="BA13">
            <v>4546000</v>
          </cell>
          <cell r="BB13">
            <v>0.26308842938847338</v>
          </cell>
          <cell r="BC13">
            <v>405000</v>
          </cell>
          <cell r="BD13">
            <v>4546000</v>
          </cell>
          <cell r="BE13">
            <v>8.9089309282886053E-2</v>
          </cell>
          <cell r="BF13">
            <v>4005000</v>
          </cell>
          <cell r="BG13">
            <v>2245</v>
          </cell>
          <cell r="BH13">
            <v>1783.9643652561247</v>
          </cell>
          <cell r="BI13">
            <v>2051000</v>
          </cell>
          <cell r="BJ13">
            <v>545000</v>
          </cell>
          <cell r="BK13">
            <v>3.763302752293578</v>
          </cell>
          <cell r="BL13">
            <v>221000</v>
          </cell>
          <cell r="BM13">
            <v>3965000</v>
          </cell>
          <cell r="BN13">
            <v>5.5737704918032788E-2</v>
          </cell>
          <cell r="BO13">
            <v>412000</v>
          </cell>
          <cell r="BP13">
            <v>1117000</v>
          </cell>
          <cell r="BQ13">
            <v>0.36884512085944493</v>
          </cell>
          <cell r="BR13">
            <v>40</v>
          </cell>
          <cell r="BS13" t="str">
            <v>&lt;=8</v>
          </cell>
          <cell r="BT13" t="str">
            <v>&lt;=8</v>
          </cell>
          <cell r="BU13" t="str">
            <v>On Time</v>
          </cell>
          <cell r="BV13">
            <v>70000</v>
          </cell>
          <cell r="BW13">
            <v>2245</v>
          </cell>
          <cell r="BX13">
            <v>31.180400890868597</v>
          </cell>
          <cell r="BY13">
            <v>17256</v>
          </cell>
          <cell r="BZ13">
            <v>2245</v>
          </cell>
          <cell r="CA13">
            <v>7.6864142538975502</v>
          </cell>
          <cell r="CB13">
            <v>61000</v>
          </cell>
          <cell r="CC13">
            <v>575</v>
          </cell>
          <cell r="CD13">
            <v>106.08695652173913</v>
          </cell>
          <cell r="CE13">
            <v>55139</v>
          </cell>
          <cell r="CF13">
            <v>575</v>
          </cell>
          <cell r="CG13">
            <v>95.893913043478264</v>
          </cell>
          <cell r="CI13">
            <v>2245</v>
          </cell>
          <cell r="CJ13" t="str">
            <v>N/A</v>
          </cell>
          <cell r="CK13">
            <v>456000</v>
          </cell>
          <cell r="CL13">
            <v>2245</v>
          </cell>
          <cell r="CM13">
            <v>203.11804008908686</v>
          </cell>
          <cell r="CN13">
            <v>468.04032993937898</v>
          </cell>
          <cell r="CO13">
            <v>417.23666210670302</v>
          </cell>
          <cell r="CP13">
            <v>245.16882069120899</v>
          </cell>
          <cell r="CQ13">
            <v>286.92237994563601</v>
          </cell>
          <cell r="CR13">
            <v>27</v>
          </cell>
          <cell r="CS13">
            <v>183</v>
          </cell>
          <cell r="CT13">
            <v>27</v>
          </cell>
          <cell r="CU13">
            <v>6.7777777777777777</v>
          </cell>
          <cell r="CV13">
            <v>2</v>
          </cell>
          <cell r="CW13">
            <v>0</v>
          </cell>
          <cell r="CX13">
            <v>22000</v>
          </cell>
          <cell r="CY13">
            <v>0</v>
          </cell>
          <cell r="CZ13">
            <v>143000</v>
          </cell>
          <cell r="DA13">
            <v>2245</v>
          </cell>
          <cell r="DB13">
            <v>63.697104677060132</v>
          </cell>
          <cell r="DC13">
            <v>288000</v>
          </cell>
          <cell r="DD13">
            <v>2245</v>
          </cell>
          <cell r="DE13">
            <v>128.28507795100222</v>
          </cell>
          <cell r="DF13">
            <v>89000</v>
          </cell>
          <cell r="DG13">
            <v>2245</v>
          </cell>
          <cell r="DH13">
            <v>39.643652561247215</v>
          </cell>
          <cell r="DI13">
            <v>3068.7</v>
          </cell>
          <cell r="DJ13">
            <v>0.73158014794538406</v>
          </cell>
          <cell r="DK13">
            <v>-9.7457627118644075E-3</v>
          </cell>
          <cell r="DL13">
            <v>2.02</v>
          </cell>
          <cell r="DM13">
            <v>2.39</v>
          </cell>
        </row>
        <row r="14">
          <cell r="B14" t="str">
            <v>Bathurst City Council</v>
          </cell>
          <cell r="C14">
            <v>4</v>
          </cell>
          <cell r="D14">
            <v>6610000</v>
          </cell>
          <cell r="E14">
            <v>11128</v>
          </cell>
          <cell r="F14">
            <v>593.99712437095616</v>
          </cell>
          <cell r="G14">
            <v>341000</v>
          </cell>
          <cell r="H14">
            <v>236</v>
          </cell>
          <cell r="I14">
            <v>1444.9152542372881</v>
          </cell>
          <cell r="J14">
            <v>2974000</v>
          </cell>
          <cell r="K14">
            <v>917</v>
          </cell>
          <cell r="L14">
            <v>3243.1842966194113</v>
          </cell>
          <cell r="M14">
            <v>1929000</v>
          </cell>
          <cell r="N14">
            <v>27424000</v>
          </cell>
          <cell r="O14">
            <v>7.0339848308051345E-2</v>
          </cell>
          <cell r="P14">
            <v>-1534000</v>
          </cell>
          <cell r="Q14">
            <v>20243000</v>
          </cell>
          <cell r="R14">
            <v>-7.5779281727016742E-2</v>
          </cell>
          <cell r="S14">
            <v>1788000</v>
          </cell>
          <cell r="T14">
            <v>6927000</v>
          </cell>
          <cell r="U14">
            <v>0.25812039844088353</v>
          </cell>
          <cell r="V14">
            <v>18709000</v>
          </cell>
          <cell r="W14">
            <v>42269000</v>
          </cell>
          <cell r="X14">
            <v>0.44261752111476493</v>
          </cell>
          <cell r="Y14">
            <v>8715000</v>
          </cell>
          <cell r="Z14">
            <v>42269000</v>
          </cell>
          <cell r="AA14">
            <v>0.20617946958764105</v>
          </cell>
          <cell r="AB14">
            <v>1714000</v>
          </cell>
          <cell r="AC14">
            <v>42269000</v>
          </cell>
          <cell r="AD14">
            <v>4.0549811918900378E-2</v>
          </cell>
          <cell r="AE14">
            <v>7460000</v>
          </cell>
          <cell r="AF14">
            <v>42269000</v>
          </cell>
          <cell r="AG14">
            <v>0.17648867964702264</v>
          </cell>
          <cell r="AH14">
            <v>4210000</v>
          </cell>
          <cell r="AI14">
            <v>42269000</v>
          </cell>
          <cell r="AJ14">
            <v>9.9600179800799646E-2</v>
          </cell>
          <cell r="AK14">
            <v>1461000</v>
          </cell>
          <cell r="AL14">
            <v>42269000</v>
          </cell>
          <cell r="AM14">
            <v>3.4564337930871325E-2</v>
          </cell>
          <cell r="AN14">
            <v>25768000</v>
          </cell>
          <cell r="AO14">
            <v>30755</v>
          </cell>
          <cell r="AP14">
            <v>837.84750447081774</v>
          </cell>
          <cell r="AQ14">
            <v>13259000</v>
          </cell>
          <cell r="AR14">
            <v>36301000</v>
          </cell>
          <cell r="AS14">
            <v>0.3652516459601664</v>
          </cell>
          <cell r="AT14">
            <v>8843000</v>
          </cell>
          <cell r="AU14">
            <v>36301000</v>
          </cell>
          <cell r="AV14">
            <v>0.24360210462521695</v>
          </cell>
          <cell r="AW14">
            <v>622000</v>
          </cell>
          <cell r="AX14">
            <v>36301000</v>
          </cell>
          <cell r="AY14">
            <v>1.7134514200710726E-2</v>
          </cell>
          <cell r="AZ14">
            <v>8615000</v>
          </cell>
          <cell r="BA14">
            <v>36301000</v>
          </cell>
          <cell r="BB14">
            <v>0.23732128591498858</v>
          </cell>
          <cell r="BC14">
            <v>4962000</v>
          </cell>
          <cell r="BD14">
            <v>36301000</v>
          </cell>
          <cell r="BE14">
            <v>0.13669044929891738</v>
          </cell>
          <cell r="BF14">
            <v>26107000</v>
          </cell>
          <cell r="BG14">
            <v>30755</v>
          </cell>
          <cell r="BH14">
            <v>848.87010242237034</v>
          </cell>
          <cell r="BI14">
            <v>14059000</v>
          </cell>
          <cell r="BJ14">
            <v>5662000</v>
          </cell>
          <cell r="BK14">
            <v>2.4830448604733308</v>
          </cell>
          <cell r="BL14">
            <v>2539000</v>
          </cell>
          <cell r="BM14">
            <v>34645000</v>
          </cell>
          <cell r="BN14">
            <v>7.3286188483186604E-2</v>
          </cell>
          <cell r="BO14">
            <v>5289000</v>
          </cell>
          <cell r="BP14">
            <v>5421000</v>
          </cell>
          <cell r="BQ14">
            <v>0.97565024903154396</v>
          </cell>
          <cell r="BR14">
            <v>292</v>
          </cell>
          <cell r="BS14" t="str">
            <v>On Time</v>
          </cell>
          <cell r="BT14" t="str">
            <v>On Time</v>
          </cell>
          <cell r="BU14" t="str">
            <v>On Time</v>
          </cell>
          <cell r="BV14">
            <v>974000</v>
          </cell>
          <cell r="BW14">
            <v>30755</v>
          </cell>
          <cell r="BX14">
            <v>31.669647211835475</v>
          </cell>
          <cell r="BY14">
            <v>210995</v>
          </cell>
          <cell r="BZ14">
            <v>30755</v>
          </cell>
          <cell r="CA14">
            <v>6.8605104860998214</v>
          </cell>
          <cell r="CB14">
            <v>1180000</v>
          </cell>
          <cell r="CC14">
            <v>10570</v>
          </cell>
          <cell r="CD14">
            <v>111.63670766319773</v>
          </cell>
          <cell r="CE14">
            <v>1027000</v>
          </cell>
          <cell r="CF14">
            <v>11408</v>
          </cell>
          <cell r="CG14">
            <v>90.024544179523147</v>
          </cell>
          <cell r="CH14">
            <v>14879490</v>
          </cell>
          <cell r="CI14">
            <v>30755</v>
          </cell>
          <cell r="CJ14">
            <v>483.80718582344332</v>
          </cell>
          <cell r="CK14">
            <v>9668370</v>
          </cell>
          <cell r="CL14">
            <v>30755</v>
          </cell>
          <cell r="CM14">
            <v>314.36741993171842</v>
          </cell>
          <cell r="CN14">
            <v>362.52121340780798</v>
          </cell>
          <cell r="CO14">
            <v>418.50325035674598</v>
          </cell>
          <cell r="CP14">
            <v>306.18704243339999</v>
          </cell>
          <cell r="CQ14">
            <v>366.40211640211601</v>
          </cell>
          <cell r="CR14">
            <v>802</v>
          </cell>
          <cell r="CS14">
            <v>8904</v>
          </cell>
          <cell r="CT14">
            <v>802</v>
          </cell>
          <cell r="CU14">
            <v>11.102244389027431</v>
          </cell>
          <cell r="CV14">
            <v>8</v>
          </cell>
          <cell r="CW14">
            <v>251000</v>
          </cell>
          <cell r="CX14">
            <v>1198000</v>
          </cell>
          <cell r="CY14">
            <v>0.20951585976627712</v>
          </cell>
          <cell r="CZ14">
            <v>605000</v>
          </cell>
          <cell r="DA14">
            <v>30755</v>
          </cell>
          <cell r="DB14">
            <v>19.671598114127786</v>
          </cell>
          <cell r="DC14">
            <v>2758000</v>
          </cell>
          <cell r="DD14">
            <v>30755</v>
          </cell>
          <cell r="DE14">
            <v>89.676475369858565</v>
          </cell>
          <cell r="DF14">
            <v>1814000</v>
          </cell>
          <cell r="DG14">
            <v>30755</v>
          </cell>
          <cell r="DH14">
            <v>58.982279304178185</v>
          </cell>
          <cell r="DI14">
            <v>239.5</v>
          </cell>
          <cell r="DJ14">
            <v>128.4133611691023</v>
          </cell>
          <cell r="DK14">
            <v>-5.5123216601815823E-4</v>
          </cell>
          <cell r="DL14">
            <v>2.9</v>
          </cell>
          <cell r="DM14">
            <v>3.86</v>
          </cell>
        </row>
        <row r="15">
          <cell r="B15" t="str">
            <v>Baulkham Hills, The Council of the Shire of</v>
          </cell>
          <cell r="C15">
            <v>7</v>
          </cell>
          <cell r="D15">
            <v>34268000</v>
          </cell>
          <cell r="E15">
            <v>48076</v>
          </cell>
          <cell r="F15">
            <v>712.78808553124225</v>
          </cell>
          <cell r="G15">
            <v>461000</v>
          </cell>
          <cell r="H15">
            <v>446</v>
          </cell>
          <cell r="I15">
            <v>1033.6322869955156</v>
          </cell>
          <cell r="J15">
            <v>3983000</v>
          </cell>
          <cell r="K15">
            <v>1917</v>
          </cell>
          <cell r="L15">
            <v>2077.7256129368807</v>
          </cell>
          <cell r="M15">
            <v>1220000</v>
          </cell>
          <cell r="N15">
            <v>63581000</v>
          </cell>
          <cell r="O15">
            <v>1.9188122237775437E-2</v>
          </cell>
          <cell r="P15">
            <v>5805000</v>
          </cell>
          <cell r="Q15">
            <v>44299000</v>
          </cell>
          <cell r="R15">
            <v>0.13104133276146188</v>
          </cell>
          <cell r="S15">
            <v>2576000</v>
          </cell>
          <cell r="T15">
            <v>10901000</v>
          </cell>
          <cell r="U15">
            <v>0.23630859554169342</v>
          </cell>
          <cell r="V15">
            <v>50104000</v>
          </cell>
          <cell r="W15">
            <v>143391000</v>
          </cell>
          <cell r="X15">
            <v>0.34942220920420392</v>
          </cell>
          <cell r="Y15">
            <v>13477000</v>
          </cell>
          <cell r="Z15">
            <v>143391000</v>
          </cell>
          <cell r="AA15">
            <v>9.3987767712060036E-2</v>
          </cell>
          <cell r="AB15">
            <v>7347000</v>
          </cell>
          <cell r="AC15">
            <v>143391000</v>
          </cell>
          <cell r="AD15">
            <v>5.1237525367700903E-2</v>
          </cell>
          <cell r="AE15">
            <v>7056000</v>
          </cell>
          <cell r="AF15">
            <v>143391000</v>
          </cell>
          <cell r="AG15">
            <v>4.9208109295562484E-2</v>
          </cell>
          <cell r="AH15">
            <v>63896000</v>
          </cell>
          <cell r="AI15">
            <v>143391000</v>
          </cell>
          <cell r="AJ15">
            <v>0.44560676750981582</v>
          </cell>
          <cell r="AK15">
            <v>1511000</v>
          </cell>
          <cell r="AL15">
            <v>143391000</v>
          </cell>
          <cell r="AM15">
            <v>1.0537620910656876E-2</v>
          </cell>
          <cell r="AN15">
            <v>81912000</v>
          </cell>
          <cell r="AO15">
            <v>146644</v>
          </cell>
          <cell r="AP15">
            <v>558.57723466353889</v>
          </cell>
          <cell r="AQ15">
            <v>25245000</v>
          </cell>
          <cell r="AR15">
            <v>73633000</v>
          </cell>
          <cell r="AS15">
            <v>0.34284899433677835</v>
          </cell>
          <cell r="AT15">
            <v>14014000</v>
          </cell>
          <cell r="AU15">
            <v>73633000</v>
          </cell>
          <cell r="AV15">
            <v>0.1903222739804164</v>
          </cell>
          <cell r="AW15">
            <v>3000</v>
          </cell>
          <cell r="AX15">
            <v>73633000</v>
          </cell>
          <cell r="AY15">
            <v>4.0742601822552389E-5</v>
          </cell>
          <cell r="AZ15">
            <v>11470000</v>
          </cell>
          <cell r="BA15">
            <v>73633000</v>
          </cell>
          <cell r="BB15">
            <v>0.15577254763489196</v>
          </cell>
          <cell r="BC15">
            <v>22901000</v>
          </cell>
          <cell r="BD15">
            <v>73633000</v>
          </cell>
          <cell r="BE15">
            <v>0.31101544144609072</v>
          </cell>
          <cell r="BF15">
            <v>73633000</v>
          </cell>
          <cell r="BG15">
            <v>146644</v>
          </cell>
          <cell r="BH15">
            <v>502.12078230271953</v>
          </cell>
          <cell r="BI15">
            <v>54598000</v>
          </cell>
          <cell r="BJ15">
            <v>18887000</v>
          </cell>
          <cell r="BK15">
            <v>2.8907714300841847</v>
          </cell>
          <cell r="BL15">
            <v>1447000</v>
          </cell>
          <cell r="BM15">
            <v>77694000</v>
          </cell>
          <cell r="BN15">
            <v>1.8624346796406416E-2</v>
          </cell>
          <cell r="BO15">
            <v>37905000</v>
          </cell>
          <cell r="BP15">
            <v>11470000</v>
          </cell>
          <cell r="BQ15">
            <v>3.3047079337401919</v>
          </cell>
          <cell r="BR15">
            <v>568</v>
          </cell>
          <cell r="BS15" t="str">
            <v>On Time</v>
          </cell>
          <cell r="BT15" t="str">
            <v>On Time</v>
          </cell>
          <cell r="BU15" t="str">
            <v>On Time</v>
          </cell>
          <cell r="BV15">
            <v>2745000</v>
          </cell>
          <cell r="BW15">
            <v>146644</v>
          </cell>
          <cell r="BX15">
            <v>18.718801996672212</v>
          </cell>
          <cell r="BY15">
            <v>862680</v>
          </cell>
          <cell r="BZ15">
            <v>146644</v>
          </cell>
          <cell r="CA15">
            <v>5.8828182537301217</v>
          </cell>
          <cell r="CB15">
            <v>11392000</v>
          </cell>
          <cell r="CC15">
            <v>45971</v>
          </cell>
          <cell r="CD15">
            <v>247.80840094842401</v>
          </cell>
          <cell r="CE15">
            <v>4498900</v>
          </cell>
          <cell r="CF15">
            <v>45971</v>
          </cell>
          <cell r="CG15">
            <v>97.863870701094172</v>
          </cell>
          <cell r="CH15">
            <v>7486000</v>
          </cell>
          <cell r="CI15">
            <v>146644</v>
          </cell>
          <cell r="CJ15">
            <v>51.048798450669651</v>
          </cell>
          <cell r="CK15">
            <v>51290000</v>
          </cell>
          <cell r="CL15">
            <v>146644</v>
          </cell>
          <cell r="CM15">
            <v>349.7585990562178</v>
          </cell>
          <cell r="CN15" t="str">
            <v>N/A</v>
          </cell>
          <cell r="CO15" t="str">
            <v>N/A</v>
          </cell>
          <cell r="CP15" t="str">
            <v>N/A</v>
          </cell>
          <cell r="CQ15" t="str">
            <v>N/A</v>
          </cell>
          <cell r="CR15">
            <v>4844</v>
          </cell>
          <cell r="CS15">
            <v>155194</v>
          </cell>
          <cell r="CT15">
            <v>4844</v>
          </cell>
          <cell r="CU15">
            <v>32.038398018166802</v>
          </cell>
          <cell r="CV15">
            <v>22</v>
          </cell>
          <cell r="CW15">
            <v>1147000</v>
          </cell>
          <cell r="CX15">
            <v>8502000</v>
          </cell>
          <cell r="CY15">
            <v>0.13490943307457068</v>
          </cell>
          <cell r="CZ15">
            <v>1673000</v>
          </cell>
          <cell r="DA15">
            <v>146644</v>
          </cell>
          <cell r="DB15">
            <v>11.40858132620496</v>
          </cell>
          <cell r="DC15">
            <v>4673000</v>
          </cell>
          <cell r="DD15">
            <v>146644</v>
          </cell>
          <cell r="DE15">
            <v>31.866288426393169</v>
          </cell>
          <cell r="DF15">
            <v>3890000</v>
          </cell>
          <cell r="DG15">
            <v>146644</v>
          </cell>
          <cell r="DH15">
            <v>26.526826873244048</v>
          </cell>
          <cell r="DI15">
            <v>400.6</v>
          </cell>
          <cell r="DJ15">
            <v>366.06090863704441</v>
          </cell>
          <cell r="DK15">
            <v>2.465568747606281E-2</v>
          </cell>
          <cell r="DL15">
            <v>0.26</v>
          </cell>
          <cell r="DM15">
            <v>16.13</v>
          </cell>
        </row>
        <row r="16">
          <cell r="B16" t="str">
            <v>Bega Valley Shire Council</v>
          </cell>
          <cell r="C16">
            <v>4</v>
          </cell>
          <cell r="D16">
            <v>7309000</v>
          </cell>
          <cell r="E16">
            <v>14843</v>
          </cell>
          <cell r="F16">
            <v>492.4206696759415</v>
          </cell>
          <cell r="G16">
            <v>1003000</v>
          </cell>
          <cell r="H16">
            <v>988</v>
          </cell>
          <cell r="I16">
            <v>1015.1821862348178</v>
          </cell>
          <cell r="J16">
            <v>834000</v>
          </cell>
          <cell r="K16">
            <v>781</v>
          </cell>
          <cell r="L16">
            <v>1067.8617157490396</v>
          </cell>
          <cell r="M16">
            <v>2117000</v>
          </cell>
          <cell r="N16">
            <v>22464000</v>
          </cell>
          <cell r="O16">
            <v>9.4239672364672358E-2</v>
          </cell>
          <cell r="P16">
            <v>204000</v>
          </cell>
          <cell r="Q16">
            <v>16200000</v>
          </cell>
          <cell r="R16">
            <v>1.2592592592592593E-2</v>
          </cell>
          <cell r="S16">
            <v>1244000</v>
          </cell>
          <cell r="T16">
            <v>4816000</v>
          </cell>
          <cell r="U16">
            <v>0.25830564784053156</v>
          </cell>
          <cell r="V16">
            <v>16404000</v>
          </cell>
          <cell r="W16">
            <v>37187000</v>
          </cell>
          <cell r="X16">
            <v>0.44112189743727648</v>
          </cell>
          <cell r="Y16">
            <v>6060000</v>
          </cell>
          <cell r="Z16">
            <v>37187000</v>
          </cell>
          <cell r="AA16">
            <v>0.16296017425444376</v>
          </cell>
          <cell r="AB16">
            <v>1276000</v>
          </cell>
          <cell r="AC16">
            <v>37187000</v>
          </cell>
          <cell r="AD16">
            <v>3.4313066394170005E-2</v>
          </cell>
          <cell r="AE16">
            <v>11247000</v>
          </cell>
          <cell r="AF16">
            <v>37187000</v>
          </cell>
          <cell r="AG16">
            <v>0.30244440261381667</v>
          </cell>
          <cell r="AH16">
            <v>1284000</v>
          </cell>
          <cell r="AI16">
            <v>37187000</v>
          </cell>
          <cell r="AJ16">
            <v>3.452819533708016E-2</v>
          </cell>
          <cell r="AK16">
            <v>916000</v>
          </cell>
          <cell r="AL16">
            <v>37187000</v>
          </cell>
          <cell r="AM16">
            <v>2.4632263963212952E-2</v>
          </cell>
          <cell r="AN16">
            <v>22759000</v>
          </cell>
          <cell r="AO16">
            <v>30782</v>
          </cell>
          <cell r="AP16">
            <v>739.36066532389054</v>
          </cell>
          <cell r="AQ16">
            <v>13262000</v>
          </cell>
          <cell r="AR16">
            <v>36463000</v>
          </cell>
          <cell r="AS16">
            <v>0.36371115925732933</v>
          </cell>
          <cell r="AT16">
            <v>9837000</v>
          </cell>
          <cell r="AU16">
            <v>36463000</v>
          </cell>
          <cell r="AV16">
            <v>0.2697803252612237</v>
          </cell>
          <cell r="AW16">
            <v>362000</v>
          </cell>
          <cell r="AX16">
            <v>36463000</v>
          </cell>
          <cell r="AY16">
            <v>9.9278720895153993E-3</v>
          </cell>
          <cell r="AZ16">
            <v>10203000</v>
          </cell>
          <cell r="BA16">
            <v>36463000</v>
          </cell>
          <cell r="BB16">
            <v>0.27981789759482217</v>
          </cell>
          <cell r="BC16">
            <v>2799000</v>
          </cell>
          <cell r="BD16">
            <v>36463000</v>
          </cell>
          <cell r="BE16">
            <v>7.67627457971094E-2</v>
          </cell>
          <cell r="BF16">
            <v>25520000</v>
          </cell>
          <cell r="BG16">
            <v>30782</v>
          </cell>
          <cell r="BH16">
            <v>829.05594178415959</v>
          </cell>
          <cell r="BI16">
            <v>9267000</v>
          </cell>
          <cell r="BJ16">
            <v>4072000</v>
          </cell>
          <cell r="BK16">
            <v>2.2757858546168959</v>
          </cell>
          <cell r="BL16">
            <v>839000</v>
          </cell>
          <cell r="BM16">
            <v>28082000</v>
          </cell>
          <cell r="BN16">
            <v>2.9876789402464212E-2</v>
          </cell>
          <cell r="BO16">
            <v>10966000</v>
          </cell>
          <cell r="BP16">
            <v>6520000</v>
          </cell>
          <cell r="BQ16">
            <v>1.6819018404907975</v>
          </cell>
          <cell r="BR16">
            <v>275</v>
          </cell>
          <cell r="BS16" t="str">
            <v>On Time</v>
          </cell>
          <cell r="BT16" t="str">
            <v>On Time</v>
          </cell>
          <cell r="BU16" t="str">
            <v>On Time</v>
          </cell>
          <cell r="BV16">
            <v>540000</v>
          </cell>
          <cell r="BW16">
            <v>30782</v>
          </cell>
          <cell r="BX16">
            <v>17.542719771294912</v>
          </cell>
          <cell r="BY16">
            <v>479659</v>
          </cell>
          <cell r="BZ16">
            <v>30782</v>
          </cell>
          <cell r="CA16">
            <v>15.582450782925086</v>
          </cell>
          <cell r="CB16">
            <v>1178000</v>
          </cell>
          <cell r="CC16">
            <v>11868</v>
          </cell>
          <cell r="CD16">
            <v>99.258510279743845</v>
          </cell>
          <cell r="CE16">
            <v>617136</v>
          </cell>
          <cell r="CF16">
            <v>11868</v>
          </cell>
          <cell r="CG16">
            <v>52</v>
          </cell>
          <cell r="CH16">
            <v>1741811</v>
          </cell>
          <cell r="CI16">
            <v>30782</v>
          </cell>
          <cell r="CJ16">
            <v>56.585374569553636</v>
          </cell>
          <cell r="CK16">
            <v>9874176</v>
          </cell>
          <cell r="CL16">
            <v>30782</v>
          </cell>
          <cell r="CM16">
            <v>320.7775972971217</v>
          </cell>
          <cell r="CN16">
            <v>323.86614467811199</v>
          </cell>
          <cell r="CO16">
            <v>415.03759398496197</v>
          </cell>
          <cell r="CP16">
            <v>377</v>
          </cell>
          <cell r="CQ16">
            <v>504</v>
          </cell>
          <cell r="CR16">
            <v>1202</v>
          </cell>
          <cell r="CS16">
            <v>76928</v>
          </cell>
          <cell r="CT16">
            <v>1202</v>
          </cell>
          <cell r="CU16">
            <v>64</v>
          </cell>
          <cell r="CV16">
            <v>33</v>
          </cell>
          <cell r="CW16">
            <v>30000</v>
          </cell>
          <cell r="CX16">
            <v>1274000</v>
          </cell>
          <cell r="CY16">
            <v>2.3547880690737835E-2</v>
          </cell>
          <cell r="CZ16">
            <v>1824000</v>
          </cell>
          <cell r="DA16">
            <v>30782</v>
          </cell>
          <cell r="DB16">
            <v>59.255409005262813</v>
          </cell>
          <cell r="DC16">
            <v>1669000</v>
          </cell>
          <cell r="DD16">
            <v>30782</v>
          </cell>
          <cell r="DE16">
            <v>54.219998700539279</v>
          </cell>
          <cell r="DF16">
            <v>890000</v>
          </cell>
          <cell r="DG16">
            <v>30782</v>
          </cell>
          <cell r="DH16">
            <v>28.913001104541614</v>
          </cell>
          <cell r="DI16">
            <v>6279.5</v>
          </cell>
          <cell r="DJ16">
            <v>4.9019826419300898</v>
          </cell>
          <cell r="DK16">
            <v>1.3393414211438475E-2</v>
          </cell>
          <cell r="DL16">
            <v>1.89</v>
          </cell>
          <cell r="DM16">
            <v>3.78</v>
          </cell>
        </row>
        <row r="17">
          <cell r="B17" t="str">
            <v>Bellingen Shire Council</v>
          </cell>
          <cell r="C17">
            <v>11</v>
          </cell>
          <cell r="D17">
            <v>2373000</v>
          </cell>
          <cell r="E17">
            <v>4726</v>
          </cell>
          <cell r="F17">
            <v>502.11595429538721</v>
          </cell>
          <cell r="G17">
            <v>738000</v>
          </cell>
          <cell r="H17">
            <v>528</v>
          </cell>
          <cell r="I17">
            <v>1397.7272727272727</v>
          </cell>
          <cell r="J17">
            <v>245000</v>
          </cell>
          <cell r="K17">
            <v>338</v>
          </cell>
          <cell r="L17">
            <v>724.8520710059172</v>
          </cell>
          <cell r="M17">
            <v>1790000</v>
          </cell>
          <cell r="N17">
            <v>10070000</v>
          </cell>
          <cell r="O17">
            <v>0.17775571002979146</v>
          </cell>
          <cell r="P17">
            <v>298000</v>
          </cell>
          <cell r="Q17">
            <v>5600000</v>
          </cell>
          <cell r="R17">
            <v>5.3214285714285714E-2</v>
          </cell>
          <cell r="S17">
            <v>1373000</v>
          </cell>
          <cell r="T17">
            <v>2799000</v>
          </cell>
          <cell r="U17">
            <v>0.49053233297606286</v>
          </cell>
          <cell r="V17">
            <v>5898000</v>
          </cell>
          <cell r="W17">
            <v>17742000</v>
          </cell>
          <cell r="X17">
            <v>0.33243151843084207</v>
          </cell>
          <cell r="Y17">
            <v>4172000</v>
          </cell>
          <cell r="Z17">
            <v>17742000</v>
          </cell>
          <cell r="AA17">
            <v>0.23514823582459701</v>
          </cell>
          <cell r="AB17">
            <v>786000</v>
          </cell>
          <cell r="AC17">
            <v>17742000</v>
          </cell>
          <cell r="AD17">
            <v>4.4301657084883331E-2</v>
          </cell>
          <cell r="AE17">
            <v>5564000</v>
          </cell>
          <cell r="AF17">
            <v>17742000</v>
          </cell>
          <cell r="AG17">
            <v>0.31360613234133694</v>
          </cell>
          <cell r="AH17">
            <v>1256000</v>
          </cell>
          <cell r="AI17">
            <v>17742000</v>
          </cell>
          <cell r="AJ17">
            <v>7.0792469845564199E-2</v>
          </cell>
          <cell r="AK17">
            <v>66000</v>
          </cell>
          <cell r="AL17">
            <v>17742000</v>
          </cell>
          <cell r="AM17">
            <v>3.7199864727764627E-3</v>
          </cell>
          <cell r="AN17">
            <v>12799000</v>
          </cell>
          <cell r="AO17">
            <v>12742</v>
          </cell>
          <cell r="AP17">
            <v>1004.4733950714174</v>
          </cell>
          <cell r="AQ17">
            <v>4606000</v>
          </cell>
          <cell r="AR17">
            <v>15724000</v>
          </cell>
          <cell r="AS17">
            <v>0.2929280081404223</v>
          </cell>
          <cell r="AT17">
            <v>4986000</v>
          </cell>
          <cell r="AU17">
            <v>15724000</v>
          </cell>
          <cell r="AV17">
            <v>0.31709488679725262</v>
          </cell>
          <cell r="AW17">
            <v>155000</v>
          </cell>
          <cell r="AX17">
            <v>15724000</v>
          </cell>
          <cell r="AY17">
            <v>9.8575426100228954E-3</v>
          </cell>
          <cell r="AZ17">
            <v>4509000</v>
          </cell>
          <cell r="BA17">
            <v>15724000</v>
          </cell>
          <cell r="BB17">
            <v>0.28675909437802088</v>
          </cell>
          <cell r="BC17">
            <v>1468000</v>
          </cell>
          <cell r="BD17">
            <v>15724000</v>
          </cell>
          <cell r="BE17">
            <v>9.3360468074281347E-2</v>
          </cell>
          <cell r="BF17">
            <v>12646000</v>
          </cell>
          <cell r="BG17">
            <v>12742</v>
          </cell>
          <cell r="BH17">
            <v>992.46586093234976</v>
          </cell>
          <cell r="BI17">
            <v>8355000</v>
          </cell>
          <cell r="BJ17">
            <v>2230000</v>
          </cell>
          <cell r="BK17">
            <v>3.7466367713004485</v>
          </cell>
          <cell r="BL17">
            <v>532000</v>
          </cell>
          <cell r="BM17">
            <v>13169000</v>
          </cell>
          <cell r="BN17">
            <v>4.0397904168881463E-2</v>
          </cell>
          <cell r="BO17">
            <v>2563000</v>
          </cell>
          <cell r="BP17">
            <v>3393000</v>
          </cell>
          <cell r="BQ17">
            <v>0.75537872089596225</v>
          </cell>
          <cell r="BR17">
            <v>105</v>
          </cell>
          <cell r="BS17" t="str">
            <v>On Time</v>
          </cell>
          <cell r="BT17" t="str">
            <v>On Time</v>
          </cell>
          <cell r="BU17" t="str">
            <v>On Time</v>
          </cell>
          <cell r="BV17">
            <v>321000</v>
          </cell>
          <cell r="BW17">
            <v>12742</v>
          </cell>
          <cell r="BX17">
            <v>25.192277507455657</v>
          </cell>
          <cell r="BY17">
            <v>105145</v>
          </cell>
          <cell r="BZ17">
            <v>12742</v>
          </cell>
          <cell r="CA17">
            <v>8.2518442944592678</v>
          </cell>
          <cell r="CB17">
            <v>652000</v>
          </cell>
          <cell r="CC17">
            <v>3217</v>
          </cell>
          <cell r="CD17">
            <v>202.67329810382344</v>
          </cell>
          <cell r="CE17">
            <v>271965</v>
          </cell>
          <cell r="CF17">
            <v>3217</v>
          </cell>
          <cell r="CG17">
            <v>84.539944047248994</v>
          </cell>
          <cell r="CH17">
            <v>762000</v>
          </cell>
          <cell r="CI17">
            <v>12742</v>
          </cell>
          <cell r="CJ17">
            <v>59.802228849474183</v>
          </cell>
          <cell r="CK17">
            <v>2600000</v>
          </cell>
          <cell r="CL17">
            <v>12742</v>
          </cell>
          <cell r="CM17">
            <v>204.04959974886202</v>
          </cell>
          <cell r="CN17">
            <v>302.84425155814199</v>
          </cell>
          <cell r="CO17">
            <v>361.693707954096</v>
          </cell>
          <cell r="CP17">
            <v>393.03279401278797</v>
          </cell>
          <cell r="CQ17">
            <v>460.90225563909797</v>
          </cell>
          <cell r="CR17">
            <v>426</v>
          </cell>
          <cell r="CS17">
            <v>18865</v>
          </cell>
          <cell r="CT17">
            <v>426</v>
          </cell>
          <cell r="CU17">
            <v>44.284037558685448</v>
          </cell>
          <cell r="CV17">
            <v>31</v>
          </cell>
          <cell r="CW17">
            <v>22000</v>
          </cell>
          <cell r="CX17">
            <v>594000</v>
          </cell>
          <cell r="CY17">
            <v>3.7037037037037035E-2</v>
          </cell>
          <cell r="CZ17">
            <v>439000</v>
          </cell>
          <cell r="DA17">
            <v>12742</v>
          </cell>
          <cell r="DB17">
            <v>34.452990111442475</v>
          </cell>
          <cell r="DC17">
            <v>532000</v>
          </cell>
          <cell r="DD17">
            <v>12742</v>
          </cell>
          <cell r="DE17">
            <v>41.751687333228695</v>
          </cell>
          <cell r="DF17">
            <v>442000</v>
          </cell>
          <cell r="DG17">
            <v>12742</v>
          </cell>
          <cell r="DH17">
            <v>34.688431957306548</v>
          </cell>
          <cell r="DI17">
            <v>1602.4</v>
          </cell>
          <cell r="DJ17">
            <v>7.9518222666000993</v>
          </cell>
          <cell r="DK17">
            <v>-1.9891219891219891E-3</v>
          </cell>
          <cell r="DL17">
            <v>1.98</v>
          </cell>
          <cell r="DM17">
            <v>2.9</v>
          </cell>
        </row>
        <row r="18">
          <cell r="B18" t="str">
            <v>Berrigan Shire Council</v>
          </cell>
          <cell r="C18">
            <v>10</v>
          </cell>
          <cell r="D18">
            <v>1088000</v>
          </cell>
          <cell r="E18">
            <v>2860</v>
          </cell>
          <cell r="F18">
            <v>380.41958041958043</v>
          </cell>
          <cell r="G18">
            <v>1186000</v>
          </cell>
          <cell r="H18">
            <v>854</v>
          </cell>
          <cell r="I18">
            <v>1388.7587822014052</v>
          </cell>
          <cell r="J18">
            <v>309000</v>
          </cell>
          <cell r="K18">
            <v>353</v>
          </cell>
          <cell r="L18">
            <v>875.35410764872518</v>
          </cell>
          <cell r="M18">
            <v>454000</v>
          </cell>
          <cell r="N18">
            <v>6441000</v>
          </cell>
          <cell r="O18">
            <v>7.0485949386741187E-2</v>
          </cell>
          <cell r="P18">
            <v>155000</v>
          </cell>
          <cell r="Q18">
            <v>4958000</v>
          </cell>
          <cell r="R18">
            <v>3.1262605889471558E-2</v>
          </cell>
          <cell r="S18">
            <v>-257000</v>
          </cell>
          <cell r="T18">
            <v>1585000</v>
          </cell>
          <cell r="U18">
            <v>-0.16214511041009463</v>
          </cell>
          <cell r="V18">
            <v>5113000</v>
          </cell>
          <cell r="W18">
            <v>11745000</v>
          </cell>
          <cell r="X18">
            <v>0.43533418475947211</v>
          </cell>
          <cell r="Y18">
            <v>1328000</v>
          </cell>
          <cell r="Z18">
            <v>11745000</v>
          </cell>
          <cell r="AA18">
            <v>0.11306939123031078</v>
          </cell>
          <cell r="AB18">
            <v>384000</v>
          </cell>
          <cell r="AC18">
            <v>11745000</v>
          </cell>
          <cell r="AD18">
            <v>3.2694763729246491E-2</v>
          </cell>
          <cell r="AE18">
            <v>3718000</v>
          </cell>
          <cell r="AF18">
            <v>11745000</v>
          </cell>
          <cell r="AG18">
            <v>0.31656023839931885</v>
          </cell>
          <cell r="AH18">
            <v>1065000</v>
          </cell>
          <cell r="AI18">
            <v>11745000</v>
          </cell>
          <cell r="AJ18">
            <v>9.0676883780332063E-2</v>
          </cell>
          <cell r="AK18">
            <v>137000</v>
          </cell>
          <cell r="AL18">
            <v>11745000</v>
          </cell>
          <cell r="AM18">
            <v>1.166453810131971E-2</v>
          </cell>
          <cell r="AN18">
            <v>8241000</v>
          </cell>
          <cell r="AO18">
            <v>8089</v>
          </cell>
          <cell r="AP18">
            <v>1018.7909506737545</v>
          </cell>
          <cell r="AQ18">
            <v>3851000</v>
          </cell>
          <cell r="AR18">
            <v>9964000</v>
          </cell>
          <cell r="AS18">
            <v>0.38649136892814129</v>
          </cell>
          <cell r="AT18">
            <v>2047000</v>
          </cell>
          <cell r="AU18">
            <v>9964000</v>
          </cell>
          <cell r="AV18">
            <v>0.20543958249698915</v>
          </cell>
          <cell r="AW18">
            <v>263000</v>
          </cell>
          <cell r="AX18">
            <v>9964000</v>
          </cell>
          <cell r="AY18">
            <v>2.6395022079486151E-2</v>
          </cell>
          <cell r="AZ18">
            <v>2372000</v>
          </cell>
          <cell r="BA18">
            <v>9964000</v>
          </cell>
          <cell r="BB18">
            <v>0.23805700521878764</v>
          </cell>
          <cell r="BC18">
            <v>1431000</v>
          </cell>
          <cell r="BD18">
            <v>9964000</v>
          </cell>
          <cell r="BE18">
            <v>0.14361702127659576</v>
          </cell>
          <cell r="BF18">
            <v>7365000</v>
          </cell>
          <cell r="BG18">
            <v>8089</v>
          </cell>
          <cell r="BH18">
            <v>910.49573494869571</v>
          </cell>
          <cell r="BI18">
            <v>4308000</v>
          </cell>
          <cell r="BJ18">
            <v>1844000</v>
          </cell>
          <cell r="BK18">
            <v>2.336225596529284</v>
          </cell>
          <cell r="BL18">
            <v>1028000</v>
          </cell>
          <cell r="BM18">
            <v>9523000</v>
          </cell>
          <cell r="BN18">
            <v>0.1079491756799328</v>
          </cell>
          <cell r="BO18">
            <v>2413000</v>
          </cell>
          <cell r="BP18">
            <v>1497000</v>
          </cell>
          <cell r="BQ18">
            <v>1.6118904475617903</v>
          </cell>
          <cell r="BR18">
            <v>86</v>
          </cell>
          <cell r="BS18" t="str">
            <v>&lt;=2</v>
          </cell>
          <cell r="BT18" t="str">
            <v>On Time</v>
          </cell>
          <cell r="BU18" t="str">
            <v>On Time</v>
          </cell>
          <cell r="BV18">
            <v>274000</v>
          </cell>
          <cell r="BW18">
            <v>8089</v>
          </cell>
          <cell r="BX18">
            <v>33.873161082952159</v>
          </cell>
          <cell r="BY18">
            <v>43084</v>
          </cell>
          <cell r="BZ18">
            <v>8089</v>
          </cell>
          <cell r="CA18">
            <v>5.3262455186055133</v>
          </cell>
          <cell r="CB18">
            <v>345000</v>
          </cell>
          <cell r="CC18">
            <v>2430</v>
          </cell>
          <cell r="CD18">
            <v>141.97530864197532</v>
          </cell>
          <cell r="CE18">
            <v>344000</v>
          </cell>
          <cell r="CF18">
            <v>2430</v>
          </cell>
          <cell r="CG18">
            <v>141.56378600823047</v>
          </cell>
          <cell r="CH18">
            <v>448000</v>
          </cell>
          <cell r="CI18">
            <v>8089</v>
          </cell>
          <cell r="CJ18">
            <v>55.38385461738163</v>
          </cell>
          <cell r="CK18">
            <v>1760000</v>
          </cell>
          <cell r="CL18">
            <v>8089</v>
          </cell>
          <cell r="CM18">
            <v>217.57942885399925</v>
          </cell>
          <cell r="CN18">
            <v>517.94379848826304</v>
          </cell>
          <cell r="CO18">
            <v>480.64743138634799</v>
          </cell>
          <cell r="CP18">
            <v>296.65575560118799</v>
          </cell>
          <cell r="CQ18">
            <v>340.95707248416602</v>
          </cell>
          <cell r="CR18">
            <v>146</v>
          </cell>
          <cell r="CS18">
            <v>2016</v>
          </cell>
          <cell r="CT18">
            <v>146</v>
          </cell>
          <cell r="CU18">
            <v>13.808219178082192</v>
          </cell>
          <cell r="CV18">
            <v>7</v>
          </cell>
          <cell r="CW18">
            <v>0</v>
          </cell>
          <cell r="CX18">
            <v>203000</v>
          </cell>
          <cell r="CY18">
            <v>0</v>
          </cell>
          <cell r="CZ18">
            <v>367000</v>
          </cell>
          <cell r="DA18">
            <v>8089</v>
          </cell>
          <cell r="DB18">
            <v>45.370255903078252</v>
          </cell>
          <cell r="DC18">
            <v>448000</v>
          </cell>
          <cell r="DD18">
            <v>8089</v>
          </cell>
          <cell r="DE18">
            <v>55.38385461738163</v>
          </cell>
          <cell r="DF18">
            <v>285000</v>
          </cell>
          <cell r="DG18">
            <v>8089</v>
          </cell>
          <cell r="DH18">
            <v>35.23303251328965</v>
          </cell>
          <cell r="DI18">
            <v>2066.6</v>
          </cell>
          <cell r="DJ18">
            <v>3.9141585212426211</v>
          </cell>
          <cell r="DK18">
            <v>-7.633769322235434E-3</v>
          </cell>
          <cell r="DL18">
            <v>1.08</v>
          </cell>
          <cell r="DM18">
            <v>2.14</v>
          </cell>
        </row>
        <row r="19">
          <cell r="B19" t="str">
            <v>Bingara Shire Council</v>
          </cell>
          <cell r="C19">
            <v>8</v>
          </cell>
          <cell r="D19">
            <v>125000</v>
          </cell>
          <cell r="E19">
            <v>631</v>
          </cell>
          <cell r="F19">
            <v>198.09825673534073</v>
          </cell>
          <cell r="G19">
            <v>612000</v>
          </cell>
          <cell r="H19">
            <v>460</v>
          </cell>
          <cell r="I19">
            <v>1330.4347826086957</v>
          </cell>
          <cell r="J19">
            <v>8000</v>
          </cell>
          <cell r="K19">
            <v>45</v>
          </cell>
          <cell r="L19">
            <v>177.77777777777777</v>
          </cell>
          <cell r="M19">
            <v>111000</v>
          </cell>
          <cell r="N19">
            <v>2021000</v>
          </cell>
          <cell r="O19">
            <v>5.4923305294408711E-2</v>
          </cell>
          <cell r="P19">
            <v>27000</v>
          </cell>
          <cell r="Q19">
            <v>1116000</v>
          </cell>
          <cell r="R19">
            <v>2.4193548387096774E-2</v>
          </cell>
          <cell r="S19">
            <v>124000</v>
          </cell>
          <cell r="T19">
            <v>754000</v>
          </cell>
          <cell r="U19">
            <v>0.16445623342175067</v>
          </cell>
          <cell r="V19">
            <v>1143000</v>
          </cell>
          <cell r="W19">
            <v>4818000</v>
          </cell>
          <cell r="X19">
            <v>0.23723536737235368</v>
          </cell>
          <cell r="Y19">
            <v>878000</v>
          </cell>
          <cell r="Z19">
            <v>4818000</v>
          </cell>
          <cell r="AA19">
            <v>0.18223329182233292</v>
          </cell>
          <cell r="AB19">
            <v>126000</v>
          </cell>
          <cell r="AC19">
            <v>4818000</v>
          </cell>
          <cell r="AD19">
            <v>2.6151930261519303E-2</v>
          </cell>
          <cell r="AE19">
            <v>1883000</v>
          </cell>
          <cell r="AF19">
            <v>4818000</v>
          </cell>
          <cell r="AG19">
            <v>0.39082606890826072</v>
          </cell>
          <cell r="AH19">
            <v>60000</v>
          </cell>
          <cell r="AI19">
            <v>4818000</v>
          </cell>
          <cell r="AJ19">
            <v>1.2453300124533001E-2</v>
          </cell>
          <cell r="AK19">
            <v>728000</v>
          </cell>
          <cell r="AL19">
            <v>4818000</v>
          </cell>
          <cell r="AM19">
            <v>0.15110004151100043</v>
          </cell>
          <cell r="AN19">
            <v>3714000</v>
          </cell>
          <cell r="AO19">
            <v>2120</v>
          </cell>
          <cell r="AP19">
            <v>1751.8867924528302</v>
          </cell>
          <cell r="AQ19">
            <v>1388000</v>
          </cell>
          <cell r="AR19">
            <v>4718000</v>
          </cell>
          <cell r="AS19">
            <v>0.29419245442984315</v>
          </cell>
          <cell r="AT19">
            <v>1358000</v>
          </cell>
          <cell r="AU19">
            <v>4718000</v>
          </cell>
          <cell r="AV19">
            <v>0.28783382789317508</v>
          </cell>
          <cell r="AW19">
            <v>46000</v>
          </cell>
          <cell r="AX19">
            <v>4718000</v>
          </cell>
          <cell r="AY19">
            <v>9.7498940228910556E-3</v>
          </cell>
          <cell r="AZ19">
            <v>1319000</v>
          </cell>
          <cell r="BA19">
            <v>4718000</v>
          </cell>
          <cell r="BB19">
            <v>0.27956761339550656</v>
          </cell>
          <cell r="BC19">
            <v>607000</v>
          </cell>
          <cell r="BD19">
            <v>4718000</v>
          </cell>
          <cell r="BE19">
            <v>0.12865621025858415</v>
          </cell>
          <cell r="BF19">
            <v>4059000</v>
          </cell>
          <cell r="BG19">
            <v>2120</v>
          </cell>
          <cell r="BH19">
            <v>1914.6226415094341</v>
          </cell>
          <cell r="BI19">
            <v>954000</v>
          </cell>
          <cell r="BJ19">
            <v>457000</v>
          </cell>
          <cell r="BK19">
            <v>2.087527352297593</v>
          </cell>
          <cell r="BL19">
            <v>110000</v>
          </cell>
          <cell r="BM19">
            <v>3762000</v>
          </cell>
          <cell r="BN19">
            <v>2.9239766081871343E-2</v>
          </cell>
          <cell r="BO19">
            <v>1274000</v>
          </cell>
          <cell r="BP19">
            <v>1116000</v>
          </cell>
          <cell r="BQ19">
            <v>1.1415770609318996</v>
          </cell>
          <cell r="BR19">
            <v>35</v>
          </cell>
          <cell r="BS19" t="str">
            <v>On Time</v>
          </cell>
          <cell r="BT19" t="str">
            <v>On Time</v>
          </cell>
          <cell r="BU19" t="str">
            <v>On Time</v>
          </cell>
          <cell r="BV19">
            <v>30000</v>
          </cell>
          <cell r="BW19">
            <v>2120</v>
          </cell>
          <cell r="BX19">
            <v>14.150943396226415</v>
          </cell>
          <cell r="BY19">
            <v>8948</v>
          </cell>
          <cell r="BZ19">
            <v>2120</v>
          </cell>
          <cell r="CA19">
            <v>4.2207547169811317</v>
          </cell>
          <cell r="CB19">
            <v>57000</v>
          </cell>
          <cell r="CC19">
            <v>613</v>
          </cell>
          <cell r="CD19">
            <v>92.985318107667212</v>
          </cell>
          <cell r="CE19">
            <v>47500</v>
          </cell>
          <cell r="CF19">
            <v>613</v>
          </cell>
          <cell r="CG19">
            <v>77.487765089722672</v>
          </cell>
          <cell r="CH19">
            <v>80000</v>
          </cell>
          <cell r="CI19">
            <v>2120</v>
          </cell>
          <cell r="CJ19">
            <v>37.735849056603776</v>
          </cell>
          <cell r="CK19">
            <v>350000</v>
          </cell>
          <cell r="CL19">
            <v>2120</v>
          </cell>
          <cell r="CM19">
            <v>165.09433962264151</v>
          </cell>
          <cell r="CN19">
            <v>346.444780635401</v>
          </cell>
          <cell r="CO19">
            <v>400</v>
          </cell>
          <cell r="CP19">
            <v>259.44651919946398</v>
          </cell>
          <cell r="CQ19">
            <v>535.59322033898297</v>
          </cell>
          <cell r="CR19">
            <v>21</v>
          </cell>
          <cell r="CS19">
            <v>307</v>
          </cell>
          <cell r="CT19">
            <v>21</v>
          </cell>
          <cell r="CU19">
            <v>14.619047619047619</v>
          </cell>
          <cell r="CV19">
            <v>2</v>
          </cell>
          <cell r="CW19">
            <v>28000</v>
          </cell>
          <cell r="CX19">
            <v>19000</v>
          </cell>
          <cell r="CY19">
            <v>1.4736842105263157</v>
          </cell>
          <cell r="CZ19">
            <v>125000</v>
          </cell>
          <cell r="DA19">
            <v>2120</v>
          </cell>
          <cell r="DB19">
            <v>58.962264150943398</v>
          </cell>
          <cell r="DC19">
            <v>202000</v>
          </cell>
          <cell r="DD19">
            <v>2120</v>
          </cell>
          <cell r="DE19">
            <v>95.283018867924525</v>
          </cell>
          <cell r="DF19">
            <v>218000</v>
          </cell>
          <cell r="DG19">
            <v>2120</v>
          </cell>
          <cell r="DH19">
            <v>102.83018867924528</v>
          </cell>
          <cell r="DI19">
            <v>2853.7</v>
          </cell>
          <cell r="DJ19">
            <v>0.74289518870238647</v>
          </cell>
          <cell r="DK19">
            <v>9.4786729857819908E-4</v>
          </cell>
          <cell r="DL19">
            <v>0.28999999999999998</v>
          </cell>
          <cell r="DM19">
            <v>1.34</v>
          </cell>
        </row>
        <row r="20">
          <cell r="B20" t="str">
            <v>Blacktown City Council</v>
          </cell>
          <cell r="C20">
            <v>3</v>
          </cell>
          <cell r="D20">
            <v>49842000</v>
          </cell>
          <cell r="E20">
            <v>84985</v>
          </cell>
          <cell r="F20">
            <v>586.47996705300932</v>
          </cell>
          <cell r="G20">
            <v>546000</v>
          </cell>
          <cell r="H20">
            <v>241</v>
          </cell>
          <cell r="I20">
            <v>2265.5601659751037</v>
          </cell>
          <cell r="J20">
            <v>16892000</v>
          </cell>
          <cell r="K20">
            <v>3783</v>
          </cell>
          <cell r="L20">
            <v>4465.2392281258262</v>
          </cell>
          <cell r="M20">
            <v>3175000</v>
          </cell>
          <cell r="N20">
            <v>95635000</v>
          </cell>
          <cell r="O20">
            <v>3.3199142573325666E-2</v>
          </cell>
          <cell r="P20">
            <v>4538000</v>
          </cell>
          <cell r="Q20">
            <v>78226000</v>
          </cell>
          <cell r="R20">
            <v>5.8011402858384679E-2</v>
          </cell>
          <cell r="S20">
            <v>-613000</v>
          </cell>
          <cell r="T20">
            <v>13484000</v>
          </cell>
          <cell r="U20">
            <v>-4.5461287451794723E-2</v>
          </cell>
          <cell r="V20">
            <v>82764000</v>
          </cell>
          <cell r="W20">
            <v>183070000</v>
          </cell>
          <cell r="X20">
            <v>0.45208936472387612</v>
          </cell>
          <cell r="Y20">
            <v>12871000</v>
          </cell>
          <cell r="Z20">
            <v>183070000</v>
          </cell>
          <cell r="AA20">
            <v>7.0306440159501826E-2</v>
          </cell>
          <cell r="AB20">
            <v>6725000</v>
          </cell>
          <cell r="AC20">
            <v>183070000</v>
          </cell>
          <cell r="AD20">
            <v>3.6734582400174798E-2</v>
          </cell>
          <cell r="AE20">
            <v>29744000</v>
          </cell>
          <cell r="AF20">
            <v>183070000</v>
          </cell>
          <cell r="AG20">
            <v>0.16247337084175453</v>
          </cell>
          <cell r="AH20">
            <v>46331000</v>
          </cell>
          <cell r="AI20">
            <v>183070000</v>
          </cell>
          <cell r="AJ20">
            <v>0.25307805757360574</v>
          </cell>
          <cell r="AK20">
            <v>4635000</v>
          </cell>
          <cell r="AL20">
            <v>183070000</v>
          </cell>
          <cell r="AM20">
            <v>2.5318184301087017E-2</v>
          </cell>
          <cell r="AN20">
            <v>134647000</v>
          </cell>
          <cell r="AO20">
            <v>266072</v>
          </cell>
          <cell r="AP20">
            <v>506.05475209717673</v>
          </cell>
          <cell r="AQ20">
            <v>55503000</v>
          </cell>
          <cell r="AR20">
            <v>124804000</v>
          </cell>
          <cell r="AS20">
            <v>0.44472132303451811</v>
          </cell>
          <cell r="AT20">
            <v>17814000</v>
          </cell>
          <cell r="AU20">
            <v>124804000</v>
          </cell>
          <cell r="AV20">
            <v>0.1427358097496875</v>
          </cell>
          <cell r="AW20">
            <v>1000</v>
          </cell>
          <cell r="AX20">
            <v>124804000</v>
          </cell>
          <cell r="AY20">
            <v>8.0125636998814139E-6</v>
          </cell>
          <cell r="AZ20">
            <v>24744000</v>
          </cell>
          <cell r="BA20">
            <v>124804000</v>
          </cell>
          <cell r="BB20">
            <v>0.19826287618986571</v>
          </cell>
          <cell r="BC20">
            <v>26742000</v>
          </cell>
          <cell r="BD20">
            <v>124804000</v>
          </cell>
          <cell r="BE20">
            <v>0.21427197846222878</v>
          </cell>
          <cell r="BF20">
            <v>124920000</v>
          </cell>
          <cell r="BG20">
            <v>266072</v>
          </cell>
          <cell r="BH20">
            <v>469.49697826152322</v>
          </cell>
          <cell r="BI20">
            <v>84721000</v>
          </cell>
          <cell r="BJ20">
            <v>24631000</v>
          </cell>
          <cell r="BK20">
            <v>3.4396086232796068</v>
          </cell>
          <cell r="BL20">
            <v>1000</v>
          </cell>
          <cell r="BM20">
            <v>122772000</v>
          </cell>
          <cell r="BN20">
            <v>8.1451796826638004E-6</v>
          </cell>
          <cell r="BO20">
            <v>63078000</v>
          </cell>
          <cell r="BP20">
            <v>24744000</v>
          </cell>
          <cell r="BQ20">
            <v>2.5492240543161979</v>
          </cell>
          <cell r="BR20">
            <v>1145</v>
          </cell>
          <cell r="BS20" t="str">
            <v>&lt;=2</v>
          </cell>
          <cell r="BT20" t="str">
            <v>&lt;=2</v>
          </cell>
          <cell r="BU20" t="str">
            <v>On Time</v>
          </cell>
          <cell r="BV20">
            <v>3232000</v>
          </cell>
          <cell r="BW20">
            <v>266072</v>
          </cell>
          <cell r="BX20">
            <v>12.147088006253947</v>
          </cell>
          <cell r="BY20">
            <v>834984</v>
          </cell>
          <cell r="BZ20">
            <v>266072</v>
          </cell>
          <cell r="CA20">
            <v>3.1381881595958987</v>
          </cell>
          <cell r="CB20">
            <v>15265000</v>
          </cell>
          <cell r="CC20">
            <v>82638</v>
          </cell>
          <cell r="CD20">
            <v>184.72131464943487</v>
          </cell>
          <cell r="CE20">
            <v>7203277</v>
          </cell>
          <cell r="CF20">
            <v>82638</v>
          </cell>
          <cell r="CG20">
            <v>87.166642464725669</v>
          </cell>
          <cell r="CH20">
            <v>20058000</v>
          </cell>
          <cell r="CI20">
            <v>266072</v>
          </cell>
          <cell r="CJ20">
            <v>75.385609910099518</v>
          </cell>
          <cell r="CK20">
            <v>87502000</v>
          </cell>
          <cell r="CL20">
            <v>266072</v>
          </cell>
          <cell r="CM20">
            <v>328.86587089208933</v>
          </cell>
          <cell r="CN20" t="str">
            <v>N/A</v>
          </cell>
          <cell r="CO20" t="str">
            <v>N/A</v>
          </cell>
          <cell r="CP20" t="str">
            <v>N/A</v>
          </cell>
          <cell r="CQ20" t="str">
            <v>N/A</v>
          </cell>
          <cell r="CR20">
            <v>4943</v>
          </cell>
          <cell r="CS20">
            <v>173203</v>
          </cell>
          <cell r="CT20">
            <v>4943</v>
          </cell>
          <cell r="CU20">
            <v>35.04005664576168</v>
          </cell>
          <cell r="CV20">
            <v>25</v>
          </cell>
          <cell r="CW20">
            <v>576000</v>
          </cell>
          <cell r="CX20">
            <v>4881000</v>
          </cell>
          <cell r="CY20">
            <v>0.11800860479409957</v>
          </cell>
          <cell r="CZ20">
            <v>1600000</v>
          </cell>
          <cell r="DA20">
            <v>266072</v>
          </cell>
          <cell r="DB20">
            <v>6.013409904086112</v>
          </cell>
          <cell r="DC20">
            <v>14021000</v>
          </cell>
          <cell r="DD20">
            <v>266072</v>
          </cell>
          <cell r="DE20">
            <v>52.696262665744612</v>
          </cell>
          <cell r="DF20">
            <v>13742000</v>
          </cell>
          <cell r="DG20">
            <v>266072</v>
          </cell>
          <cell r="DH20">
            <v>51.647674313719598</v>
          </cell>
          <cell r="DI20">
            <v>240</v>
          </cell>
          <cell r="DJ20">
            <v>1108.6333333333334</v>
          </cell>
          <cell r="DK20">
            <v>2.5436983689896209E-2</v>
          </cell>
          <cell r="DL20">
            <v>2.25</v>
          </cell>
          <cell r="DM20">
            <v>22.76</v>
          </cell>
        </row>
        <row r="21">
          <cell r="B21" t="str">
            <v>Bland Shire Council</v>
          </cell>
          <cell r="C21">
            <v>10</v>
          </cell>
          <cell r="D21">
            <v>580000</v>
          </cell>
          <cell r="E21">
            <v>2016</v>
          </cell>
          <cell r="F21">
            <v>287.69841269841271</v>
          </cell>
          <cell r="G21">
            <v>2657000</v>
          </cell>
          <cell r="H21">
            <v>1514</v>
          </cell>
          <cell r="I21">
            <v>1754.9537648612945</v>
          </cell>
          <cell r="J21">
            <v>257000</v>
          </cell>
          <cell r="K21">
            <v>435</v>
          </cell>
          <cell r="L21">
            <v>590.80459770114942</v>
          </cell>
          <cell r="M21">
            <v>411000</v>
          </cell>
          <cell r="N21">
            <v>5878000</v>
          </cell>
          <cell r="O21">
            <v>6.9921742089145963E-2</v>
          </cell>
          <cell r="P21">
            <v>124000</v>
          </cell>
          <cell r="Q21">
            <v>4176000</v>
          </cell>
          <cell r="R21">
            <v>2.9693486590038315E-2</v>
          </cell>
          <cell r="S21">
            <v>139000</v>
          </cell>
          <cell r="T21">
            <v>1439000</v>
          </cell>
          <cell r="U21">
            <v>9.6594857539958306E-2</v>
          </cell>
          <cell r="V21">
            <v>4300000</v>
          </cell>
          <cell r="W21">
            <v>14951000</v>
          </cell>
          <cell r="X21">
            <v>0.28760618018861617</v>
          </cell>
          <cell r="Y21">
            <v>1578000</v>
          </cell>
          <cell r="Z21">
            <v>14951000</v>
          </cell>
          <cell r="AA21">
            <v>0.10554477961340379</v>
          </cell>
          <cell r="AB21">
            <v>438000</v>
          </cell>
          <cell r="AC21">
            <v>14951000</v>
          </cell>
          <cell r="AD21">
            <v>2.9295699284328808E-2</v>
          </cell>
          <cell r="AE21">
            <v>7592000</v>
          </cell>
          <cell r="AF21">
            <v>14951000</v>
          </cell>
          <cell r="AG21">
            <v>0.50779212092836601</v>
          </cell>
          <cell r="AH21">
            <v>981000</v>
          </cell>
          <cell r="AI21">
            <v>14951000</v>
          </cell>
          <cell r="AJ21">
            <v>6.5614340177914524E-2</v>
          </cell>
          <cell r="AK21">
            <v>62000</v>
          </cell>
          <cell r="AL21">
            <v>14951000</v>
          </cell>
          <cell r="AM21">
            <v>4.1468798073707441E-3</v>
          </cell>
          <cell r="AN21">
            <v>13734000</v>
          </cell>
          <cell r="AO21">
            <v>6634</v>
          </cell>
          <cell r="AP21">
            <v>2070.2441965631597</v>
          </cell>
          <cell r="AQ21">
            <v>5407000</v>
          </cell>
          <cell r="AR21">
            <v>12641000</v>
          </cell>
          <cell r="AS21">
            <v>0.42773514753579622</v>
          </cell>
          <cell r="AT21">
            <v>3379000</v>
          </cell>
          <cell r="AU21">
            <v>12641000</v>
          </cell>
          <cell r="AV21">
            <v>0.26730480183529787</v>
          </cell>
          <cell r="AW21">
            <v>10000</v>
          </cell>
          <cell r="AX21">
            <v>12641000</v>
          </cell>
          <cell r="AY21">
            <v>7.9107665532790125E-4</v>
          </cell>
          <cell r="AZ21">
            <v>2643000</v>
          </cell>
          <cell r="BA21">
            <v>12641000</v>
          </cell>
          <cell r="BB21">
            <v>0.2090815600031643</v>
          </cell>
          <cell r="BC21">
            <v>1202000</v>
          </cell>
          <cell r="BD21">
            <v>12641000</v>
          </cell>
          <cell r="BE21">
            <v>9.5087413970413731E-2</v>
          </cell>
          <cell r="BF21">
            <v>12002000</v>
          </cell>
          <cell r="BG21">
            <v>6634</v>
          </cell>
          <cell r="BH21">
            <v>1809.1649080494424</v>
          </cell>
          <cell r="BI21">
            <v>8992000</v>
          </cell>
          <cell r="BJ21">
            <v>1226000</v>
          </cell>
          <cell r="BK21">
            <v>7.3344208809135401</v>
          </cell>
          <cell r="BL21">
            <v>62000</v>
          </cell>
          <cell r="BM21">
            <v>10272000</v>
          </cell>
          <cell r="BN21">
            <v>6.0358255451713394E-3</v>
          </cell>
          <cell r="BO21">
            <v>3113000</v>
          </cell>
          <cell r="BP21">
            <v>2419000</v>
          </cell>
          <cell r="BQ21">
            <v>1.2868954113269946</v>
          </cell>
          <cell r="BR21">
            <v>117</v>
          </cell>
          <cell r="BS21" t="str">
            <v>On Time</v>
          </cell>
          <cell r="BT21" t="str">
            <v>On Time</v>
          </cell>
          <cell r="BU21" t="str">
            <v>On Time</v>
          </cell>
          <cell r="BV21">
            <v>191000</v>
          </cell>
          <cell r="BW21">
            <v>6634</v>
          </cell>
          <cell r="BX21">
            <v>28.791076273741332</v>
          </cell>
          <cell r="BY21">
            <v>45068</v>
          </cell>
          <cell r="BZ21">
            <v>6634</v>
          </cell>
          <cell r="CA21">
            <v>6.7934880916490803</v>
          </cell>
          <cell r="CB21">
            <v>193000</v>
          </cell>
          <cell r="CC21">
            <v>1722</v>
          </cell>
          <cell r="CD21">
            <v>112.07897793263646</v>
          </cell>
          <cell r="CE21">
            <v>95757</v>
          </cell>
          <cell r="CF21">
            <v>1672</v>
          </cell>
          <cell r="CG21">
            <v>57.270933014354064</v>
          </cell>
          <cell r="CH21">
            <v>387000</v>
          </cell>
          <cell r="CI21">
            <v>6634</v>
          </cell>
          <cell r="CJ21">
            <v>58.335845643653904</v>
          </cell>
          <cell r="CK21">
            <v>1550000</v>
          </cell>
          <cell r="CL21">
            <v>6634</v>
          </cell>
          <cell r="CM21">
            <v>233.64485981308411</v>
          </cell>
          <cell r="CN21" t="str">
            <v>N/A</v>
          </cell>
          <cell r="CO21" t="str">
            <v>N/A</v>
          </cell>
          <cell r="CP21">
            <v>344.64760938490798</v>
          </cell>
          <cell r="CQ21">
            <v>366.66666666666703</v>
          </cell>
          <cell r="CR21">
            <v>119</v>
          </cell>
          <cell r="CS21">
            <v>2925</v>
          </cell>
          <cell r="CT21">
            <v>119</v>
          </cell>
          <cell r="CU21">
            <v>24.579831932773111</v>
          </cell>
          <cell r="CV21">
            <v>21</v>
          </cell>
          <cell r="CW21">
            <v>0</v>
          </cell>
          <cell r="CX21">
            <v>87000</v>
          </cell>
          <cell r="CY21">
            <v>0</v>
          </cell>
          <cell r="CZ21">
            <v>287000</v>
          </cell>
          <cell r="DA21">
            <v>6634</v>
          </cell>
          <cell r="DB21">
            <v>43.261983720229125</v>
          </cell>
          <cell r="DC21">
            <v>643000</v>
          </cell>
          <cell r="DD21">
            <v>6634</v>
          </cell>
          <cell r="DE21">
            <v>96.92493216762135</v>
          </cell>
          <cell r="DF21">
            <v>3248000</v>
          </cell>
          <cell r="DG21">
            <v>6634</v>
          </cell>
          <cell r="DH21">
            <v>489.59903527283689</v>
          </cell>
          <cell r="DI21">
            <v>8559.7999999999993</v>
          </cell>
          <cell r="DJ21">
            <v>0.77501810789971737</v>
          </cell>
          <cell r="DK21">
            <v>1.0303030303030303E-3</v>
          </cell>
          <cell r="DL21">
            <v>2.14</v>
          </cell>
          <cell r="DM21">
            <v>1.1000000000000001</v>
          </cell>
        </row>
        <row r="22">
          <cell r="B22" t="str">
            <v>Blayney Shire Council</v>
          </cell>
          <cell r="C22">
            <v>10</v>
          </cell>
          <cell r="D22">
            <v>722000</v>
          </cell>
          <cell r="E22">
            <v>2449</v>
          </cell>
          <cell r="F22">
            <v>294.8142098815843</v>
          </cell>
          <cell r="G22">
            <v>1239000</v>
          </cell>
          <cell r="H22">
            <v>704</v>
          </cell>
          <cell r="I22">
            <v>1759.9431818181818</v>
          </cell>
          <cell r="J22">
            <v>105000</v>
          </cell>
          <cell r="K22">
            <v>211</v>
          </cell>
          <cell r="L22">
            <v>497.63033175355451</v>
          </cell>
          <cell r="M22">
            <v>189000</v>
          </cell>
          <cell r="N22">
            <v>6220000</v>
          </cell>
          <cell r="O22">
            <v>3.0385852090032153E-2</v>
          </cell>
          <cell r="P22">
            <v>333000</v>
          </cell>
          <cell r="Q22">
            <v>3100000</v>
          </cell>
          <cell r="R22">
            <v>0.10741935483870968</v>
          </cell>
          <cell r="S22">
            <v>879000</v>
          </cell>
          <cell r="T22">
            <v>1908000</v>
          </cell>
          <cell r="U22">
            <v>0.46069182389937108</v>
          </cell>
          <cell r="V22">
            <v>3433000</v>
          </cell>
          <cell r="W22">
            <v>13715000</v>
          </cell>
          <cell r="X22">
            <v>0.25030987969376595</v>
          </cell>
          <cell r="Y22">
            <v>2787000</v>
          </cell>
          <cell r="Z22">
            <v>13715000</v>
          </cell>
          <cell r="AA22">
            <v>0.20320816624134161</v>
          </cell>
          <cell r="AB22">
            <v>192000</v>
          </cell>
          <cell r="AC22">
            <v>13715000</v>
          </cell>
          <cell r="AD22">
            <v>1.3999270871308787E-2</v>
          </cell>
          <cell r="AE22">
            <v>2635000</v>
          </cell>
          <cell r="AF22">
            <v>13715000</v>
          </cell>
          <cell r="AG22">
            <v>0.19212541013488882</v>
          </cell>
          <cell r="AH22">
            <v>4393000</v>
          </cell>
          <cell r="AI22">
            <v>13715000</v>
          </cell>
          <cell r="AJ22">
            <v>0.32030623405030989</v>
          </cell>
          <cell r="AK22">
            <v>275000</v>
          </cell>
          <cell r="AL22">
            <v>13715000</v>
          </cell>
          <cell r="AM22">
            <v>2.005103900838498E-2</v>
          </cell>
          <cell r="AN22">
            <v>8786000</v>
          </cell>
          <cell r="AO22">
            <v>6489</v>
          </cell>
          <cell r="AP22">
            <v>1353.9836646632764</v>
          </cell>
          <cell r="AQ22">
            <v>2766000</v>
          </cell>
          <cell r="AR22">
            <v>9317000</v>
          </cell>
          <cell r="AS22">
            <v>0.2968766770419663</v>
          </cell>
          <cell r="AT22">
            <v>2936000</v>
          </cell>
          <cell r="AU22">
            <v>9317000</v>
          </cell>
          <cell r="AV22">
            <v>0.31512289363529034</v>
          </cell>
          <cell r="AW22">
            <v>38000</v>
          </cell>
          <cell r="AX22">
            <v>9317000</v>
          </cell>
          <cell r="AY22">
            <v>4.0785660620371363E-3</v>
          </cell>
          <cell r="AZ22">
            <v>2550000</v>
          </cell>
          <cell r="BA22">
            <v>9317000</v>
          </cell>
          <cell r="BB22">
            <v>0.27369324889986046</v>
          </cell>
          <cell r="BC22">
            <v>1027000</v>
          </cell>
          <cell r="BD22">
            <v>9317000</v>
          </cell>
          <cell r="BE22">
            <v>0.11022861436084577</v>
          </cell>
          <cell r="BF22">
            <v>8922000</v>
          </cell>
          <cell r="BG22">
            <v>6489</v>
          </cell>
          <cell r="BH22">
            <v>1374.9422098936661</v>
          </cell>
          <cell r="BI22">
            <v>3052000</v>
          </cell>
          <cell r="BJ22">
            <v>701000</v>
          </cell>
          <cell r="BK22">
            <v>4.3537803138373752</v>
          </cell>
          <cell r="BL22">
            <v>93000</v>
          </cell>
          <cell r="BM22">
            <v>8460000</v>
          </cell>
          <cell r="BN22">
            <v>1.099290780141844E-2</v>
          </cell>
          <cell r="BO22">
            <v>5146000</v>
          </cell>
          <cell r="BP22">
            <v>2427000</v>
          </cell>
          <cell r="BQ22">
            <v>2.1203131437989287</v>
          </cell>
          <cell r="BR22">
            <v>62</v>
          </cell>
          <cell r="BS22" t="str">
            <v>On Time</v>
          </cell>
          <cell r="BT22" t="str">
            <v>On Time</v>
          </cell>
          <cell r="BU22" t="str">
            <v>On Time</v>
          </cell>
          <cell r="BV22">
            <v>94000</v>
          </cell>
          <cell r="BW22">
            <v>6489</v>
          </cell>
          <cell r="BX22">
            <v>14.486053321004777</v>
          </cell>
          <cell r="BY22">
            <v>14833</v>
          </cell>
          <cell r="BZ22">
            <v>6489</v>
          </cell>
          <cell r="CA22">
            <v>2.2858683926645091</v>
          </cell>
          <cell r="CB22">
            <v>277000</v>
          </cell>
          <cell r="CC22">
            <v>2010</v>
          </cell>
          <cell r="CD22">
            <v>137.81094527363183</v>
          </cell>
          <cell r="CE22">
            <v>460000</v>
          </cell>
          <cell r="CF22">
            <v>1834</v>
          </cell>
          <cell r="CG22">
            <v>250.81788440567067</v>
          </cell>
          <cell r="CH22">
            <v>1028000</v>
          </cell>
          <cell r="CI22">
            <v>6489</v>
          </cell>
          <cell r="CJ22">
            <v>158.42194482971183</v>
          </cell>
          <cell r="CK22">
            <v>4900000</v>
          </cell>
          <cell r="CL22">
            <v>6489</v>
          </cell>
          <cell r="CM22">
            <v>755.12405609492987</v>
          </cell>
          <cell r="CN22" t="str">
            <v>N/A</v>
          </cell>
          <cell r="CO22" t="str">
            <v>N/A</v>
          </cell>
          <cell r="CP22">
            <v>411</v>
          </cell>
          <cell r="CQ22">
            <v>301</v>
          </cell>
          <cell r="CR22">
            <v>171</v>
          </cell>
          <cell r="CS22">
            <v>4984</v>
          </cell>
          <cell r="CT22">
            <v>171</v>
          </cell>
          <cell r="CU22">
            <v>29.146198830409357</v>
          </cell>
          <cell r="CV22">
            <v>34</v>
          </cell>
          <cell r="CW22">
            <v>0</v>
          </cell>
          <cell r="CX22">
            <v>106000</v>
          </cell>
          <cell r="CY22">
            <v>0</v>
          </cell>
          <cell r="CZ22">
            <v>134000</v>
          </cell>
          <cell r="DA22">
            <v>6489</v>
          </cell>
          <cell r="DB22">
            <v>20.650331329942979</v>
          </cell>
          <cell r="DC22">
            <v>666000</v>
          </cell>
          <cell r="DD22">
            <v>6489</v>
          </cell>
          <cell r="DE22">
            <v>102.63522884882109</v>
          </cell>
          <cell r="DF22">
            <v>20000</v>
          </cell>
          <cell r="DG22">
            <v>6489</v>
          </cell>
          <cell r="DH22">
            <v>3.0821390044691017</v>
          </cell>
          <cell r="DI22">
            <v>1524.5</v>
          </cell>
          <cell r="DJ22">
            <v>4.2564775336175797</v>
          </cell>
          <cell r="DK22">
            <v>-1.2557427258805512E-3</v>
          </cell>
          <cell r="DL22">
            <v>0.8</v>
          </cell>
          <cell r="DM22">
            <v>2.1800000000000002</v>
          </cell>
        </row>
        <row r="23">
          <cell r="B23" t="str">
            <v>Blue Mountains City Council</v>
          </cell>
          <cell r="C23">
            <v>7</v>
          </cell>
          <cell r="D23">
            <v>24340000</v>
          </cell>
          <cell r="E23">
            <v>32842</v>
          </cell>
          <cell r="F23">
            <v>741.12417026977653</v>
          </cell>
          <cell r="G23">
            <v>175000</v>
          </cell>
          <cell r="H23">
            <v>130</v>
          </cell>
          <cell r="I23">
            <v>1346.1538461538462</v>
          </cell>
          <cell r="J23">
            <v>2076000</v>
          </cell>
          <cell r="K23">
            <v>1579</v>
          </cell>
          <cell r="L23">
            <v>1314.7561747941736</v>
          </cell>
          <cell r="M23">
            <v>2577000</v>
          </cell>
          <cell r="N23">
            <v>41279000</v>
          </cell>
          <cell r="O23">
            <v>6.2428837907895059E-2</v>
          </cell>
          <cell r="P23">
            <v>1420000</v>
          </cell>
          <cell r="Q23">
            <v>31295000</v>
          </cell>
          <cell r="R23">
            <v>4.537466048889599E-2</v>
          </cell>
          <cell r="S23">
            <v>315000</v>
          </cell>
          <cell r="T23">
            <v>8249000</v>
          </cell>
          <cell r="U23">
            <v>3.8186446842041456E-2</v>
          </cell>
          <cell r="V23">
            <v>32715000</v>
          </cell>
          <cell r="W23">
            <v>65660000</v>
          </cell>
          <cell r="X23">
            <v>0.4982485531526043</v>
          </cell>
          <cell r="Y23">
            <v>8564000</v>
          </cell>
          <cell r="Z23">
            <v>65660000</v>
          </cell>
          <cell r="AA23">
            <v>0.1304294852269266</v>
          </cell>
          <cell r="AB23">
            <v>1233000</v>
          </cell>
          <cell r="AC23">
            <v>65660000</v>
          </cell>
          <cell r="AD23">
            <v>1.8778556198598844E-2</v>
          </cell>
          <cell r="AE23">
            <v>14440000</v>
          </cell>
          <cell r="AF23">
            <v>65660000</v>
          </cell>
          <cell r="AG23">
            <v>0.21992080414255255</v>
          </cell>
          <cell r="AH23">
            <v>3913000</v>
          </cell>
          <cell r="AI23">
            <v>65660000</v>
          </cell>
          <cell r="AJ23">
            <v>5.9594882729211089E-2</v>
          </cell>
          <cell r="AK23">
            <v>4795000</v>
          </cell>
          <cell r="AL23">
            <v>65660000</v>
          </cell>
          <cell r="AM23">
            <v>7.3027718550106605E-2</v>
          </cell>
          <cell r="AN23">
            <v>60900000</v>
          </cell>
          <cell r="AO23">
            <v>77015</v>
          </cell>
          <cell r="AP23">
            <v>790.75504771797705</v>
          </cell>
          <cell r="AQ23">
            <v>27219000</v>
          </cell>
          <cell r="AR23">
            <v>65986000</v>
          </cell>
          <cell r="AS23">
            <v>0.41249659018579699</v>
          </cell>
          <cell r="AT23">
            <v>16303000</v>
          </cell>
          <cell r="AU23">
            <v>65986000</v>
          </cell>
          <cell r="AV23">
            <v>0.24706755978540904</v>
          </cell>
          <cell r="AW23">
            <v>1320000</v>
          </cell>
          <cell r="AX23">
            <v>65986000</v>
          </cell>
          <cell r="AY23">
            <v>2.0004243324341527E-2</v>
          </cell>
          <cell r="AZ23">
            <v>12367000</v>
          </cell>
          <cell r="BA23">
            <v>65986000</v>
          </cell>
          <cell r="BB23">
            <v>0.18741854332737248</v>
          </cell>
          <cell r="BC23">
            <v>8777000</v>
          </cell>
          <cell r="BD23">
            <v>65986000</v>
          </cell>
          <cell r="BE23">
            <v>0.13301306337707999</v>
          </cell>
          <cell r="BF23">
            <v>65986000</v>
          </cell>
          <cell r="BG23">
            <v>77015</v>
          </cell>
          <cell r="BH23">
            <v>856.79413101343891</v>
          </cell>
          <cell r="BI23">
            <v>18857000</v>
          </cell>
          <cell r="BJ23">
            <v>10916000</v>
          </cell>
          <cell r="BK23">
            <v>1.7274642726273359</v>
          </cell>
          <cell r="BL23">
            <v>3588000</v>
          </cell>
          <cell r="BM23">
            <v>55749000</v>
          </cell>
          <cell r="BN23">
            <v>6.4359898832266046E-2</v>
          </cell>
          <cell r="BO23">
            <v>10641000</v>
          </cell>
          <cell r="BP23">
            <v>12367000</v>
          </cell>
          <cell r="BQ23">
            <v>0.86043502870542576</v>
          </cell>
          <cell r="BR23">
            <v>466</v>
          </cell>
          <cell r="BS23" t="str">
            <v>On Time</v>
          </cell>
          <cell r="BT23" t="str">
            <v>&lt;=2</v>
          </cell>
          <cell r="BU23" t="str">
            <v>On Time</v>
          </cell>
          <cell r="BV23">
            <v>1418000</v>
          </cell>
          <cell r="BW23">
            <v>77015</v>
          </cell>
          <cell r="BX23">
            <v>18.411997662792963</v>
          </cell>
          <cell r="BY23">
            <v>532473</v>
          </cell>
          <cell r="BZ23">
            <v>77015</v>
          </cell>
          <cell r="CA23">
            <v>6.913886905148348</v>
          </cell>
          <cell r="CB23">
            <v>6185000</v>
          </cell>
          <cell r="CC23">
            <v>32865</v>
          </cell>
          <cell r="CD23">
            <v>188.19412749125209</v>
          </cell>
          <cell r="CE23">
            <v>3799579</v>
          </cell>
          <cell r="CF23">
            <v>29393</v>
          </cell>
          <cell r="CG23">
            <v>129.26815908549653</v>
          </cell>
          <cell r="CH23">
            <v>5725280</v>
          </cell>
          <cell r="CI23">
            <v>77015</v>
          </cell>
          <cell r="CJ23">
            <v>74.339803934298516</v>
          </cell>
          <cell r="CK23">
            <v>25780000</v>
          </cell>
          <cell r="CL23">
            <v>77015</v>
          </cell>
          <cell r="CM23">
            <v>334.73998571706812</v>
          </cell>
          <cell r="CN23" t="str">
            <v>N/A</v>
          </cell>
          <cell r="CO23" t="str">
            <v>N/A</v>
          </cell>
          <cell r="CP23" t="str">
            <v>N/A</v>
          </cell>
          <cell r="CQ23" t="str">
            <v>N/A</v>
          </cell>
          <cell r="CR23">
            <v>1826</v>
          </cell>
          <cell r="CS23">
            <v>80344</v>
          </cell>
          <cell r="CT23">
            <v>1826</v>
          </cell>
          <cell r="CU23">
            <v>44</v>
          </cell>
          <cell r="CV23">
            <v>38</v>
          </cell>
          <cell r="CW23">
            <v>237000</v>
          </cell>
          <cell r="CX23">
            <v>4019000</v>
          </cell>
          <cell r="CY23">
            <v>5.8969893008210997E-2</v>
          </cell>
          <cell r="CZ23">
            <v>3211000</v>
          </cell>
          <cell r="DA23">
            <v>77015</v>
          </cell>
          <cell r="DB23">
            <v>41.69317665389859</v>
          </cell>
          <cell r="DC23">
            <v>2341000</v>
          </cell>
          <cell r="DD23">
            <v>77015</v>
          </cell>
          <cell r="DE23">
            <v>30.396675972213206</v>
          </cell>
          <cell r="DF23">
            <v>3427000</v>
          </cell>
          <cell r="DG23">
            <v>77015</v>
          </cell>
          <cell r="DH23">
            <v>44.49782509900669</v>
          </cell>
          <cell r="DI23">
            <v>1431.6</v>
          </cell>
          <cell r="DJ23">
            <v>53.796451522771726</v>
          </cell>
          <cell r="DK23">
            <v>3.8782263401720713E-3</v>
          </cell>
          <cell r="DL23">
            <v>0.98</v>
          </cell>
          <cell r="DM23">
            <v>6.22</v>
          </cell>
        </row>
        <row r="24">
          <cell r="B24" t="str">
            <v>Bogan Shire Council</v>
          </cell>
          <cell r="C24">
            <v>9</v>
          </cell>
          <cell r="D24">
            <v>141000</v>
          </cell>
          <cell r="E24">
            <v>1020</v>
          </cell>
          <cell r="F24">
            <v>138.23529411764707</v>
          </cell>
          <cell r="G24">
            <v>1053000</v>
          </cell>
          <cell r="H24">
            <v>622</v>
          </cell>
          <cell r="I24">
            <v>1692.9260450160771</v>
          </cell>
          <cell r="J24">
            <v>122000</v>
          </cell>
          <cell r="K24">
            <v>189</v>
          </cell>
          <cell r="L24">
            <v>645.50264550264546</v>
          </cell>
          <cell r="M24">
            <v>315000</v>
          </cell>
          <cell r="N24">
            <v>2904000</v>
          </cell>
          <cell r="O24">
            <v>0.10847107438016529</v>
          </cell>
          <cell r="P24">
            <v>109000</v>
          </cell>
          <cell r="Q24">
            <v>2323000</v>
          </cell>
          <cell r="R24">
            <v>4.6922083512699095E-2</v>
          </cell>
          <cell r="S24">
            <v>-13000</v>
          </cell>
          <cell r="T24">
            <v>485000</v>
          </cell>
          <cell r="U24">
            <v>-2.6804123711340205E-2</v>
          </cell>
          <cell r="V24">
            <v>2432000</v>
          </cell>
          <cell r="W24">
            <v>7091000</v>
          </cell>
          <cell r="X24">
            <v>0.3429699619235651</v>
          </cell>
          <cell r="Y24">
            <v>472000</v>
          </cell>
          <cell r="Z24">
            <v>7091000</v>
          </cell>
          <cell r="AA24">
            <v>6.6563249189112966E-2</v>
          </cell>
          <cell r="AB24">
            <v>140000</v>
          </cell>
          <cell r="AC24">
            <v>7091000</v>
          </cell>
          <cell r="AD24">
            <v>1.9743336623889437E-2</v>
          </cell>
          <cell r="AE24">
            <v>3168000</v>
          </cell>
          <cell r="AF24">
            <v>7091000</v>
          </cell>
          <cell r="AG24">
            <v>0.4467635030320124</v>
          </cell>
          <cell r="AH24">
            <v>828000</v>
          </cell>
          <cell r="AI24">
            <v>7091000</v>
          </cell>
          <cell r="AJ24">
            <v>0.11676773374700325</v>
          </cell>
          <cell r="AK24">
            <v>51000</v>
          </cell>
          <cell r="AL24">
            <v>7091000</v>
          </cell>
          <cell r="AM24">
            <v>7.1922154844168661E-3</v>
          </cell>
          <cell r="AN24">
            <v>5803000</v>
          </cell>
          <cell r="AO24">
            <v>3177</v>
          </cell>
          <cell r="AP24">
            <v>1826.5659427132514</v>
          </cell>
          <cell r="AQ24">
            <v>2522000</v>
          </cell>
          <cell r="AR24">
            <v>10342000</v>
          </cell>
          <cell r="AS24">
            <v>0.24385998839682846</v>
          </cell>
          <cell r="AT24">
            <v>2262000</v>
          </cell>
          <cell r="AU24">
            <v>10342000</v>
          </cell>
          <cell r="AV24">
            <v>0.2187197834074647</v>
          </cell>
          <cell r="AW24">
            <v>71000</v>
          </cell>
          <cell r="AX24">
            <v>10342000</v>
          </cell>
          <cell r="AY24">
            <v>6.8652098240185649E-3</v>
          </cell>
          <cell r="AZ24">
            <v>4348000</v>
          </cell>
          <cell r="BA24">
            <v>10342000</v>
          </cell>
          <cell r="BB24">
            <v>0.42042158189905243</v>
          </cell>
          <cell r="BC24">
            <v>1139000</v>
          </cell>
          <cell r="BD24">
            <v>10342000</v>
          </cell>
          <cell r="BE24">
            <v>0.11013343647263585</v>
          </cell>
          <cell r="BF24">
            <v>9092000</v>
          </cell>
          <cell r="BG24">
            <v>3177</v>
          </cell>
          <cell r="BH24">
            <v>2861.8193264085617</v>
          </cell>
          <cell r="BI24">
            <v>2046000</v>
          </cell>
          <cell r="BJ24">
            <v>632000</v>
          </cell>
          <cell r="BK24">
            <v>3.2373417721518987</v>
          </cell>
          <cell r="BL24">
            <v>324000</v>
          </cell>
          <cell r="BM24">
            <v>5149000</v>
          </cell>
          <cell r="BN24">
            <v>6.292483977471354E-2</v>
          </cell>
          <cell r="BO24">
            <v>452000</v>
          </cell>
          <cell r="BP24">
            <v>3997000</v>
          </cell>
          <cell r="BQ24">
            <v>0.11308481361020765</v>
          </cell>
          <cell r="BR24">
            <v>58</v>
          </cell>
          <cell r="BS24" t="str">
            <v>On Time</v>
          </cell>
          <cell r="BT24" t="str">
            <v>On Time</v>
          </cell>
          <cell r="BU24" t="str">
            <v>On Time</v>
          </cell>
          <cell r="BV24">
            <v>147000</v>
          </cell>
          <cell r="BW24">
            <v>3177</v>
          </cell>
          <cell r="BX24">
            <v>46.270066100094432</v>
          </cell>
          <cell r="BY24">
            <v>19902</v>
          </cell>
          <cell r="BZ24">
            <v>3177</v>
          </cell>
          <cell r="CA24">
            <v>6.2644003777148249</v>
          </cell>
          <cell r="CB24">
            <v>127000</v>
          </cell>
          <cell r="CC24">
            <v>835</v>
          </cell>
          <cell r="CD24">
            <v>152.09580838323353</v>
          </cell>
          <cell r="CE24">
            <v>118314</v>
          </cell>
          <cell r="CF24">
            <v>835</v>
          </cell>
          <cell r="CG24">
            <v>141.69341317365269</v>
          </cell>
          <cell r="CI24">
            <v>3177</v>
          </cell>
          <cell r="CJ24" t="str">
            <v>N/A</v>
          </cell>
          <cell r="CL24">
            <v>3177</v>
          </cell>
          <cell r="CM24" t="str">
            <v>N/A</v>
          </cell>
          <cell r="CN24">
            <v>588.397428451275</v>
          </cell>
          <cell r="CO24">
            <v>712.20567434894804</v>
          </cell>
          <cell r="CP24">
            <v>402.83554982717197</v>
          </cell>
          <cell r="CQ24">
            <v>344.47194719471901</v>
          </cell>
          <cell r="CR24">
            <v>7</v>
          </cell>
          <cell r="CS24">
            <v>15</v>
          </cell>
          <cell r="CT24">
            <v>7</v>
          </cell>
          <cell r="CU24">
            <v>2.1428571428571428</v>
          </cell>
          <cell r="CV24">
            <v>2</v>
          </cell>
          <cell r="CW24">
            <v>0</v>
          </cell>
          <cell r="CX24">
            <v>12000</v>
          </cell>
          <cell r="CY24">
            <v>0</v>
          </cell>
          <cell r="CZ24">
            <v>110000</v>
          </cell>
          <cell r="DA24">
            <v>3177</v>
          </cell>
          <cell r="DB24">
            <v>34.623858986465216</v>
          </cell>
          <cell r="DC24">
            <v>488000</v>
          </cell>
          <cell r="DD24">
            <v>3177</v>
          </cell>
          <cell r="DE24">
            <v>153.60402895813661</v>
          </cell>
          <cell r="DF24">
            <v>274000</v>
          </cell>
          <cell r="DG24">
            <v>3177</v>
          </cell>
          <cell r="DH24">
            <v>86.244885111740629</v>
          </cell>
          <cell r="DI24">
            <v>14611.4</v>
          </cell>
          <cell r="DJ24">
            <v>0.21743296330262671</v>
          </cell>
          <cell r="DK24">
            <v>-2.0560747663551401E-3</v>
          </cell>
          <cell r="DL24">
            <v>8.44</v>
          </cell>
          <cell r="DM24">
            <v>1.21</v>
          </cell>
        </row>
        <row r="25">
          <cell r="B25" t="str">
            <v>Bombala Council</v>
          </cell>
          <cell r="C25">
            <v>9</v>
          </cell>
          <cell r="D25">
            <v>334000</v>
          </cell>
          <cell r="E25">
            <v>1059</v>
          </cell>
          <cell r="F25">
            <v>315.39187913125591</v>
          </cell>
          <cell r="G25">
            <v>751000</v>
          </cell>
          <cell r="H25">
            <v>666</v>
          </cell>
          <cell r="I25">
            <v>1127.6276276276276</v>
          </cell>
          <cell r="J25">
            <v>73000</v>
          </cell>
          <cell r="K25">
            <v>155</v>
          </cell>
          <cell r="L25">
            <v>470.96774193548384</v>
          </cell>
          <cell r="M25">
            <v>763000</v>
          </cell>
          <cell r="N25">
            <v>3176000</v>
          </cell>
          <cell r="O25">
            <v>0.24023929471032746</v>
          </cell>
          <cell r="P25">
            <v>12000</v>
          </cell>
          <cell r="Q25">
            <v>1843000</v>
          </cell>
          <cell r="R25">
            <v>6.5111231687466084E-3</v>
          </cell>
          <cell r="S25">
            <v>27000</v>
          </cell>
          <cell r="T25">
            <v>1294000</v>
          </cell>
          <cell r="U25">
            <v>2.0865533230293665E-2</v>
          </cell>
          <cell r="V25">
            <v>1855000</v>
          </cell>
          <cell r="W25">
            <v>5964000</v>
          </cell>
          <cell r="X25">
            <v>0.31103286384976525</v>
          </cell>
          <cell r="Y25">
            <v>1321000</v>
          </cell>
          <cell r="Z25">
            <v>5964000</v>
          </cell>
          <cell r="AA25">
            <v>0.22149564050972501</v>
          </cell>
          <cell r="AB25">
            <v>79000</v>
          </cell>
          <cell r="AC25">
            <v>5964000</v>
          </cell>
          <cell r="AD25">
            <v>1.3246143527833669E-2</v>
          </cell>
          <cell r="AE25">
            <v>2074000</v>
          </cell>
          <cell r="AF25">
            <v>5964000</v>
          </cell>
          <cell r="AG25">
            <v>0.34775318578135478</v>
          </cell>
          <cell r="AH25">
            <v>544000</v>
          </cell>
          <cell r="AI25">
            <v>5964000</v>
          </cell>
          <cell r="AJ25">
            <v>9.1213950368879942E-2</v>
          </cell>
          <cell r="AK25">
            <v>91000</v>
          </cell>
          <cell r="AL25">
            <v>5964000</v>
          </cell>
          <cell r="AM25">
            <v>1.5258215962441314E-2</v>
          </cell>
          <cell r="AN25">
            <v>4490000</v>
          </cell>
          <cell r="AO25">
            <v>2640</v>
          </cell>
          <cell r="AP25">
            <v>1700.7575757575758</v>
          </cell>
          <cell r="AQ25">
            <v>2081000</v>
          </cell>
          <cell r="AR25">
            <v>5391000</v>
          </cell>
          <cell r="AS25">
            <v>0.38601372658133926</v>
          </cell>
          <cell r="AT25">
            <v>1642000</v>
          </cell>
          <cell r="AU25">
            <v>5391000</v>
          </cell>
          <cell r="AV25">
            <v>0.30458171025783715</v>
          </cell>
          <cell r="AW25">
            <v>122000</v>
          </cell>
          <cell r="AX25">
            <v>5391000</v>
          </cell>
          <cell r="AY25">
            <v>2.2630309775551846E-2</v>
          </cell>
          <cell r="AZ25">
            <v>960000</v>
          </cell>
          <cell r="BA25">
            <v>5391000</v>
          </cell>
          <cell r="BB25">
            <v>0.17807456872565386</v>
          </cell>
          <cell r="BC25">
            <v>586000</v>
          </cell>
          <cell r="BD25">
            <v>5391000</v>
          </cell>
          <cell r="BE25">
            <v>0.10869968465961788</v>
          </cell>
          <cell r="BF25">
            <v>4836000</v>
          </cell>
          <cell r="BG25">
            <v>2640</v>
          </cell>
          <cell r="BH25">
            <v>1831.8181818181818</v>
          </cell>
          <cell r="BI25">
            <v>2180000</v>
          </cell>
          <cell r="BJ25">
            <v>585000</v>
          </cell>
          <cell r="BK25">
            <v>3.7264957264957266</v>
          </cell>
          <cell r="BL25">
            <v>737000</v>
          </cell>
          <cell r="BM25">
            <v>4480000</v>
          </cell>
          <cell r="BN25">
            <v>0.16450892857142857</v>
          </cell>
          <cell r="BO25">
            <v>900000</v>
          </cell>
          <cell r="BP25">
            <v>833000</v>
          </cell>
          <cell r="BQ25">
            <v>1.0804321728691477</v>
          </cell>
          <cell r="BR25">
            <v>47</v>
          </cell>
          <cell r="BS25" t="str">
            <v>On Time</v>
          </cell>
          <cell r="BT25" t="str">
            <v>On Time</v>
          </cell>
          <cell r="BU25" t="str">
            <v>On Time</v>
          </cell>
          <cell r="BV25">
            <v>85000</v>
          </cell>
          <cell r="BW25">
            <v>2640</v>
          </cell>
          <cell r="BX25">
            <v>32.196969696969695</v>
          </cell>
          <cell r="BY25">
            <v>12346</v>
          </cell>
          <cell r="BZ25">
            <v>2640</v>
          </cell>
          <cell r="CA25">
            <v>4.6765151515151517</v>
          </cell>
          <cell r="CB25">
            <v>98000</v>
          </cell>
          <cell r="CC25">
            <v>863</v>
          </cell>
          <cell r="CD25">
            <v>113.55735805330244</v>
          </cell>
          <cell r="CE25">
            <v>67000</v>
          </cell>
          <cell r="CF25">
            <v>759</v>
          </cell>
          <cell r="CG25">
            <v>88.274044795783922</v>
          </cell>
          <cell r="CH25">
            <v>290000</v>
          </cell>
          <cell r="CI25">
            <v>2640</v>
          </cell>
          <cell r="CJ25">
            <v>109.84848484848484</v>
          </cell>
          <cell r="CK25">
            <v>220000</v>
          </cell>
          <cell r="CL25">
            <v>2640</v>
          </cell>
          <cell r="CM25">
            <v>83.333333333333329</v>
          </cell>
          <cell r="CN25">
            <v>414.80200147510601</v>
          </cell>
          <cell r="CO25">
            <v>298.43840370156198</v>
          </cell>
          <cell r="CP25">
            <v>400.40666301712702</v>
          </cell>
          <cell r="CQ25">
            <v>263</v>
          </cell>
          <cell r="CR25">
            <v>46</v>
          </cell>
          <cell r="CS25">
            <v>1213</v>
          </cell>
          <cell r="CT25">
            <v>46</v>
          </cell>
          <cell r="CU25">
            <v>26.369565217391305</v>
          </cell>
          <cell r="CV25">
            <v>17.5</v>
          </cell>
          <cell r="CW25">
            <v>2000</v>
          </cell>
          <cell r="CX25">
            <v>53000</v>
          </cell>
          <cell r="CY25">
            <v>3.7735849056603772E-2</v>
          </cell>
          <cell r="CZ25">
            <v>181000</v>
          </cell>
          <cell r="DA25">
            <v>2640</v>
          </cell>
          <cell r="DB25">
            <v>68.560606060606062</v>
          </cell>
          <cell r="DC25">
            <v>120000</v>
          </cell>
          <cell r="DD25">
            <v>2640</v>
          </cell>
          <cell r="DE25">
            <v>45.454545454545453</v>
          </cell>
          <cell r="DF25">
            <v>2000</v>
          </cell>
          <cell r="DG25">
            <v>2640</v>
          </cell>
          <cell r="DH25">
            <v>0.75757575757575757</v>
          </cell>
          <cell r="DI25">
            <v>3944.2</v>
          </cell>
          <cell r="DJ25">
            <v>0.66933725470310834</v>
          </cell>
          <cell r="DK25">
            <v>-2.4584717607973421E-2</v>
          </cell>
          <cell r="DL25">
            <v>0.8</v>
          </cell>
          <cell r="DM25">
            <v>2.58</v>
          </cell>
        </row>
        <row r="26">
          <cell r="B26" t="str">
            <v>Boorowa Council</v>
          </cell>
          <cell r="C26">
            <v>9</v>
          </cell>
          <cell r="D26">
            <v>216000</v>
          </cell>
          <cell r="E26">
            <v>803</v>
          </cell>
          <cell r="F26">
            <v>268.99128268991285</v>
          </cell>
          <cell r="G26">
            <v>1144000</v>
          </cell>
          <cell r="H26">
            <v>786</v>
          </cell>
          <cell r="I26">
            <v>1455.4707379134861</v>
          </cell>
          <cell r="J26">
            <v>21000</v>
          </cell>
          <cell r="K26">
            <v>68</v>
          </cell>
          <cell r="L26">
            <v>308.8235294117647</v>
          </cell>
          <cell r="M26">
            <v>207000</v>
          </cell>
          <cell r="N26">
            <v>2143000</v>
          </cell>
          <cell r="O26">
            <v>9.6593560429304712E-2</v>
          </cell>
          <cell r="P26">
            <v>152000</v>
          </cell>
          <cell r="Q26">
            <v>1594000</v>
          </cell>
          <cell r="R26">
            <v>9.5357590966122965E-2</v>
          </cell>
          <cell r="S26">
            <v>-51000</v>
          </cell>
          <cell r="T26">
            <v>448000</v>
          </cell>
          <cell r="U26">
            <v>-0.11383928571428571</v>
          </cell>
          <cell r="V26">
            <v>1746000</v>
          </cell>
          <cell r="W26">
            <v>5742000</v>
          </cell>
          <cell r="X26">
            <v>0.30407523510971785</v>
          </cell>
          <cell r="Y26">
            <v>397000</v>
          </cell>
          <cell r="Z26">
            <v>5742000</v>
          </cell>
          <cell r="AA26">
            <v>6.9139672587948453E-2</v>
          </cell>
          <cell r="AB26">
            <v>81000</v>
          </cell>
          <cell r="AC26">
            <v>5742000</v>
          </cell>
          <cell r="AD26">
            <v>1.4106583072100314E-2</v>
          </cell>
          <cell r="AE26">
            <v>1239000</v>
          </cell>
          <cell r="AF26">
            <v>5742000</v>
          </cell>
          <cell r="AG26">
            <v>0.21577847439916406</v>
          </cell>
          <cell r="AH26">
            <v>2170000</v>
          </cell>
          <cell r="AI26">
            <v>5742000</v>
          </cell>
          <cell r="AJ26">
            <v>0.37791710205503309</v>
          </cell>
          <cell r="AK26">
            <v>109000</v>
          </cell>
          <cell r="AL26">
            <v>5742000</v>
          </cell>
          <cell r="AM26">
            <v>1.8982932776036226E-2</v>
          </cell>
          <cell r="AN26">
            <v>5191000</v>
          </cell>
          <cell r="AO26">
            <v>2466</v>
          </cell>
          <cell r="AP26">
            <v>2105.0283860502836</v>
          </cell>
          <cell r="AQ26">
            <v>2446000</v>
          </cell>
          <cell r="AR26">
            <v>5971000</v>
          </cell>
          <cell r="AS26">
            <v>0.40964662535588681</v>
          </cell>
          <cell r="AT26">
            <v>804000</v>
          </cell>
          <cell r="AU26">
            <v>5971000</v>
          </cell>
          <cell r="AV26">
            <v>0.13465081225925304</v>
          </cell>
          <cell r="AW26">
            <v>118000</v>
          </cell>
          <cell r="AX26">
            <v>5971000</v>
          </cell>
          <cell r="AY26">
            <v>1.9762183888795845E-2</v>
          </cell>
          <cell r="AZ26">
            <v>2178000</v>
          </cell>
          <cell r="BA26">
            <v>5971000</v>
          </cell>
          <cell r="BB26">
            <v>0.36476302126946908</v>
          </cell>
          <cell r="BC26">
            <v>425000</v>
          </cell>
          <cell r="BD26">
            <v>5971000</v>
          </cell>
          <cell r="BE26">
            <v>7.1177357226595211E-2</v>
          </cell>
          <cell r="BF26">
            <v>5360000</v>
          </cell>
          <cell r="BG26">
            <v>2466</v>
          </cell>
          <cell r="BH26">
            <v>2173.560421735604</v>
          </cell>
          <cell r="BI26">
            <v>2331000</v>
          </cell>
          <cell r="BJ26">
            <v>762000</v>
          </cell>
          <cell r="BK26">
            <v>3.0590551181102361</v>
          </cell>
          <cell r="BL26">
            <v>180000</v>
          </cell>
          <cell r="BM26">
            <v>3369000</v>
          </cell>
          <cell r="BN26">
            <v>5.3428317008014245E-2</v>
          </cell>
          <cell r="BO26">
            <v>-93000</v>
          </cell>
          <cell r="BP26">
            <v>1878000</v>
          </cell>
          <cell r="BQ26">
            <v>-4.9520766773162937E-2</v>
          </cell>
          <cell r="BR26">
            <v>55</v>
          </cell>
          <cell r="BS26" t="str">
            <v>&lt;=2</v>
          </cell>
          <cell r="BT26" t="str">
            <v>&lt;=2</v>
          </cell>
          <cell r="BU26" t="str">
            <v>On Time</v>
          </cell>
          <cell r="BV26">
            <v>44000</v>
          </cell>
          <cell r="BW26">
            <v>2466</v>
          </cell>
          <cell r="BX26">
            <v>17.842660178426602</v>
          </cell>
          <cell r="BY26">
            <v>5823</v>
          </cell>
          <cell r="BZ26">
            <v>2466</v>
          </cell>
          <cell r="CA26">
            <v>2.3613138686131387</v>
          </cell>
          <cell r="CB26">
            <v>78000</v>
          </cell>
          <cell r="CC26">
            <v>561</v>
          </cell>
          <cell r="CD26">
            <v>139.03743315508021</v>
          </cell>
          <cell r="CE26">
            <v>62333</v>
          </cell>
          <cell r="CF26">
            <v>561</v>
          </cell>
          <cell r="CG26">
            <v>111.11051693404634</v>
          </cell>
          <cell r="CH26">
            <v>60000</v>
          </cell>
          <cell r="CI26">
            <v>2466</v>
          </cell>
          <cell r="CJ26">
            <v>24.330900243309003</v>
          </cell>
          <cell r="CK26">
            <v>448000</v>
          </cell>
          <cell r="CL26">
            <v>2466</v>
          </cell>
          <cell r="CM26">
            <v>181.67072181670721</v>
          </cell>
          <cell r="CN26">
            <v>516.38823205874303</v>
          </cell>
          <cell r="CO26">
            <v>418.28760285055301</v>
          </cell>
          <cell r="CP26">
            <v>141.73843296183699</v>
          </cell>
          <cell r="CQ26">
            <v>558.51063829787199</v>
          </cell>
          <cell r="CR26">
            <v>15</v>
          </cell>
          <cell r="CS26">
            <v>470</v>
          </cell>
          <cell r="CT26">
            <v>15</v>
          </cell>
          <cell r="CU26">
            <v>31.333333333333332</v>
          </cell>
          <cell r="CV26">
            <v>35</v>
          </cell>
          <cell r="CW26">
            <v>6000</v>
          </cell>
          <cell r="CX26">
            <v>44000</v>
          </cell>
          <cell r="CY26">
            <v>0.13636363636363635</v>
          </cell>
          <cell r="CZ26">
            <v>52000</v>
          </cell>
          <cell r="DA26">
            <v>2466</v>
          </cell>
          <cell r="DB26">
            <v>21.086780210867801</v>
          </cell>
          <cell r="DC26">
            <v>219000</v>
          </cell>
          <cell r="DD26">
            <v>2466</v>
          </cell>
          <cell r="DE26">
            <v>88.807785888077859</v>
          </cell>
          <cell r="DF26">
            <v>51000</v>
          </cell>
          <cell r="DG26">
            <v>2466</v>
          </cell>
          <cell r="DH26">
            <v>20.68126520681265</v>
          </cell>
          <cell r="DI26">
            <v>2578.6</v>
          </cell>
          <cell r="DJ26">
            <v>0.95633289381835107</v>
          </cell>
          <cell r="DK26">
            <v>-1.3181818181818182E-2</v>
          </cell>
          <cell r="DL26">
            <v>1.96</v>
          </cell>
          <cell r="DM26">
            <v>1.6</v>
          </cell>
        </row>
        <row r="27">
          <cell r="B27" t="str">
            <v>Botany Bay, The Council of the City of</v>
          </cell>
          <cell r="C27">
            <v>2</v>
          </cell>
          <cell r="D27">
            <v>5511000</v>
          </cell>
          <cell r="E27">
            <v>11866</v>
          </cell>
          <cell r="F27">
            <v>464.4362042811394</v>
          </cell>
          <cell r="G27">
            <v>0</v>
          </cell>
          <cell r="H27">
            <v>0</v>
          </cell>
          <cell r="I27" t="str">
            <v>N/A</v>
          </cell>
          <cell r="J27">
            <v>10267000</v>
          </cell>
          <cell r="K27">
            <v>1431</v>
          </cell>
          <cell r="L27">
            <v>7174.703004891684</v>
          </cell>
          <cell r="M27">
            <v>1980000</v>
          </cell>
          <cell r="N27">
            <v>24097000</v>
          </cell>
          <cell r="O27">
            <v>8.2167904718429677E-2</v>
          </cell>
          <cell r="P27">
            <v>794000</v>
          </cell>
          <cell r="Q27">
            <v>17933000</v>
          </cell>
          <cell r="R27">
            <v>4.4275915909217645E-2</v>
          </cell>
          <cell r="S27">
            <v>1072000</v>
          </cell>
          <cell r="T27">
            <v>4298000</v>
          </cell>
          <cell r="U27">
            <v>0.24941833410888786</v>
          </cell>
          <cell r="V27">
            <v>18727000</v>
          </cell>
          <cell r="W27">
            <v>31420000</v>
          </cell>
          <cell r="X27">
            <v>0.59602164226607257</v>
          </cell>
          <cell r="Y27">
            <v>5370000</v>
          </cell>
          <cell r="Z27">
            <v>31420000</v>
          </cell>
          <cell r="AA27">
            <v>0.17091024824952258</v>
          </cell>
          <cell r="AB27">
            <v>513000</v>
          </cell>
          <cell r="AC27">
            <v>31420000</v>
          </cell>
          <cell r="AD27">
            <v>1.6327180140038193E-2</v>
          </cell>
          <cell r="AE27">
            <v>4152000</v>
          </cell>
          <cell r="AF27">
            <v>31420000</v>
          </cell>
          <cell r="AG27">
            <v>0.13214513049013368</v>
          </cell>
          <cell r="AH27">
            <v>2208000</v>
          </cell>
          <cell r="AI27">
            <v>31420000</v>
          </cell>
          <cell r="AJ27">
            <v>7.0273711012094203E-2</v>
          </cell>
          <cell r="AK27">
            <v>450000</v>
          </cell>
          <cell r="AL27">
            <v>31420000</v>
          </cell>
          <cell r="AM27">
            <v>1.4322087842138766E-2</v>
          </cell>
          <cell r="AN27">
            <v>30562000</v>
          </cell>
          <cell r="AO27">
            <v>37340</v>
          </cell>
          <cell r="AP27">
            <v>818.47884306373862</v>
          </cell>
          <cell r="AQ27">
            <v>15592000</v>
          </cell>
          <cell r="AR27">
            <v>32524000</v>
          </cell>
          <cell r="AS27">
            <v>0.47939982781945639</v>
          </cell>
          <cell r="AT27">
            <v>8954000</v>
          </cell>
          <cell r="AU27">
            <v>32524000</v>
          </cell>
          <cell r="AV27">
            <v>0.27530439060386175</v>
          </cell>
          <cell r="AW27">
            <v>0</v>
          </cell>
          <cell r="AX27">
            <v>32524000</v>
          </cell>
          <cell r="AY27">
            <v>0</v>
          </cell>
          <cell r="AZ27">
            <v>4140000</v>
          </cell>
          <cell r="BA27">
            <v>32524000</v>
          </cell>
          <cell r="BB27">
            <v>0.12729061616037388</v>
          </cell>
          <cell r="BC27">
            <v>3838000</v>
          </cell>
          <cell r="BD27">
            <v>32524000</v>
          </cell>
          <cell r="BE27">
            <v>0.11800516541630796</v>
          </cell>
          <cell r="BF27">
            <v>32868000</v>
          </cell>
          <cell r="BG27">
            <v>37340</v>
          </cell>
          <cell r="BH27">
            <v>880.23567220139262</v>
          </cell>
          <cell r="BI27">
            <v>6010000</v>
          </cell>
          <cell r="BJ27">
            <v>4141000</v>
          </cell>
          <cell r="BK27">
            <v>1.4513402559768172</v>
          </cell>
          <cell r="BL27">
            <v>0</v>
          </cell>
          <cell r="BM27">
            <v>26399000</v>
          </cell>
          <cell r="BN27">
            <v>0</v>
          </cell>
          <cell r="BO27">
            <v>2580000</v>
          </cell>
          <cell r="BP27">
            <v>4140000</v>
          </cell>
          <cell r="BQ27">
            <v>0.62318840579710144</v>
          </cell>
          <cell r="BR27">
            <v>359</v>
          </cell>
          <cell r="BS27" t="str">
            <v>&lt;=2</v>
          </cell>
          <cell r="BT27" t="str">
            <v>&lt;=2</v>
          </cell>
          <cell r="BU27" t="str">
            <v>On Time</v>
          </cell>
          <cell r="BV27">
            <v>1066000</v>
          </cell>
          <cell r="BW27">
            <v>37340</v>
          </cell>
          <cell r="BX27">
            <v>28.548473486877345</v>
          </cell>
          <cell r="BY27">
            <v>167842</v>
          </cell>
          <cell r="BZ27">
            <v>37340</v>
          </cell>
          <cell r="CA27">
            <v>4.4949651847884304</v>
          </cell>
          <cell r="CB27">
            <v>2815000</v>
          </cell>
          <cell r="CC27">
            <v>11851</v>
          </cell>
          <cell r="CD27">
            <v>237.53269766264449</v>
          </cell>
          <cell r="CE27">
            <v>1614000</v>
          </cell>
          <cell r="CF27">
            <v>11851</v>
          </cell>
          <cell r="CG27">
            <v>136.19103873090879</v>
          </cell>
          <cell r="CH27">
            <v>2666000</v>
          </cell>
          <cell r="CI27">
            <v>37340</v>
          </cell>
          <cell r="CJ27">
            <v>71.397964649169793</v>
          </cell>
          <cell r="CK27">
            <v>9701000</v>
          </cell>
          <cell r="CL27">
            <v>37340</v>
          </cell>
          <cell r="CM27">
            <v>259.80182110337438</v>
          </cell>
          <cell r="CN27" t="str">
            <v>N/A</v>
          </cell>
          <cell r="CO27" t="str">
            <v>N/A</v>
          </cell>
          <cell r="CP27" t="str">
            <v>N/A</v>
          </cell>
          <cell r="CQ27" t="str">
            <v>N/A</v>
          </cell>
          <cell r="CR27">
            <v>585</v>
          </cell>
          <cell r="CS27">
            <v>28325</v>
          </cell>
          <cell r="CT27">
            <v>585</v>
          </cell>
          <cell r="CU27">
            <v>48.418803418803421</v>
          </cell>
          <cell r="CV27">
            <v>37.5</v>
          </cell>
          <cell r="CW27">
            <v>410000</v>
          </cell>
          <cell r="CX27">
            <v>1816000</v>
          </cell>
          <cell r="CY27">
            <v>0.22577092511013216</v>
          </cell>
          <cell r="CZ27">
            <v>745000</v>
          </cell>
          <cell r="DA27">
            <v>37340</v>
          </cell>
          <cell r="DB27">
            <v>19.951794322442421</v>
          </cell>
          <cell r="DC27">
            <v>5105000</v>
          </cell>
          <cell r="DD27">
            <v>37340</v>
          </cell>
          <cell r="DE27">
            <v>136.71665773968934</v>
          </cell>
          <cell r="DF27">
            <v>3161000</v>
          </cell>
          <cell r="DG27">
            <v>37340</v>
          </cell>
          <cell r="DH27">
            <v>84.654525977504022</v>
          </cell>
          <cell r="DI27">
            <v>22.1</v>
          </cell>
          <cell r="DJ27">
            <v>1689.5927601809954</v>
          </cell>
          <cell r="DK27">
            <v>7.4444444444444445E-3</v>
          </cell>
          <cell r="DL27">
            <v>1.46</v>
          </cell>
          <cell r="DM27">
            <v>39.69</v>
          </cell>
        </row>
        <row r="28">
          <cell r="B28" t="str">
            <v>Bourke Shire Council</v>
          </cell>
          <cell r="C28">
            <v>9</v>
          </cell>
          <cell r="D28">
            <v>182000</v>
          </cell>
          <cell r="E28">
            <v>1205</v>
          </cell>
          <cell r="F28">
            <v>151.03734439834025</v>
          </cell>
          <cell r="G28">
            <v>745000</v>
          </cell>
          <cell r="H28">
            <v>375</v>
          </cell>
          <cell r="I28">
            <v>1986.6666666666667</v>
          </cell>
          <cell r="J28">
            <v>40000</v>
          </cell>
          <cell r="K28">
            <v>141</v>
          </cell>
          <cell r="L28">
            <v>283.68794326241135</v>
          </cell>
          <cell r="M28">
            <v>442000</v>
          </cell>
          <cell r="N28">
            <v>4277000</v>
          </cell>
          <cell r="O28">
            <v>0.10334346504559271</v>
          </cell>
          <cell r="P28">
            <v>218000</v>
          </cell>
          <cell r="Q28">
            <v>2121000</v>
          </cell>
          <cell r="R28">
            <v>0.10278170674210278</v>
          </cell>
          <cell r="S28">
            <v>490000</v>
          </cell>
          <cell r="T28">
            <v>1448000</v>
          </cell>
          <cell r="U28">
            <v>0.33839779005524862</v>
          </cell>
          <cell r="V28">
            <v>2339000</v>
          </cell>
          <cell r="W28">
            <v>10965000</v>
          </cell>
          <cell r="X28">
            <v>0.21331509347925218</v>
          </cell>
          <cell r="Y28">
            <v>1938000</v>
          </cell>
          <cell r="Z28">
            <v>10965000</v>
          </cell>
          <cell r="AA28">
            <v>0.17674418604651163</v>
          </cell>
          <cell r="AB28">
            <v>202000</v>
          </cell>
          <cell r="AC28">
            <v>10965000</v>
          </cell>
          <cell r="AD28">
            <v>1.8422252621979024E-2</v>
          </cell>
          <cell r="AE28">
            <v>3936000</v>
          </cell>
          <cell r="AF28">
            <v>10965000</v>
          </cell>
          <cell r="AG28">
            <v>0.35896032831737346</v>
          </cell>
          <cell r="AH28">
            <v>2363000</v>
          </cell>
          <cell r="AI28">
            <v>10965000</v>
          </cell>
          <cell r="AJ28">
            <v>0.21550387596899226</v>
          </cell>
          <cell r="AK28">
            <v>187000</v>
          </cell>
          <cell r="AL28">
            <v>10965000</v>
          </cell>
          <cell r="AM28">
            <v>1.7054263565891473E-2</v>
          </cell>
          <cell r="AN28">
            <v>9697000</v>
          </cell>
          <cell r="AO28">
            <v>3905</v>
          </cell>
          <cell r="AP28">
            <v>2483.2266325224073</v>
          </cell>
          <cell r="AQ28">
            <v>5157000</v>
          </cell>
          <cell r="AR28">
            <v>12237000</v>
          </cell>
          <cell r="AS28">
            <v>0.4214268202990929</v>
          </cell>
          <cell r="AT28">
            <v>3251000</v>
          </cell>
          <cell r="AU28">
            <v>12237000</v>
          </cell>
          <cell r="AV28">
            <v>0.26566969028356624</v>
          </cell>
          <cell r="AW28">
            <v>228000</v>
          </cell>
          <cell r="AX28">
            <v>12237000</v>
          </cell>
          <cell r="AY28">
            <v>1.8632017651385144E-2</v>
          </cell>
          <cell r="AZ28">
            <v>2721000</v>
          </cell>
          <cell r="BA28">
            <v>12237000</v>
          </cell>
          <cell r="BB28">
            <v>0.22235842118166219</v>
          </cell>
          <cell r="BC28">
            <v>880000</v>
          </cell>
          <cell r="BD28">
            <v>12237000</v>
          </cell>
          <cell r="BE28">
            <v>7.1913050584293536E-2</v>
          </cell>
          <cell r="BF28">
            <v>10688000</v>
          </cell>
          <cell r="BG28">
            <v>3905</v>
          </cell>
          <cell r="BH28">
            <v>2737.0038412291933</v>
          </cell>
          <cell r="BI28">
            <v>2790000</v>
          </cell>
          <cell r="BJ28">
            <v>1557000</v>
          </cell>
          <cell r="BK28">
            <v>1.7919075144508672</v>
          </cell>
          <cell r="BL28">
            <v>839000</v>
          </cell>
          <cell r="BM28">
            <v>7490000</v>
          </cell>
          <cell r="BN28">
            <v>0.11201602136181575</v>
          </cell>
          <cell r="BO28">
            <v>-544000</v>
          </cell>
          <cell r="BP28">
            <v>2125000</v>
          </cell>
          <cell r="BQ28">
            <v>-0.25600000000000001</v>
          </cell>
          <cell r="BR28">
            <v>97</v>
          </cell>
          <cell r="BS28" t="str">
            <v>&lt;=16</v>
          </cell>
          <cell r="BT28" t="str">
            <v>&lt;=16</v>
          </cell>
          <cell r="BU28" t="str">
            <v>On Time</v>
          </cell>
          <cell r="BV28">
            <v>157000</v>
          </cell>
          <cell r="BW28">
            <v>3905</v>
          </cell>
          <cell r="BX28">
            <v>40.204865556978234</v>
          </cell>
          <cell r="BY28">
            <v>20139</v>
          </cell>
          <cell r="BZ28">
            <v>3905</v>
          </cell>
          <cell r="CA28">
            <v>5.1572343149807942</v>
          </cell>
          <cell r="CB28">
            <v>144000</v>
          </cell>
          <cell r="CC28">
            <v>1022</v>
          </cell>
          <cell r="CD28">
            <v>140.90019569471625</v>
          </cell>
          <cell r="CE28">
            <v>153000</v>
          </cell>
          <cell r="CF28">
            <v>1022</v>
          </cell>
          <cell r="CG28">
            <v>149.70645792563602</v>
          </cell>
          <cell r="CH28">
            <v>230000</v>
          </cell>
          <cell r="CI28">
            <v>3905</v>
          </cell>
          <cell r="CJ28">
            <v>58.898847631241999</v>
          </cell>
          <cell r="CK28">
            <v>2659800</v>
          </cell>
          <cell r="CL28">
            <v>3905</v>
          </cell>
          <cell r="CM28">
            <v>681.12676056338023</v>
          </cell>
          <cell r="CN28">
            <v>669</v>
          </cell>
          <cell r="CO28">
            <v>854.11764705882399</v>
          </cell>
          <cell r="CP28">
            <v>523.80151387720798</v>
          </cell>
          <cell r="CQ28">
            <v>391.37254901960802</v>
          </cell>
          <cell r="CR28">
            <v>84</v>
          </cell>
          <cell r="CS28">
            <v>922</v>
          </cell>
          <cell r="CT28">
            <v>84</v>
          </cell>
          <cell r="CU28">
            <v>10.976190476190476</v>
          </cell>
          <cell r="CV28">
            <v>7</v>
          </cell>
          <cell r="CW28">
            <v>30000</v>
          </cell>
          <cell r="CX28">
            <v>79000</v>
          </cell>
          <cell r="CY28">
            <v>0.379746835443038</v>
          </cell>
          <cell r="CZ28">
            <v>275000</v>
          </cell>
          <cell r="DA28">
            <v>3905</v>
          </cell>
          <cell r="DB28">
            <v>70.422535211267601</v>
          </cell>
          <cell r="DC28">
            <v>566000</v>
          </cell>
          <cell r="DD28">
            <v>3905</v>
          </cell>
          <cell r="DE28">
            <v>144.94238156209988</v>
          </cell>
          <cell r="DF28">
            <v>270000</v>
          </cell>
          <cell r="DG28">
            <v>3905</v>
          </cell>
          <cell r="DH28">
            <v>69.142125480153652</v>
          </cell>
          <cell r="DI28">
            <v>41678.6</v>
          </cell>
          <cell r="DJ28">
            <v>9.3693166277178219E-2</v>
          </cell>
          <cell r="DK28">
            <v>-1.8793503480278421E-2</v>
          </cell>
          <cell r="DL28">
            <v>25.47</v>
          </cell>
          <cell r="DM28">
            <v>1.51</v>
          </cell>
        </row>
        <row r="29">
          <cell r="B29" t="str">
            <v>Brewarrina Shire Council</v>
          </cell>
          <cell r="C29">
            <v>9</v>
          </cell>
          <cell r="D29">
            <v>40000</v>
          </cell>
          <cell r="E29">
            <v>487</v>
          </cell>
          <cell r="F29">
            <v>82.135523613963045</v>
          </cell>
          <cell r="G29">
            <v>504000</v>
          </cell>
          <cell r="H29">
            <v>387</v>
          </cell>
          <cell r="I29">
            <v>1302.3255813953488</v>
          </cell>
          <cell r="J29">
            <v>6000</v>
          </cell>
          <cell r="K29">
            <v>66</v>
          </cell>
          <cell r="L29">
            <v>90.909090909090907</v>
          </cell>
          <cell r="M29">
            <v>147000</v>
          </cell>
          <cell r="N29">
            <v>4358000</v>
          </cell>
          <cell r="O29">
            <v>3.3731069297843044E-2</v>
          </cell>
          <cell r="P29">
            <v>84000</v>
          </cell>
          <cell r="Q29">
            <v>1122000</v>
          </cell>
          <cell r="R29">
            <v>7.4866310160427801E-2</v>
          </cell>
          <cell r="S29">
            <v>1066000</v>
          </cell>
          <cell r="T29">
            <v>2086000</v>
          </cell>
          <cell r="U29">
            <v>0.51102588686481309</v>
          </cell>
          <cell r="V29">
            <v>1206000</v>
          </cell>
          <cell r="W29">
            <v>8362000</v>
          </cell>
          <cell r="X29">
            <v>0.1442238698875867</v>
          </cell>
          <cell r="Y29">
            <v>3152000</v>
          </cell>
          <cell r="Z29">
            <v>8362000</v>
          </cell>
          <cell r="AA29">
            <v>0.37694331499641232</v>
          </cell>
          <cell r="AB29">
            <v>150000</v>
          </cell>
          <cell r="AC29">
            <v>8362000</v>
          </cell>
          <cell r="AD29">
            <v>1.7938292274575461E-2</v>
          </cell>
          <cell r="AE29">
            <v>3354000</v>
          </cell>
          <cell r="AF29">
            <v>8362000</v>
          </cell>
          <cell r="AG29">
            <v>0.40110021525950729</v>
          </cell>
          <cell r="AH29">
            <v>472000</v>
          </cell>
          <cell r="AI29">
            <v>8362000</v>
          </cell>
          <cell r="AJ29">
            <v>5.6445826357330781E-2</v>
          </cell>
          <cell r="AK29">
            <v>28000</v>
          </cell>
          <cell r="AL29">
            <v>8362000</v>
          </cell>
          <cell r="AM29">
            <v>3.3484812245874193E-3</v>
          </cell>
          <cell r="AN29">
            <v>7374000</v>
          </cell>
          <cell r="AO29">
            <v>2178</v>
          </cell>
          <cell r="AP29">
            <v>3385.6749311294766</v>
          </cell>
          <cell r="AQ29">
            <v>3004000</v>
          </cell>
          <cell r="AR29">
            <v>7357000</v>
          </cell>
          <cell r="AS29">
            <v>0.40831860812831317</v>
          </cell>
          <cell r="AT29">
            <v>2066000</v>
          </cell>
          <cell r="AU29">
            <v>7357000</v>
          </cell>
          <cell r="AV29">
            <v>0.28082098681527795</v>
          </cell>
          <cell r="AW29">
            <v>40000</v>
          </cell>
          <cell r="AX29">
            <v>7357000</v>
          </cell>
          <cell r="AY29">
            <v>5.4369987766752755E-3</v>
          </cell>
          <cell r="AZ29">
            <v>1422000</v>
          </cell>
          <cell r="BA29">
            <v>7357000</v>
          </cell>
          <cell r="BB29">
            <v>0.19328530651080603</v>
          </cell>
          <cell r="BC29">
            <v>825000</v>
          </cell>
          <cell r="BD29">
            <v>7357000</v>
          </cell>
          <cell r="BE29">
            <v>0.11213809976892755</v>
          </cell>
          <cell r="BF29">
            <v>6763000</v>
          </cell>
          <cell r="BG29">
            <v>2178</v>
          </cell>
          <cell r="BH29">
            <v>3105.1423324150596</v>
          </cell>
          <cell r="BI29">
            <v>2308000</v>
          </cell>
          <cell r="BJ29">
            <v>939000</v>
          </cell>
          <cell r="BK29">
            <v>2.4579339723109692</v>
          </cell>
          <cell r="BL29">
            <v>83000</v>
          </cell>
          <cell r="BM29">
            <v>6447000</v>
          </cell>
          <cell r="BN29">
            <v>1.2874205056615479E-2</v>
          </cell>
          <cell r="BO29">
            <v>2810000</v>
          </cell>
          <cell r="BP29">
            <v>1325000</v>
          </cell>
          <cell r="BQ29">
            <v>2.120754716981132</v>
          </cell>
          <cell r="BR29">
            <v>58</v>
          </cell>
          <cell r="BS29" t="str">
            <v>On Time</v>
          </cell>
          <cell r="BT29" t="str">
            <v>On Time</v>
          </cell>
          <cell r="BU29" t="str">
            <v>On Time</v>
          </cell>
          <cell r="BV29">
            <v>54000</v>
          </cell>
          <cell r="BW29">
            <v>2178</v>
          </cell>
          <cell r="BX29">
            <v>24.793388429752067</v>
          </cell>
          <cell r="BY29">
            <v>1517</v>
          </cell>
          <cell r="BZ29">
            <v>2178</v>
          </cell>
          <cell r="CA29">
            <v>0.69651056014692381</v>
          </cell>
          <cell r="CB29">
            <v>90000</v>
          </cell>
          <cell r="CC29">
            <v>491</v>
          </cell>
          <cell r="CD29">
            <v>183.29938900203666</v>
          </cell>
          <cell r="CE29">
            <v>82420</v>
          </cell>
          <cell r="CF29">
            <v>491</v>
          </cell>
          <cell r="CG29">
            <v>167.86150712830957</v>
          </cell>
          <cell r="CI29">
            <v>2178</v>
          </cell>
          <cell r="CJ29" t="str">
            <v>N/A</v>
          </cell>
          <cell r="CK29">
            <v>416000</v>
          </cell>
          <cell r="CL29">
            <v>2178</v>
          </cell>
          <cell r="CM29">
            <v>191.00091827364554</v>
          </cell>
          <cell r="CN29">
            <v>539.68007454573706</v>
          </cell>
          <cell r="CO29">
            <v>738.93473368342097</v>
          </cell>
          <cell r="CP29">
            <v>255.54484088717501</v>
          </cell>
          <cell r="CQ29">
            <v>393.14516129032302</v>
          </cell>
          <cell r="CR29">
            <v>35</v>
          </cell>
          <cell r="CS29">
            <v>700</v>
          </cell>
          <cell r="CT29">
            <v>35</v>
          </cell>
          <cell r="CU29">
            <v>20</v>
          </cell>
          <cell r="CV29">
            <v>22</v>
          </cell>
          <cell r="CW29">
            <v>0</v>
          </cell>
          <cell r="CX29">
            <v>54000</v>
          </cell>
          <cell r="CY29">
            <v>0</v>
          </cell>
          <cell r="CZ29">
            <v>156000</v>
          </cell>
          <cell r="DA29">
            <v>2178</v>
          </cell>
          <cell r="DB29">
            <v>71.625344352617077</v>
          </cell>
          <cell r="DC29">
            <v>279000</v>
          </cell>
          <cell r="DD29">
            <v>2178</v>
          </cell>
          <cell r="DE29">
            <v>128.099173553719</v>
          </cell>
          <cell r="DF29">
            <v>426000</v>
          </cell>
          <cell r="DG29">
            <v>2178</v>
          </cell>
          <cell r="DH29">
            <v>195.5922865013774</v>
          </cell>
          <cell r="DI29">
            <v>19188</v>
          </cell>
          <cell r="DJ29">
            <v>0.11350844277673545</v>
          </cell>
          <cell r="DK29">
            <v>-2E-3</v>
          </cell>
          <cell r="DL29">
            <v>54.4</v>
          </cell>
          <cell r="DM29">
            <v>1.87</v>
          </cell>
        </row>
        <row r="30">
          <cell r="B30" t="str">
            <v>Broken Hill City Council</v>
          </cell>
          <cell r="C30">
            <v>4</v>
          </cell>
          <cell r="D30">
            <v>3776000</v>
          </cell>
          <cell r="E30">
            <v>9473</v>
          </cell>
          <cell r="F30">
            <v>398.60656602976883</v>
          </cell>
          <cell r="G30">
            <v>7000</v>
          </cell>
          <cell r="H30">
            <v>12</v>
          </cell>
          <cell r="I30">
            <v>583.33333333333337</v>
          </cell>
          <cell r="J30">
            <v>1604000</v>
          </cell>
          <cell r="K30">
            <v>649</v>
          </cell>
          <cell r="L30">
            <v>2471.4946070878273</v>
          </cell>
          <cell r="M30">
            <v>847000</v>
          </cell>
          <cell r="N30">
            <v>12006000</v>
          </cell>
          <cell r="O30">
            <v>7.0548059303681493E-2</v>
          </cell>
          <cell r="P30">
            <v>326000</v>
          </cell>
          <cell r="Q30">
            <v>8961000</v>
          </cell>
          <cell r="R30">
            <v>3.6379868318268054E-2</v>
          </cell>
          <cell r="S30">
            <v>-75000</v>
          </cell>
          <cell r="T30">
            <v>2794000</v>
          </cell>
          <cell r="U30">
            <v>-2.6843235504652826E-2</v>
          </cell>
          <cell r="V30">
            <v>9287000</v>
          </cell>
          <cell r="W30">
            <v>20228000</v>
          </cell>
          <cell r="X30">
            <v>0.45911607672533122</v>
          </cell>
          <cell r="Y30">
            <v>2719000</v>
          </cell>
          <cell r="Z30">
            <v>20228000</v>
          </cell>
          <cell r="AA30">
            <v>0.13441763891635358</v>
          </cell>
          <cell r="AB30">
            <v>467000</v>
          </cell>
          <cell r="AC30">
            <v>20228000</v>
          </cell>
          <cell r="AD30">
            <v>2.308681036187463E-2</v>
          </cell>
          <cell r="AE30">
            <v>6726000</v>
          </cell>
          <cell r="AF30">
            <v>20228000</v>
          </cell>
          <cell r="AG30">
            <v>0.33250939292070397</v>
          </cell>
          <cell r="AH30">
            <v>949000</v>
          </cell>
          <cell r="AI30">
            <v>20228000</v>
          </cell>
          <cell r="AJ30">
            <v>4.691516709511568E-2</v>
          </cell>
          <cell r="AK30">
            <v>80000</v>
          </cell>
          <cell r="AL30">
            <v>20228000</v>
          </cell>
          <cell r="AM30">
            <v>3.9549139806209213E-3</v>
          </cell>
          <cell r="AN30">
            <v>19715000</v>
          </cell>
          <cell r="AO30">
            <v>21156</v>
          </cell>
          <cell r="AP30">
            <v>931.88693514842123</v>
          </cell>
          <cell r="AQ30">
            <v>10075000</v>
          </cell>
          <cell r="AR30">
            <v>23206000</v>
          </cell>
          <cell r="AS30">
            <v>0.43415495992415754</v>
          </cell>
          <cell r="AT30">
            <v>3337000</v>
          </cell>
          <cell r="AU30">
            <v>23206000</v>
          </cell>
          <cell r="AV30">
            <v>0.1437990174954753</v>
          </cell>
          <cell r="AW30">
            <v>3000</v>
          </cell>
          <cell r="AX30">
            <v>23206000</v>
          </cell>
          <cell r="AY30">
            <v>1.2927691114366974E-4</v>
          </cell>
          <cell r="AZ30">
            <v>6702000</v>
          </cell>
          <cell r="BA30">
            <v>23206000</v>
          </cell>
          <cell r="BB30">
            <v>0.28880461949495823</v>
          </cell>
          <cell r="BC30">
            <v>3089000</v>
          </cell>
          <cell r="BD30">
            <v>23206000</v>
          </cell>
          <cell r="BE30">
            <v>0.13311212617426527</v>
          </cell>
          <cell r="BF30">
            <v>23243000</v>
          </cell>
          <cell r="BG30">
            <v>21156</v>
          </cell>
          <cell r="BH30">
            <v>1098.648137644167</v>
          </cell>
          <cell r="BI30">
            <v>8867000</v>
          </cell>
          <cell r="BJ30">
            <v>3455000</v>
          </cell>
          <cell r="BK30">
            <v>2.5664254703328511</v>
          </cell>
          <cell r="BL30">
            <v>3000</v>
          </cell>
          <cell r="BM30">
            <v>15807000</v>
          </cell>
          <cell r="BN30">
            <v>1.8978933383943821E-4</v>
          </cell>
          <cell r="BO30">
            <v>2024000</v>
          </cell>
          <cell r="BP30">
            <v>6702000</v>
          </cell>
          <cell r="BQ30">
            <v>0.30199940316323487</v>
          </cell>
          <cell r="BR30">
            <v>245</v>
          </cell>
          <cell r="BS30" t="str">
            <v>On Time</v>
          </cell>
          <cell r="BT30" t="str">
            <v>On Time</v>
          </cell>
          <cell r="BU30" t="str">
            <v>On Time</v>
          </cell>
          <cell r="BV30">
            <v>764000</v>
          </cell>
          <cell r="BW30">
            <v>21156</v>
          </cell>
          <cell r="BX30">
            <v>36.11268670826243</v>
          </cell>
          <cell r="BY30">
            <v>171358</v>
          </cell>
          <cell r="BZ30">
            <v>21156</v>
          </cell>
          <cell r="CA30">
            <v>8.0997352996785779</v>
          </cell>
          <cell r="CB30">
            <v>972000</v>
          </cell>
          <cell r="CC30">
            <v>9037</v>
          </cell>
          <cell r="CD30">
            <v>107.55781785990926</v>
          </cell>
          <cell r="CE30">
            <v>634000</v>
          </cell>
          <cell r="CF30">
            <v>9435</v>
          </cell>
          <cell r="CG30">
            <v>67.196608373078959</v>
          </cell>
          <cell r="CH30">
            <v>9000</v>
          </cell>
          <cell r="CI30">
            <v>21156</v>
          </cell>
          <cell r="CJ30">
            <v>0.42541123085649463</v>
          </cell>
          <cell r="CK30">
            <v>8646000</v>
          </cell>
          <cell r="CL30">
            <v>21156</v>
          </cell>
          <cell r="CM30">
            <v>408.6783891094725</v>
          </cell>
          <cell r="CN30" t="str">
            <v>N/A</v>
          </cell>
          <cell r="CO30" t="str">
            <v>N/A</v>
          </cell>
          <cell r="CP30" t="str">
            <v>N/A</v>
          </cell>
          <cell r="CQ30" t="str">
            <v>N/A</v>
          </cell>
          <cell r="CR30">
            <v>392</v>
          </cell>
          <cell r="CS30">
            <v>1489</v>
          </cell>
          <cell r="CT30">
            <v>392</v>
          </cell>
          <cell r="CU30">
            <v>3.7984693877551021</v>
          </cell>
          <cell r="CV30">
            <v>3</v>
          </cell>
          <cell r="CW30">
            <v>0</v>
          </cell>
          <cell r="CX30">
            <v>274000</v>
          </cell>
          <cell r="CY30">
            <v>0</v>
          </cell>
          <cell r="CZ30">
            <v>496000</v>
          </cell>
          <cell r="DA30">
            <v>21156</v>
          </cell>
          <cell r="DB30">
            <v>23.444885611646814</v>
          </cell>
          <cell r="DC30">
            <v>1671000</v>
          </cell>
          <cell r="DD30">
            <v>21156</v>
          </cell>
          <cell r="DE30">
            <v>78.984685195689167</v>
          </cell>
          <cell r="DF30">
            <v>3400000</v>
          </cell>
          <cell r="DG30">
            <v>21156</v>
          </cell>
          <cell r="DH30">
            <v>160.71090943467576</v>
          </cell>
          <cell r="DI30">
            <v>170.4</v>
          </cell>
          <cell r="DJ30">
            <v>124.15492957746478</v>
          </cell>
          <cell r="DK30">
            <v>-2.1618887015177064E-2</v>
          </cell>
          <cell r="DL30">
            <v>3.47</v>
          </cell>
          <cell r="DM30">
            <v>2.34</v>
          </cell>
        </row>
        <row r="31">
          <cell r="B31" t="str">
            <v>Burwood Council</v>
          </cell>
          <cell r="C31">
            <v>2</v>
          </cell>
          <cell r="D31">
            <v>5577000</v>
          </cell>
          <cell r="E31">
            <v>9811</v>
          </cell>
          <cell r="F31">
            <v>568.44358373254511</v>
          </cell>
          <cell r="G31">
            <v>0</v>
          </cell>
          <cell r="H31">
            <v>0</v>
          </cell>
          <cell r="I31" t="str">
            <v>N/A</v>
          </cell>
          <cell r="J31">
            <v>1667000</v>
          </cell>
          <cell r="K31">
            <v>766</v>
          </cell>
          <cell r="L31">
            <v>2176.2402088772847</v>
          </cell>
          <cell r="M31">
            <v>442000</v>
          </cell>
          <cell r="N31">
            <v>12300000</v>
          </cell>
          <cell r="O31">
            <v>3.5934959349593495E-2</v>
          </cell>
          <cell r="P31">
            <v>584000</v>
          </cell>
          <cell r="Q31">
            <v>8985000</v>
          </cell>
          <cell r="R31">
            <v>6.4997217584863667E-2</v>
          </cell>
          <cell r="S31">
            <v>-380000</v>
          </cell>
          <cell r="T31">
            <v>3111000</v>
          </cell>
          <cell r="U31">
            <v>-0.12214721954355513</v>
          </cell>
          <cell r="V31">
            <v>9569000</v>
          </cell>
          <cell r="W31">
            <v>16205000</v>
          </cell>
          <cell r="X31">
            <v>0.5904967602591793</v>
          </cell>
          <cell r="Y31">
            <v>2731000</v>
          </cell>
          <cell r="Z31">
            <v>16205000</v>
          </cell>
          <cell r="AA31">
            <v>0.16852823202715211</v>
          </cell>
          <cell r="AB31">
            <v>785000</v>
          </cell>
          <cell r="AC31">
            <v>16205000</v>
          </cell>
          <cell r="AD31">
            <v>4.8441838938599199E-2</v>
          </cell>
          <cell r="AE31">
            <v>1902000</v>
          </cell>
          <cell r="AF31">
            <v>16205000</v>
          </cell>
          <cell r="AG31">
            <v>0.1173711817340327</v>
          </cell>
          <cell r="AH31">
            <v>613000</v>
          </cell>
          <cell r="AI31">
            <v>16205000</v>
          </cell>
          <cell r="AJ31">
            <v>3.782783091638383E-2</v>
          </cell>
          <cell r="AK31">
            <v>605000</v>
          </cell>
          <cell r="AL31">
            <v>16205000</v>
          </cell>
          <cell r="AM31">
            <v>3.7334156124652886E-2</v>
          </cell>
          <cell r="AN31">
            <v>16056000</v>
          </cell>
          <cell r="AO31">
            <v>30802</v>
          </cell>
          <cell r="AP31">
            <v>521.26485293162784</v>
          </cell>
          <cell r="AQ31">
            <v>6174000</v>
          </cell>
          <cell r="AR31">
            <v>18783000</v>
          </cell>
          <cell r="AS31">
            <v>0.32870148538572114</v>
          </cell>
          <cell r="AT31">
            <v>5047000</v>
          </cell>
          <cell r="AU31">
            <v>18783000</v>
          </cell>
          <cell r="AV31">
            <v>0.26870042059308952</v>
          </cell>
          <cell r="AW31">
            <v>292000</v>
          </cell>
          <cell r="AX31">
            <v>18783000</v>
          </cell>
          <cell r="AY31">
            <v>1.554597242187084E-2</v>
          </cell>
          <cell r="AZ31">
            <v>2892000</v>
          </cell>
          <cell r="BA31">
            <v>18783000</v>
          </cell>
          <cell r="BB31">
            <v>0.15396901453441941</v>
          </cell>
          <cell r="BC31">
            <v>4378000</v>
          </cell>
          <cell r="BD31">
            <v>18783000</v>
          </cell>
          <cell r="BE31">
            <v>0.2330831070648991</v>
          </cell>
          <cell r="BF31">
            <v>18783000</v>
          </cell>
          <cell r="BG31">
            <v>30802</v>
          </cell>
          <cell r="BH31">
            <v>609.79806506071031</v>
          </cell>
          <cell r="BI31">
            <v>10506000</v>
          </cell>
          <cell r="BJ31">
            <v>4514000</v>
          </cell>
          <cell r="BK31">
            <v>2.3274257864421797</v>
          </cell>
          <cell r="BL31">
            <v>669000</v>
          </cell>
          <cell r="BM31">
            <v>15140000</v>
          </cell>
          <cell r="BN31">
            <v>4.4187582562747685E-2</v>
          </cell>
          <cell r="BO31">
            <v>3189000</v>
          </cell>
          <cell r="BP31">
            <v>2892000</v>
          </cell>
          <cell r="BQ31">
            <v>1.1026970954356847</v>
          </cell>
          <cell r="BR31">
            <v>156</v>
          </cell>
          <cell r="BS31" t="str">
            <v>On Time</v>
          </cell>
          <cell r="BT31" t="str">
            <v>On Time</v>
          </cell>
          <cell r="BU31" t="str">
            <v>&lt;=2</v>
          </cell>
          <cell r="BV31">
            <v>914000</v>
          </cell>
          <cell r="BW31">
            <v>30802</v>
          </cell>
          <cell r="BX31">
            <v>29.673397831309654</v>
          </cell>
          <cell r="BY31">
            <v>242960</v>
          </cell>
          <cell r="BZ31">
            <v>30802</v>
          </cell>
          <cell r="CA31">
            <v>7.8877994935393803</v>
          </cell>
          <cell r="CB31">
            <v>2325000</v>
          </cell>
          <cell r="CC31">
            <v>10134</v>
          </cell>
          <cell r="CD31">
            <v>229.42569567791594</v>
          </cell>
          <cell r="CE31">
            <v>2141985</v>
          </cell>
          <cell r="CF31">
            <v>10134</v>
          </cell>
          <cell r="CG31">
            <v>211.36619301361753</v>
          </cell>
          <cell r="CH31">
            <v>2576320</v>
          </cell>
          <cell r="CI31">
            <v>30802</v>
          </cell>
          <cell r="CJ31">
            <v>83.641321992078431</v>
          </cell>
          <cell r="CK31">
            <v>7749000</v>
          </cell>
          <cell r="CL31">
            <v>30802</v>
          </cell>
          <cell r="CM31">
            <v>251.57457307967016</v>
          </cell>
          <cell r="CN31" t="str">
            <v>N/A</v>
          </cell>
          <cell r="CO31" t="str">
            <v>N/A</v>
          </cell>
          <cell r="CP31" t="str">
            <v>N/A</v>
          </cell>
          <cell r="CQ31" t="str">
            <v>N/A</v>
          </cell>
          <cell r="CR31">
            <v>387</v>
          </cell>
          <cell r="CS31">
            <v>15805</v>
          </cell>
          <cell r="CT31">
            <v>387</v>
          </cell>
          <cell r="CU31">
            <v>40.839793281653748</v>
          </cell>
          <cell r="CV31">
            <v>35</v>
          </cell>
          <cell r="CW31">
            <v>184000</v>
          </cell>
          <cell r="CX31">
            <v>1067000</v>
          </cell>
          <cell r="CY31">
            <v>0.17244611059044049</v>
          </cell>
          <cell r="CZ31">
            <v>168000</v>
          </cell>
          <cell r="DA31">
            <v>30802</v>
          </cell>
          <cell r="DB31">
            <v>5.4541912862801114</v>
          </cell>
          <cell r="DC31">
            <v>1228000</v>
          </cell>
          <cell r="DD31">
            <v>30802</v>
          </cell>
          <cell r="DE31">
            <v>39.867541068761767</v>
          </cell>
          <cell r="DF31">
            <v>870000</v>
          </cell>
          <cell r="DG31">
            <v>30802</v>
          </cell>
          <cell r="DH31">
            <v>28.244919161093435</v>
          </cell>
          <cell r="DI31">
            <v>7.2</v>
          </cell>
          <cell r="DJ31">
            <v>4278.0555555555557</v>
          </cell>
          <cell r="DK31">
            <v>9.8943781942078361E-3</v>
          </cell>
          <cell r="DL31">
            <v>0.37</v>
          </cell>
          <cell r="DM31">
            <v>39.92</v>
          </cell>
        </row>
        <row r="32">
          <cell r="B32" t="str">
            <v>Byron Shire Council</v>
          </cell>
          <cell r="C32">
            <v>4</v>
          </cell>
          <cell r="D32">
            <v>5002000</v>
          </cell>
          <cell r="E32">
            <v>11515</v>
          </cell>
          <cell r="F32">
            <v>434.38992618323925</v>
          </cell>
          <cell r="G32">
            <v>763000</v>
          </cell>
          <cell r="H32">
            <v>933</v>
          </cell>
          <cell r="I32">
            <v>817.79206859592716</v>
          </cell>
          <cell r="J32">
            <v>961000</v>
          </cell>
          <cell r="K32">
            <v>814</v>
          </cell>
          <cell r="L32">
            <v>1180.5896805896805</v>
          </cell>
          <cell r="M32">
            <v>3365000</v>
          </cell>
          <cell r="N32">
            <v>26035000</v>
          </cell>
          <cell r="O32">
            <v>0.12924908776646821</v>
          </cell>
          <cell r="P32">
            <v>602000</v>
          </cell>
          <cell r="Q32">
            <v>12876000</v>
          </cell>
          <cell r="R32">
            <v>4.6753650201926067E-2</v>
          </cell>
          <cell r="S32">
            <v>1125000</v>
          </cell>
          <cell r="T32">
            <v>11432000</v>
          </cell>
          <cell r="U32">
            <v>9.8407977606717989E-2</v>
          </cell>
          <cell r="V32">
            <v>13478000</v>
          </cell>
          <cell r="W32">
            <v>39537000</v>
          </cell>
          <cell r="X32">
            <v>0.34089586969168123</v>
          </cell>
          <cell r="Y32">
            <v>12557000</v>
          </cell>
          <cell r="Z32">
            <v>39537000</v>
          </cell>
          <cell r="AA32">
            <v>0.31760123428687054</v>
          </cell>
          <cell r="AB32">
            <v>2057000</v>
          </cell>
          <cell r="AC32">
            <v>39537000</v>
          </cell>
          <cell r="AD32">
            <v>5.2027215013784558E-2</v>
          </cell>
          <cell r="AE32">
            <v>5525000</v>
          </cell>
          <cell r="AF32">
            <v>39537000</v>
          </cell>
          <cell r="AG32">
            <v>0.1397425196651238</v>
          </cell>
          <cell r="AH32">
            <v>5272000</v>
          </cell>
          <cell r="AI32">
            <v>39537000</v>
          </cell>
          <cell r="AJ32">
            <v>0.13334345043882945</v>
          </cell>
          <cell r="AK32">
            <v>648000</v>
          </cell>
          <cell r="AL32">
            <v>39537000</v>
          </cell>
          <cell r="AM32">
            <v>1.6389710903710449E-2</v>
          </cell>
          <cell r="AN32">
            <v>23649000</v>
          </cell>
          <cell r="AO32">
            <v>29576</v>
          </cell>
          <cell r="AP32">
            <v>799.60102786042739</v>
          </cell>
          <cell r="AQ32">
            <v>10687000</v>
          </cell>
          <cell r="AR32">
            <v>34551000</v>
          </cell>
          <cell r="AS32">
            <v>0.30931087378078781</v>
          </cell>
          <cell r="AT32">
            <v>12269000</v>
          </cell>
          <cell r="AU32">
            <v>34551000</v>
          </cell>
          <cell r="AV32">
            <v>0.35509826054238663</v>
          </cell>
          <cell r="AW32">
            <v>926000</v>
          </cell>
          <cell r="AX32">
            <v>34551000</v>
          </cell>
          <cell r="AY32">
            <v>2.6800960898382103E-2</v>
          </cell>
          <cell r="AZ32">
            <v>6938000</v>
          </cell>
          <cell r="BA32">
            <v>34551000</v>
          </cell>
          <cell r="BB32">
            <v>0.20080460768139852</v>
          </cell>
          <cell r="BC32">
            <v>3731000</v>
          </cell>
          <cell r="BD32">
            <v>34551000</v>
          </cell>
          <cell r="BE32">
            <v>0.10798529709704495</v>
          </cell>
          <cell r="BF32">
            <v>26433000</v>
          </cell>
          <cell r="BG32">
            <v>29576</v>
          </cell>
          <cell r="BH32">
            <v>893.73140384095211</v>
          </cell>
          <cell r="BI32">
            <v>5902000</v>
          </cell>
          <cell r="BJ32">
            <v>5134000</v>
          </cell>
          <cell r="BK32">
            <v>1.1495909622126996</v>
          </cell>
          <cell r="BL32">
            <v>3007000</v>
          </cell>
          <cell r="BM32">
            <v>31029000</v>
          </cell>
          <cell r="BN32">
            <v>9.6909342872796414E-2</v>
          </cell>
          <cell r="BO32">
            <v>3930000</v>
          </cell>
          <cell r="BP32">
            <v>5557000</v>
          </cell>
          <cell r="BQ32">
            <v>0.70721612380780996</v>
          </cell>
          <cell r="BR32">
            <v>230</v>
          </cell>
          <cell r="BS32" t="str">
            <v>On Time</v>
          </cell>
          <cell r="BT32" t="str">
            <v>On Time</v>
          </cell>
          <cell r="BU32" t="str">
            <v>On Time</v>
          </cell>
          <cell r="BV32">
            <v>553000</v>
          </cell>
          <cell r="BW32">
            <v>29576</v>
          </cell>
          <cell r="BX32">
            <v>18.697592642683258</v>
          </cell>
          <cell r="BY32">
            <v>237061</v>
          </cell>
          <cell r="BZ32">
            <v>29576</v>
          </cell>
          <cell r="CA32">
            <v>8.0153164728157957</v>
          </cell>
          <cell r="CB32">
            <v>1528000</v>
          </cell>
          <cell r="CC32">
            <v>8677</v>
          </cell>
          <cell r="CD32">
            <v>176.09772963005648</v>
          </cell>
          <cell r="CE32">
            <v>705200</v>
          </cell>
          <cell r="CF32">
            <v>8677</v>
          </cell>
          <cell r="CG32">
            <v>81.272329146018208</v>
          </cell>
          <cell r="CH32">
            <v>2318000</v>
          </cell>
          <cell r="CI32">
            <v>29576</v>
          </cell>
          <cell r="CJ32">
            <v>78.374357587232893</v>
          </cell>
          <cell r="CK32">
            <v>4542000</v>
          </cell>
          <cell r="CL32">
            <v>29576</v>
          </cell>
          <cell r="CM32">
            <v>153.57046253719233</v>
          </cell>
          <cell r="CN32">
            <v>300.23835716905</v>
          </cell>
          <cell r="CO32">
            <v>333.60277744256098</v>
          </cell>
          <cell r="CP32">
            <v>421.49246704331398</v>
          </cell>
          <cell r="CQ32">
            <v>550.72916666666697</v>
          </cell>
          <cell r="CR32">
            <v>722</v>
          </cell>
          <cell r="CS32">
            <v>66110</v>
          </cell>
          <cell r="CT32">
            <v>722</v>
          </cell>
          <cell r="CU32">
            <v>91.56509695290859</v>
          </cell>
          <cell r="CV32">
            <v>49</v>
          </cell>
          <cell r="CW32">
            <v>538000</v>
          </cell>
          <cell r="CX32">
            <v>2516000</v>
          </cell>
          <cell r="CY32">
            <v>0.2138314785373609</v>
          </cell>
          <cell r="CZ32">
            <v>1076000</v>
          </cell>
          <cell r="DA32">
            <v>29576</v>
          </cell>
          <cell r="DB32">
            <v>36.380849337300511</v>
          </cell>
          <cell r="DC32">
            <v>754000</v>
          </cell>
          <cell r="DD32">
            <v>29576</v>
          </cell>
          <cell r="DE32">
            <v>25.493643494725454</v>
          </cell>
          <cell r="DF32">
            <v>1444000</v>
          </cell>
          <cell r="DG32">
            <v>29576</v>
          </cell>
          <cell r="DH32">
            <v>48.82337030024344</v>
          </cell>
          <cell r="DI32">
            <v>566.79999999999995</v>
          </cell>
          <cell r="DJ32">
            <v>52.180663373323931</v>
          </cell>
          <cell r="DK32">
            <v>1.7710710342289288E-2</v>
          </cell>
          <cell r="DL32">
            <v>1.27</v>
          </cell>
          <cell r="DM32">
            <v>4.8600000000000003</v>
          </cell>
        </row>
        <row r="33">
          <cell r="B33" t="str">
            <v>Cabonne Shire Council</v>
          </cell>
          <cell r="C33">
            <v>11</v>
          </cell>
          <cell r="D33">
            <v>1334000</v>
          </cell>
          <cell r="E33">
            <v>3738</v>
          </cell>
          <cell r="F33">
            <v>356.87533440342429</v>
          </cell>
          <cell r="G33">
            <v>3210000</v>
          </cell>
          <cell r="H33">
            <v>1889</v>
          </cell>
          <cell r="I33">
            <v>1699.3118051879301</v>
          </cell>
          <cell r="J33">
            <v>88000</v>
          </cell>
          <cell r="K33">
            <v>356</v>
          </cell>
          <cell r="L33">
            <v>247.19101123595505</v>
          </cell>
          <cell r="M33">
            <v>484000</v>
          </cell>
          <cell r="N33">
            <v>12028000</v>
          </cell>
          <cell r="O33">
            <v>4.0239441303624876E-2</v>
          </cell>
          <cell r="P33">
            <v>928000</v>
          </cell>
          <cell r="Q33">
            <v>6568000</v>
          </cell>
          <cell r="R33">
            <v>0.14129110840438489</v>
          </cell>
          <cell r="S33">
            <v>592000</v>
          </cell>
          <cell r="T33">
            <v>3940000</v>
          </cell>
          <cell r="U33">
            <v>0.150253807106599</v>
          </cell>
          <cell r="V33">
            <v>7496000</v>
          </cell>
          <cell r="W33">
            <v>25044000</v>
          </cell>
          <cell r="X33">
            <v>0.29931320875259543</v>
          </cell>
          <cell r="Y33">
            <v>4532000</v>
          </cell>
          <cell r="Z33">
            <v>25044000</v>
          </cell>
          <cell r="AA33">
            <v>0.18096150774636641</v>
          </cell>
          <cell r="AB33">
            <v>863000</v>
          </cell>
          <cell r="AC33">
            <v>25044000</v>
          </cell>
          <cell r="AD33">
            <v>3.4459351541287334E-2</v>
          </cell>
          <cell r="AE33">
            <v>7048000</v>
          </cell>
          <cell r="AF33">
            <v>25044000</v>
          </cell>
          <cell r="AG33">
            <v>0.28142469254112762</v>
          </cell>
          <cell r="AH33">
            <v>2758000</v>
          </cell>
          <cell r="AI33">
            <v>25044000</v>
          </cell>
          <cell r="AJ33">
            <v>0.11012617792684874</v>
          </cell>
          <cell r="AK33">
            <v>2347000</v>
          </cell>
          <cell r="AL33">
            <v>25044000</v>
          </cell>
          <cell r="AM33">
            <v>9.3715061491774471E-2</v>
          </cell>
          <cell r="AN33">
            <v>20064000</v>
          </cell>
          <cell r="AO33">
            <v>12558</v>
          </cell>
          <cell r="AP33">
            <v>1597.7066411849021</v>
          </cell>
          <cell r="AQ33">
            <v>7829000</v>
          </cell>
          <cell r="AR33">
            <v>22553000</v>
          </cell>
          <cell r="AS33">
            <v>0.34713785305724293</v>
          </cell>
          <cell r="AT33">
            <v>5979000</v>
          </cell>
          <cell r="AU33">
            <v>22553000</v>
          </cell>
          <cell r="AV33">
            <v>0.26510885469782292</v>
          </cell>
          <cell r="AW33">
            <v>262000</v>
          </cell>
          <cell r="AX33">
            <v>22553000</v>
          </cell>
          <cell r="AY33">
            <v>1.1617079767658404E-2</v>
          </cell>
          <cell r="AZ33">
            <v>6668000</v>
          </cell>
          <cell r="BA33">
            <v>22553000</v>
          </cell>
          <cell r="BB33">
            <v>0.29565911408681772</v>
          </cell>
          <cell r="BC33">
            <v>1815000</v>
          </cell>
          <cell r="BD33">
            <v>22553000</v>
          </cell>
          <cell r="BE33">
            <v>8.0477098390458038E-2</v>
          </cell>
          <cell r="BF33">
            <v>21333000</v>
          </cell>
          <cell r="BG33">
            <v>12558</v>
          </cell>
          <cell r="BH33">
            <v>1698.7577639751553</v>
          </cell>
          <cell r="BI33">
            <v>8087000</v>
          </cell>
          <cell r="BJ33">
            <v>3190000</v>
          </cell>
          <cell r="BK33">
            <v>2.5351097178683384</v>
          </cell>
          <cell r="BL33">
            <v>700000</v>
          </cell>
          <cell r="BM33">
            <v>18501000</v>
          </cell>
          <cell r="BN33">
            <v>3.7835792659856225E-2</v>
          </cell>
          <cell r="BO33">
            <v>7285000</v>
          </cell>
          <cell r="BP33">
            <v>6328000</v>
          </cell>
          <cell r="BQ33">
            <v>1.1512326169405815</v>
          </cell>
          <cell r="BR33">
            <v>175</v>
          </cell>
          <cell r="BS33" t="str">
            <v>&lt;=4</v>
          </cell>
          <cell r="BT33" t="str">
            <v>&lt;=4</v>
          </cell>
          <cell r="BU33" t="str">
            <v>On Time</v>
          </cell>
          <cell r="BV33">
            <v>153000</v>
          </cell>
          <cell r="BW33">
            <v>12558</v>
          </cell>
          <cell r="BX33">
            <v>12.183468705207835</v>
          </cell>
          <cell r="BY33">
            <v>35431</v>
          </cell>
          <cell r="BZ33">
            <v>12558</v>
          </cell>
          <cell r="CA33">
            <v>2.8213887561713649</v>
          </cell>
          <cell r="CB33">
            <v>394000</v>
          </cell>
          <cell r="CC33">
            <v>2289</v>
          </cell>
          <cell r="CD33">
            <v>172.12756662297946</v>
          </cell>
          <cell r="CE33">
            <v>190839</v>
          </cell>
          <cell r="CF33">
            <v>2392</v>
          </cell>
          <cell r="CG33">
            <v>79.782190635451499</v>
          </cell>
          <cell r="CH33">
            <v>112000</v>
          </cell>
          <cell r="CI33">
            <v>12558</v>
          </cell>
          <cell r="CJ33">
            <v>8.9186176142697882</v>
          </cell>
          <cell r="CK33">
            <v>2600000</v>
          </cell>
          <cell r="CL33">
            <v>12558</v>
          </cell>
          <cell r="CM33">
            <v>207.03933747412009</v>
          </cell>
          <cell r="CN33">
            <v>592.16240455742695</v>
          </cell>
          <cell r="CO33">
            <v>608.29676904666906</v>
          </cell>
          <cell r="CP33">
            <v>431</v>
          </cell>
          <cell r="CQ33">
            <v>302.98913043478302</v>
          </cell>
          <cell r="CR33">
            <v>315</v>
          </cell>
          <cell r="CS33">
            <v>10832</v>
          </cell>
          <cell r="CT33">
            <v>315</v>
          </cell>
          <cell r="CU33">
            <v>34.387301587301586</v>
          </cell>
          <cell r="CV33">
            <v>21</v>
          </cell>
          <cell r="CW33">
            <v>11000</v>
          </cell>
          <cell r="CX33">
            <v>394000</v>
          </cell>
          <cell r="CY33">
            <v>2.7918781725888325E-2</v>
          </cell>
          <cell r="CZ33">
            <v>633000</v>
          </cell>
          <cell r="DA33">
            <v>12558</v>
          </cell>
          <cell r="DB33">
            <v>50.406115623506928</v>
          </cell>
          <cell r="DC33">
            <v>399000</v>
          </cell>
          <cell r="DD33">
            <v>12558</v>
          </cell>
          <cell r="DE33">
            <v>31.77257525083612</v>
          </cell>
          <cell r="DF33">
            <v>1290000</v>
          </cell>
          <cell r="DG33">
            <v>12558</v>
          </cell>
          <cell r="DH33">
            <v>102.72336359292881</v>
          </cell>
          <cell r="DI33">
            <v>6026</v>
          </cell>
          <cell r="DJ33">
            <v>2.0839694656488548</v>
          </cell>
          <cell r="DK33">
            <v>9.2800000000000001E-4</v>
          </cell>
          <cell r="DL33">
            <v>1.28</v>
          </cell>
          <cell r="DM33">
            <v>2.04</v>
          </cell>
        </row>
        <row r="34">
          <cell r="B34" t="str">
            <v>Camden Council</v>
          </cell>
          <cell r="C34">
            <v>6</v>
          </cell>
          <cell r="D34">
            <v>12596000</v>
          </cell>
          <cell r="E34">
            <v>15095</v>
          </cell>
          <cell r="F34">
            <v>834.44849287843658</v>
          </cell>
          <cell r="G34">
            <v>455000</v>
          </cell>
          <cell r="H34">
            <v>312</v>
          </cell>
          <cell r="I34">
            <v>1458.3333333333333</v>
          </cell>
          <cell r="J34">
            <v>2300000</v>
          </cell>
          <cell r="K34">
            <v>818</v>
          </cell>
          <cell r="L34">
            <v>2811.7359413202935</v>
          </cell>
          <cell r="M34">
            <v>1839000</v>
          </cell>
          <cell r="N34">
            <v>21481000</v>
          </cell>
          <cell r="O34">
            <v>8.5610539546576048E-2</v>
          </cell>
          <cell r="P34">
            <v>2150000</v>
          </cell>
          <cell r="Q34">
            <v>16372000</v>
          </cell>
          <cell r="R34">
            <v>0.13132176887368679</v>
          </cell>
          <cell r="S34">
            <v>-240000</v>
          </cell>
          <cell r="T34">
            <v>3199000</v>
          </cell>
          <cell r="U34">
            <v>-7.5023444826508287E-2</v>
          </cell>
          <cell r="V34">
            <v>18522000</v>
          </cell>
          <cell r="W34">
            <v>38554000</v>
          </cell>
          <cell r="X34">
            <v>0.4804170773460601</v>
          </cell>
          <cell r="Y34">
            <v>2959000</v>
          </cell>
          <cell r="Z34">
            <v>38554000</v>
          </cell>
          <cell r="AA34">
            <v>7.6749494215904962E-2</v>
          </cell>
          <cell r="AB34">
            <v>1781000</v>
          </cell>
          <cell r="AC34">
            <v>38554000</v>
          </cell>
          <cell r="AD34">
            <v>4.6194947346578821E-2</v>
          </cell>
          <cell r="AE34">
            <v>3940000</v>
          </cell>
          <cell r="AF34">
            <v>38554000</v>
          </cell>
          <cell r="AG34">
            <v>0.10219432484307724</v>
          </cell>
          <cell r="AH34">
            <v>10732000</v>
          </cell>
          <cell r="AI34">
            <v>38554000</v>
          </cell>
          <cell r="AJ34">
            <v>0.27836281579083882</v>
          </cell>
          <cell r="AK34">
            <v>620000</v>
          </cell>
          <cell r="AL34">
            <v>38554000</v>
          </cell>
          <cell r="AM34">
            <v>1.6081340457540075E-2</v>
          </cell>
          <cell r="AN34">
            <v>28169000</v>
          </cell>
          <cell r="AO34">
            <v>45685</v>
          </cell>
          <cell r="AP34">
            <v>616.59187917259499</v>
          </cell>
          <cell r="AQ34">
            <v>12179000</v>
          </cell>
          <cell r="AR34">
            <v>29650000</v>
          </cell>
          <cell r="AS34">
            <v>0.41075885328836426</v>
          </cell>
          <cell r="AT34">
            <v>7821000</v>
          </cell>
          <cell r="AU34">
            <v>29650000</v>
          </cell>
          <cell r="AV34">
            <v>0.26377740303541314</v>
          </cell>
          <cell r="AW34">
            <v>624000</v>
          </cell>
          <cell r="AX34">
            <v>29650000</v>
          </cell>
          <cell r="AY34">
            <v>2.1045531197301855E-2</v>
          </cell>
          <cell r="AZ34">
            <v>6083000</v>
          </cell>
          <cell r="BA34">
            <v>29650000</v>
          </cell>
          <cell r="BB34">
            <v>0.2051602023608769</v>
          </cell>
          <cell r="BC34">
            <v>2943000</v>
          </cell>
          <cell r="BD34">
            <v>29650000</v>
          </cell>
          <cell r="BE34">
            <v>9.9258010118043846E-2</v>
          </cell>
          <cell r="BF34">
            <v>29650000</v>
          </cell>
          <cell r="BG34">
            <v>45685</v>
          </cell>
          <cell r="BH34">
            <v>649.00952172485495</v>
          </cell>
          <cell r="BI34">
            <v>8836000</v>
          </cell>
          <cell r="BJ34">
            <v>4925000</v>
          </cell>
          <cell r="BK34">
            <v>1.7941116751269035</v>
          </cell>
          <cell r="BL34">
            <v>2437000</v>
          </cell>
          <cell r="BM34">
            <v>26264000</v>
          </cell>
          <cell r="BN34">
            <v>9.278860798050563E-2</v>
          </cell>
          <cell r="BO34">
            <v>10755000</v>
          </cell>
          <cell r="BP34">
            <v>6083000</v>
          </cell>
          <cell r="BQ34">
            <v>1.7680420844977807</v>
          </cell>
          <cell r="BR34">
            <v>207</v>
          </cell>
          <cell r="BS34" t="str">
            <v>&lt;=2</v>
          </cell>
          <cell r="BT34" t="str">
            <v>&lt;=2</v>
          </cell>
          <cell r="BU34" t="str">
            <v>On Time</v>
          </cell>
          <cell r="BV34">
            <v>1048000</v>
          </cell>
          <cell r="BW34">
            <v>45685</v>
          </cell>
          <cell r="BX34">
            <v>22.939695742585094</v>
          </cell>
          <cell r="BY34">
            <v>437176</v>
          </cell>
          <cell r="BZ34">
            <v>45685</v>
          </cell>
          <cell r="CA34">
            <v>9.5693553682828068</v>
          </cell>
          <cell r="CB34">
            <v>3312000</v>
          </cell>
          <cell r="CC34">
            <v>15240</v>
          </cell>
          <cell r="CD34">
            <v>217.3228346456693</v>
          </cell>
          <cell r="CE34">
            <v>2083082</v>
          </cell>
          <cell r="CF34">
            <v>14086</v>
          </cell>
          <cell r="CG34">
            <v>147.88314638648302</v>
          </cell>
          <cell r="CH34">
            <v>10489000</v>
          </cell>
          <cell r="CI34">
            <v>45685</v>
          </cell>
          <cell r="CJ34">
            <v>229.59395862974719</v>
          </cell>
          <cell r="CK34">
            <v>10221000</v>
          </cell>
          <cell r="CL34">
            <v>45685</v>
          </cell>
          <cell r="CM34">
            <v>223.72770055817008</v>
          </cell>
          <cell r="CN34" t="str">
            <v>N/A</v>
          </cell>
          <cell r="CO34" t="str">
            <v>N/A</v>
          </cell>
          <cell r="CP34" t="str">
            <v>N/A</v>
          </cell>
          <cell r="CQ34" t="str">
            <v>N/A</v>
          </cell>
          <cell r="CR34">
            <v>2132</v>
          </cell>
          <cell r="CS34">
            <v>76980</v>
          </cell>
          <cell r="CT34">
            <v>2132</v>
          </cell>
          <cell r="CU34">
            <v>36.106941838649156</v>
          </cell>
          <cell r="CV34">
            <v>20</v>
          </cell>
          <cell r="CW34">
            <v>53000</v>
          </cell>
          <cell r="CX34">
            <v>3492000</v>
          </cell>
          <cell r="CY34">
            <v>1.5177548682703322E-2</v>
          </cell>
          <cell r="CZ34">
            <v>588000</v>
          </cell>
          <cell r="DA34">
            <v>45685</v>
          </cell>
          <cell r="DB34">
            <v>12.870745321221408</v>
          </cell>
          <cell r="DC34">
            <v>2098000</v>
          </cell>
          <cell r="DD34">
            <v>45685</v>
          </cell>
          <cell r="DE34">
            <v>45.923169530480465</v>
          </cell>
          <cell r="DF34">
            <v>1359000</v>
          </cell>
          <cell r="DG34">
            <v>45685</v>
          </cell>
          <cell r="DH34">
            <v>29.747181788333151</v>
          </cell>
          <cell r="DI34">
            <v>201.3</v>
          </cell>
          <cell r="DJ34">
            <v>226.94982613015398</v>
          </cell>
          <cell r="DK34">
            <v>0.10972881355932203</v>
          </cell>
          <cell r="DL34">
            <v>1.03</v>
          </cell>
          <cell r="DM34">
            <v>7.66</v>
          </cell>
        </row>
        <row r="35">
          <cell r="B35" t="str">
            <v>Campbelltown City Council</v>
          </cell>
          <cell r="C35">
            <v>7</v>
          </cell>
          <cell r="D35">
            <v>22742000</v>
          </cell>
          <cell r="E35">
            <v>48696</v>
          </cell>
          <cell r="F35">
            <v>467.01987842943981</v>
          </cell>
          <cell r="G35">
            <v>207000</v>
          </cell>
          <cell r="H35">
            <v>68</v>
          </cell>
          <cell r="I35">
            <v>3044.1176470588234</v>
          </cell>
          <cell r="J35">
            <v>7445000</v>
          </cell>
          <cell r="K35">
            <v>2062</v>
          </cell>
          <cell r="L35">
            <v>3610.5722599418041</v>
          </cell>
          <cell r="M35">
            <v>2312000</v>
          </cell>
          <cell r="N35">
            <v>59669000</v>
          </cell>
          <cell r="O35">
            <v>3.8747088102699896E-2</v>
          </cell>
          <cell r="P35">
            <v>2777000</v>
          </cell>
          <cell r="Q35">
            <v>47234000</v>
          </cell>
          <cell r="R35">
            <v>5.8792395308464244E-2</v>
          </cell>
          <cell r="S35">
            <v>651000</v>
          </cell>
          <cell r="T35">
            <v>9007000</v>
          </cell>
          <cell r="U35">
            <v>7.2277117797268794E-2</v>
          </cell>
          <cell r="V35">
            <v>50011000</v>
          </cell>
          <cell r="W35">
            <v>86856000</v>
          </cell>
          <cell r="X35">
            <v>0.57579211568573274</v>
          </cell>
          <cell r="Y35">
            <v>9658000</v>
          </cell>
          <cell r="Z35">
            <v>86856000</v>
          </cell>
          <cell r="AA35">
            <v>0.11119554204660588</v>
          </cell>
          <cell r="AB35">
            <v>1595000</v>
          </cell>
          <cell r="AC35">
            <v>86856000</v>
          </cell>
          <cell r="AD35">
            <v>1.8363728470111449E-2</v>
          </cell>
          <cell r="AE35">
            <v>21278000</v>
          </cell>
          <cell r="AF35">
            <v>86856000</v>
          </cell>
          <cell r="AG35">
            <v>0.24498019710785668</v>
          </cell>
          <cell r="AH35">
            <v>3298000</v>
          </cell>
          <cell r="AI35">
            <v>86856000</v>
          </cell>
          <cell r="AJ35">
            <v>3.7970894353873075E-2</v>
          </cell>
          <cell r="AK35">
            <v>1016000</v>
          </cell>
          <cell r="AL35">
            <v>86856000</v>
          </cell>
          <cell r="AM35">
            <v>1.1697522335820209E-2</v>
          </cell>
          <cell r="AN35">
            <v>81271000</v>
          </cell>
          <cell r="AO35">
            <v>150885</v>
          </cell>
          <cell r="AP35">
            <v>538.62875700036454</v>
          </cell>
          <cell r="AQ35">
            <v>30824000</v>
          </cell>
          <cell r="AR35">
            <v>79073000</v>
          </cell>
          <cell r="AS35">
            <v>0.38981700454010848</v>
          </cell>
          <cell r="AT35">
            <v>14784000</v>
          </cell>
          <cell r="AU35">
            <v>79073000</v>
          </cell>
          <cell r="AV35">
            <v>0.18696647401767988</v>
          </cell>
          <cell r="AW35">
            <v>2082000</v>
          </cell>
          <cell r="AX35">
            <v>79073000</v>
          </cell>
          <cell r="AY35">
            <v>2.6330100034145664E-2</v>
          </cell>
          <cell r="AZ35">
            <v>9924000</v>
          </cell>
          <cell r="BA35">
            <v>79073000</v>
          </cell>
          <cell r="BB35">
            <v>0.12550428085440035</v>
          </cell>
          <cell r="BC35">
            <v>21459000</v>
          </cell>
          <cell r="BD35">
            <v>79073000</v>
          </cell>
          <cell r="BE35">
            <v>0.27138214055366561</v>
          </cell>
          <cell r="BF35">
            <v>79073000</v>
          </cell>
          <cell r="BG35">
            <v>150885</v>
          </cell>
          <cell r="BH35">
            <v>524.0613712429996</v>
          </cell>
          <cell r="BI35">
            <v>17116000</v>
          </cell>
          <cell r="BJ35">
            <v>17129000</v>
          </cell>
          <cell r="BK35">
            <v>0.99924105318465761</v>
          </cell>
          <cell r="BL35">
            <v>8629000</v>
          </cell>
          <cell r="BM35">
            <v>71217000</v>
          </cell>
          <cell r="BN35">
            <v>0.12116489040538074</v>
          </cell>
          <cell r="BO35">
            <v>6666000</v>
          </cell>
          <cell r="BP35">
            <v>9924000</v>
          </cell>
          <cell r="BQ35">
            <v>0.67170495767835547</v>
          </cell>
          <cell r="BR35">
            <v>613</v>
          </cell>
          <cell r="BS35" t="str">
            <v>On Time</v>
          </cell>
          <cell r="BT35" t="str">
            <v>On Time</v>
          </cell>
          <cell r="BU35" t="str">
            <v>On Time</v>
          </cell>
          <cell r="BV35">
            <v>2947000</v>
          </cell>
          <cell r="BW35">
            <v>150885</v>
          </cell>
          <cell r="BX35">
            <v>19.531431222454188</v>
          </cell>
          <cell r="BY35">
            <v>788816</v>
          </cell>
          <cell r="BZ35">
            <v>150885</v>
          </cell>
          <cell r="CA35">
            <v>5.2279285548596617</v>
          </cell>
          <cell r="CB35">
            <v>11202000</v>
          </cell>
          <cell r="CC35">
            <v>48096</v>
          </cell>
          <cell r="CD35">
            <v>232.90918163672654</v>
          </cell>
          <cell r="CE35">
            <v>7320824</v>
          </cell>
          <cell r="CF35">
            <v>49189</v>
          </cell>
          <cell r="CG35">
            <v>148.83051088658033</v>
          </cell>
          <cell r="CH35">
            <v>29626000</v>
          </cell>
          <cell r="CI35">
            <v>150885</v>
          </cell>
          <cell r="CJ35">
            <v>196.34821221460052</v>
          </cell>
          <cell r="CK35">
            <v>29017000</v>
          </cell>
          <cell r="CL35">
            <v>150885</v>
          </cell>
          <cell r="CM35">
            <v>192.31202571494848</v>
          </cell>
          <cell r="CN35" t="str">
            <v>N/A</v>
          </cell>
          <cell r="CO35" t="str">
            <v>N/A</v>
          </cell>
          <cell r="CP35" t="str">
            <v>N/A</v>
          </cell>
          <cell r="CQ35" t="str">
            <v>N/A</v>
          </cell>
          <cell r="CR35">
            <v>1955</v>
          </cell>
          <cell r="CS35">
            <v>112619</v>
          </cell>
          <cell r="CT35">
            <v>1955</v>
          </cell>
          <cell r="CU35">
            <v>57.60562659846547</v>
          </cell>
          <cell r="CV35">
            <v>36</v>
          </cell>
          <cell r="CW35">
            <v>211000</v>
          </cell>
          <cell r="CX35">
            <v>2966000</v>
          </cell>
          <cell r="CY35">
            <v>7.1139581928523266E-2</v>
          </cell>
          <cell r="CZ35">
            <v>1219000</v>
          </cell>
          <cell r="DA35">
            <v>150885</v>
          </cell>
          <cell r="DB35">
            <v>8.0790005633429427</v>
          </cell>
          <cell r="DC35">
            <v>7064000</v>
          </cell>
          <cell r="DD35">
            <v>150885</v>
          </cell>
          <cell r="DE35">
            <v>46.817112370348276</v>
          </cell>
          <cell r="DF35">
            <v>8050000</v>
          </cell>
          <cell r="DG35">
            <v>150885</v>
          </cell>
          <cell r="DH35">
            <v>53.351890512642079</v>
          </cell>
          <cell r="DI35">
            <v>312.2</v>
          </cell>
          <cell r="DJ35">
            <v>483.29596412556054</v>
          </cell>
          <cell r="DK35">
            <v>-2.8457974851091994E-4</v>
          </cell>
          <cell r="DL35">
            <v>2.27</v>
          </cell>
          <cell r="DM35">
            <v>14.3</v>
          </cell>
        </row>
        <row r="36">
          <cell r="B36" t="str">
            <v>Canada Bay City Council</v>
          </cell>
          <cell r="C36">
            <v>2</v>
          </cell>
          <cell r="D36">
            <v>14621000</v>
          </cell>
          <cell r="E36">
            <v>24251</v>
          </cell>
          <cell r="F36">
            <v>602.90297307327535</v>
          </cell>
          <cell r="G36">
            <v>0</v>
          </cell>
          <cell r="H36">
            <v>0</v>
          </cell>
          <cell r="I36" t="str">
            <v>N/A</v>
          </cell>
          <cell r="J36">
            <v>3280000</v>
          </cell>
          <cell r="K36">
            <v>1358</v>
          </cell>
          <cell r="L36">
            <v>2415.3166421207657</v>
          </cell>
          <cell r="M36">
            <v>2153000</v>
          </cell>
          <cell r="N36">
            <v>28337000</v>
          </cell>
          <cell r="O36">
            <v>7.5978402794932426E-2</v>
          </cell>
          <cell r="R36" t="str">
            <v>N/A</v>
          </cell>
          <cell r="U36" t="str">
            <v>N/A</v>
          </cell>
          <cell r="V36">
            <v>23011000</v>
          </cell>
          <cell r="W36">
            <v>35514000</v>
          </cell>
          <cell r="X36">
            <v>0.64794165681139837</v>
          </cell>
          <cell r="Y36">
            <v>5326000</v>
          </cell>
          <cell r="Z36">
            <v>35514000</v>
          </cell>
          <cell r="AA36">
            <v>0.14996902629948752</v>
          </cell>
          <cell r="AB36">
            <v>624000</v>
          </cell>
          <cell r="AC36">
            <v>35514000</v>
          </cell>
          <cell r="AD36">
            <v>1.7570535563439769E-2</v>
          </cell>
          <cell r="AE36">
            <v>2649000</v>
          </cell>
          <cell r="AF36">
            <v>35514000</v>
          </cell>
          <cell r="AG36">
            <v>7.4590302415948634E-2</v>
          </cell>
          <cell r="AH36">
            <v>2343000</v>
          </cell>
          <cell r="AI36">
            <v>35514000</v>
          </cell>
          <cell r="AJ36">
            <v>6.5973982091569516E-2</v>
          </cell>
          <cell r="AK36">
            <v>1561000</v>
          </cell>
          <cell r="AL36">
            <v>35514000</v>
          </cell>
          <cell r="AM36">
            <v>4.3954496818156219E-2</v>
          </cell>
          <cell r="AN36">
            <v>34811000</v>
          </cell>
          <cell r="AO36">
            <v>62860</v>
          </cell>
          <cell r="AP36">
            <v>553.78619153674833</v>
          </cell>
          <cell r="AQ36">
            <v>13072000</v>
          </cell>
          <cell r="AR36">
            <v>39469000</v>
          </cell>
          <cell r="AS36">
            <v>0.33119663533405963</v>
          </cell>
          <cell r="AT36">
            <v>13012000</v>
          </cell>
          <cell r="AU36">
            <v>39469000</v>
          </cell>
          <cell r="AV36">
            <v>0.32967645493931946</v>
          </cell>
          <cell r="AW36">
            <v>166000</v>
          </cell>
          <cell r="AX36">
            <v>39469000</v>
          </cell>
          <cell r="AY36">
            <v>4.2058324254478198E-3</v>
          </cell>
          <cell r="AZ36">
            <v>6265000</v>
          </cell>
          <cell r="BA36">
            <v>39469000</v>
          </cell>
          <cell r="BB36">
            <v>0.1587321695507867</v>
          </cell>
          <cell r="BC36">
            <v>6954000</v>
          </cell>
          <cell r="BD36">
            <v>39469000</v>
          </cell>
          <cell r="BE36">
            <v>0.17618890775038637</v>
          </cell>
          <cell r="BF36">
            <v>39469000</v>
          </cell>
          <cell r="BG36">
            <v>62860</v>
          </cell>
          <cell r="BH36">
            <v>627.88736875596567</v>
          </cell>
          <cell r="BI36">
            <v>10000000</v>
          </cell>
          <cell r="BJ36">
            <v>5848000</v>
          </cell>
          <cell r="BK36">
            <v>1.7099863201094392</v>
          </cell>
          <cell r="BL36">
            <v>975000</v>
          </cell>
          <cell r="BM36">
            <v>34076000</v>
          </cell>
          <cell r="BN36">
            <v>2.8612513205775326E-2</v>
          </cell>
          <cell r="BP36">
            <v>6265000</v>
          </cell>
          <cell r="BQ36">
            <v>0</v>
          </cell>
          <cell r="BR36">
            <v>217</v>
          </cell>
          <cell r="BS36" t="str">
            <v>On Time</v>
          </cell>
          <cell r="BT36" t="str">
            <v>&lt;=4</v>
          </cell>
          <cell r="BU36" t="str">
            <v>On Time</v>
          </cell>
          <cell r="BV36">
            <v>1327000</v>
          </cell>
          <cell r="BW36">
            <v>62860</v>
          </cell>
          <cell r="BX36">
            <v>21.110404072542156</v>
          </cell>
          <cell r="BY36">
            <v>376234</v>
          </cell>
          <cell r="BZ36">
            <v>62860</v>
          </cell>
          <cell r="CA36">
            <v>5.985268851415845</v>
          </cell>
          <cell r="CB36">
            <v>5051000</v>
          </cell>
          <cell r="CC36">
            <v>26394</v>
          </cell>
          <cell r="CD36">
            <v>191.36925058725467</v>
          </cell>
          <cell r="CE36">
            <v>3325219</v>
          </cell>
          <cell r="CF36">
            <v>26394</v>
          </cell>
          <cell r="CG36">
            <v>125.98389785557323</v>
          </cell>
          <cell r="CH36">
            <v>9101850</v>
          </cell>
          <cell r="CI36">
            <v>62860</v>
          </cell>
          <cell r="CJ36">
            <v>144.79557747375119</v>
          </cell>
          <cell r="CK36">
            <v>14847860</v>
          </cell>
          <cell r="CL36">
            <v>62860</v>
          </cell>
          <cell r="CM36">
            <v>236.20521794463889</v>
          </cell>
          <cell r="CN36" t="str">
            <v>N/A</v>
          </cell>
          <cell r="CO36" t="str">
            <v>N/A</v>
          </cell>
          <cell r="CP36" t="str">
            <v>N/A</v>
          </cell>
          <cell r="CQ36" t="str">
            <v>N/A</v>
          </cell>
          <cell r="CR36">
            <v>759</v>
          </cell>
          <cell r="CS36">
            <v>48195</v>
          </cell>
          <cell r="CT36">
            <v>759</v>
          </cell>
          <cell r="CU36">
            <v>63.498023715415023</v>
          </cell>
          <cell r="CV36">
            <v>48.5</v>
          </cell>
          <cell r="CW36">
            <v>365000</v>
          </cell>
          <cell r="CX36">
            <v>976000</v>
          </cell>
          <cell r="CY36">
            <v>0.37397540983606559</v>
          </cell>
          <cell r="CZ36">
            <v>502000</v>
          </cell>
          <cell r="DA36">
            <v>62860</v>
          </cell>
          <cell r="DB36">
            <v>7.9860006363347118</v>
          </cell>
          <cell r="DC36">
            <v>456000</v>
          </cell>
          <cell r="DD36">
            <v>62860</v>
          </cell>
          <cell r="DE36">
            <v>7.254215717467388</v>
          </cell>
          <cell r="DF36">
            <v>1302000</v>
          </cell>
          <cell r="DG36">
            <v>62860</v>
          </cell>
          <cell r="DH36">
            <v>20.712694877505569</v>
          </cell>
          <cell r="DI36">
            <v>19.8</v>
          </cell>
          <cell r="DJ36">
            <v>3174.7474747474748</v>
          </cell>
          <cell r="DL36">
            <v>0.32</v>
          </cell>
          <cell r="DM36">
            <v>23.14</v>
          </cell>
        </row>
        <row r="37">
          <cell r="B37" t="str">
            <v>Canterbury City Council</v>
          </cell>
          <cell r="C37">
            <v>3</v>
          </cell>
          <cell r="D37">
            <v>26305000</v>
          </cell>
          <cell r="E37">
            <v>42265</v>
          </cell>
          <cell r="F37">
            <v>622.38258606411921</v>
          </cell>
          <cell r="G37">
            <v>0</v>
          </cell>
          <cell r="H37">
            <v>0</v>
          </cell>
          <cell r="I37" t="str">
            <v>N/A</v>
          </cell>
          <cell r="J37">
            <v>6882000</v>
          </cell>
          <cell r="K37">
            <v>2612</v>
          </cell>
          <cell r="L37">
            <v>2634.7626339969374</v>
          </cell>
          <cell r="M37">
            <v>1861000</v>
          </cell>
          <cell r="N37">
            <v>50172000</v>
          </cell>
          <cell r="O37">
            <v>3.7092402136649924E-2</v>
          </cell>
          <cell r="P37">
            <v>3236000</v>
          </cell>
          <cell r="Q37">
            <v>40743000</v>
          </cell>
          <cell r="R37">
            <v>7.9424686449206E-2</v>
          </cell>
          <cell r="S37">
            <v>508000</v>
          </cell>
          <cell r="T37">
            <v>5685000</v>
          </cell>
          <cell r="U37">
            <v>8.9357959542656115E-2</v>
          </cell>
          <cell r="V37">
            <v>43979000</v>
          </cell>
          <cell r="W37">
            <v>67533000</v>
          </cell>
          <cell r="X37">
            <v>0.6512223653621193</v>
          </cell>
          <cell r="Y37">
            <v>6193000</v>
          </cell>
          <cell r="Z37">
            <v>67533000</v>
          </cell>
          <cell r="AA37">
            <v>9.1703315416166914E-2</v>
          </cell>
          <cell r="AB37">
            <v>1690000</v>
          </cell>
          <cell r="AC37">
            <v>67533000</v>
          </cell>
          <cell r="AD37">
            <v>2.5024802689055721E-2</v>
          </cell>
          <cell r="AE37">
            <v>11388000</v>
          </cell>
          <cell r="AF37">
            <v>67533000</v>
          </cell>
          <cell r="AG37">
            <v>0.16862867042779087</v>
          </cell>
          <cell r="AH37">
            <v>3036000</v>
          </cell>
          <cell r="AI37">
            <v>67533000</v>
          </cell>
          <cell r="AJ37">
            <v>4.4955799386966373E-2</v>
          </cell>
          <cell r="AK37">
            <v>1247000</v>
          </cell>
          <cell r="AL37">
            <v>67533000</v>
          </cell>
          <cell r="AM37">
            <v>1.8465046717900876E-2</v>
          </cell>
          <cell r="AN37">
            <v>66183000</v>
          </cell>
          <cell r="AO37">
            <v>137258</v>
          </cell>
          <cell r="AP37">
            <v>482.17954509026794</v>
          </cell>
          <cell r="AQ37">
            <v>28423000</v>
          </cell>
          <cell r="AR37">
            <v>61282000</v>
          </cell>
          <cell r="AS37">
            <v>0.4638066642733592</v>
          </cell>
          <cell r="AT37">
            <v>10157000</v>
          </cell>
          <cell r="AU37">
            <v>61282000</v>
          </cell>
          <cell r="AV37">
            <v>0.16574197970040142</v>
          </cell>
          <cell r="AW37">
            <v>0</v>
          </cell>
          <cell r="AX37">
            <v>61282000</v>
          </cell>
          <cell r="AY37">
            <v>0</v>
          </cell>
          <cell r="AZ37">
            <v>6686000</v>
          </cell>
          <cell r="BA37">
            <v>61282000</v>
          </cell>
          <cell r="BB37">
            <v>0.1091021833491074</v>
          </cell>
          <cell r="BC37">
            <v>16016000</v>
          </cell>
          <cell r="BD37">
            <v>61282000</v>
          </cell>
          <cell r="BE37">
            <v>0.26134917267713192</v>
          </cell>
          <cell r="BF37">
            <v>61282000</v>
          </cell>
          <cell r="BG37">
            <v>137258</v>
          </cell>
          <cell r="BH37">
            <v>446.47306532223985</v>
          </cell>
          <cell r="BI37">
            <v>22092000</v>
          </cell>
          <cell r="BJ37">
            <v>7360000</v>
          </cell>
          <cell r="BK37">
            <v>3.0016304347826086</v>
          </cell>
          <cell r="BL37">
            <v>3000</v>
          </cell>
          <cell r="BM37">
            <v>61854000</v>
          </cell>
          <cell r="BN37">
            <v>4.8501309535357458E-5</v>
          </cell>
          <cell r="BO37">
            <v>6712000</v>
          </cell>
          <cell r="BP37">
            <v>6686000</v>
          </cell>
          <cell r="BQ37">
            <v>1.003888722704158</v>
          </cell>
          <cell r="BR37">
            <v>629.69000000000005</v>
          </cell>
          <cell r="BS37" t="str">
            <v>On Time</v>
          </cell>
          <cell r="BT37" t="str">
            <v>On Time</v>
          </cell>
          <cell r="BU37" t="str">
            <v>On Time</v>
          </cell>
          <cell r="BV37">
            <v>3795000</v>
          </cell>
          <cell r="BW37">
            <v>137258</v>
          </cell>
          <cell r="BX37">
            <v>27.648661644494311</v>
          </cell>
          <cell r="BY37">
            <v>653036</v>
          </cell>
          <cell r="BZ37">
            <v>137258</v>
          </cell>
          <cell r="CA37">
            <v>4.7577263256057938</v>
          </cell>
          <cell r="CB37">
            <v>10792000</v>
          </cell>
          <cell r="CC37">
            <v>42453</v>
          </cell>
          <cell r="CD37">
            <v>254.21053871340069</v>
          </cell>
          <cell r="CE37">
            <v>6925200</v>
          </cell>
          <cell r="CF37">
            <v>42453</v>
          </cell>
          <cell r="CG37">
            <v>163.12628082821001</v>
          </cell>
          <cell r="CH37">
            <v>8890750</v>
          </cell>
          <cell r="CI37">
            <v>137258</v>
          </cell>
          <cell r="CJ37">
            <v>64.774002243949354</v>
          </cell>
          <cell r="CK37">
            <v>46158660</v>
          </cell>
          <cell r="CL37">
            <v>137258</v>
          </cell>
          <cell r="CM37">
            <v>336.29121799822235</v>
          </cell>
          <cell r="CN37" t="str">
            <v>N/A</v>
          </cell>
          <cell r="CO37" t="str">
            <v>N/A</v>
          </cell>
          <cell r="CP37" t="str">
            <v>N/A</v>
          </cell>
          <cell r="CQ37" t="str">
            <v>N/A</v>
          </cell>
          <cell r="CR37">
            <v>1038</v>
          </cell>
          <cell r="CS37">
            <v>54435</v>
          </cell>
          <cell r="CT37">
            <v>1038</v>
          </cell>
          <cell r="CU37">
            <v>52.442196531791907</v>
          </cell>
          <cell r="CV37">
            <v>36</v>
          </cell>
          <cell r="CW37">
            <v>138000</v>
          </cell>
          <cell r="CX37">
            <v>2106000</v>
          </cell>
          <cell r="CY37">
            <v>6.5527065527065526E-2</v>
          </cell>
          <cell r="CZ37">
            <v>1988000</v>
          </cell>
          <cell r="DA37">
            <v>137258</v>
          </cell>
          <cell r="DB37">
            <v>14.483673082807559</v>
          </cell>
          <cell r="DC37">
            <v>3520000</v>
          </cell>
          <cell r="DD37">
            <v>137258</v>
          </cell>
          <cell r="DE37">
            <v>25.645135438371533</v>
          </cell>
          <cell r="DF37">
            <v>6440000</v>
          </cell>
          <cell r="DG37">
            <v>137258</v>
          </cell>
          <cell r="DH37">
            <v>46.918940972475191</v>
          </cell>
          <cell r="DI37">
            <v>33.6</v>
          </cell>
          <cell r="DJ37">
            <v>4085.0595238095239</v>
          </cell>
          <cell r="DK37">
            <v>3.2699000370233246E-3</v>
          </cell>
          <cell r="DL37">
            <v>0.54</v>
          </cell>
          <cell r="DM37">
            <v>43.68</v>
          </cell>
        </row>
        <row r="38">
          <cell r="B38" t="str">
            <v>Carrathool Shire Council</v>
          </cell>
          <cell r="C38">
            <v>9</v>
          </cell>
          <cell r="D38">
            <v>187000</v>
          </cell>
          <cell r="E38">
            <v>931</v>
          </cell>
          <cell r="F38">
            <v>200.85929108485499</v>
          </cell>
          <cell r="G38">
            <v>1649000</v>
          </cell>
          <cell r="H38">
            <v>747</v>
          </cell>
          <cell r="I38">
            <v>2207.4966532797857</v>
          </cell>
          <cell r="J38">
            <v>71000</v>
          </cell>
          <cell r="K38">
            <v>184</v>
          </cell>
          <cell r="L38">
            <v>385.86956521739131</v>
          </cell>
          <cell r="M38">
            <v>637000</v>
          </cell>
          <cell r="N38">
            <v>6929000</v>
          </cell>
          <cell r="O38">
            <v>9.193245778611632E-2</v>
          </cell>
          <cell r="P38">
            <v>78000</v>
          </cell>
          <cell r="Q38">
            <v>2527000</v>
          </cell>
          <cell r="R38">
            <v>3.0866640284922833E-2</v>
          </cell>
          <cell r="S38">
            <v>1890000</v>
          </cell>
          <cell r="T38">
            <v>2434000</v>
          </cell>
          <cell r="U38">
            <v>0.77649958915365658</v>
          </cell>
          <cell r="V38">
            <v>2605000</v>
          </cell>
          <cell r="W38">
            <v>15149000</v>
          </cell>
          <cell r="X38">
            <v>0.17195854511848968</v>
          </cell>
          <cell r="Y38">
            <v>4324000</v>
          </cell>
          <cell r="Z38">
            <v>15149000</v>
          </cell>
          <cell r="AA38">
            <v>0.28543138160934717</v>
          </cell>
          <cell r="AB38">
            <v>225000</v>
          </cell>
          <cell r="AC38">
            <v>15149000</v>
          </cell>
          <cell r="AD38">
            <v>1.485246550927454E-2</v>
          </cell>
          <cell r="AE38">
            <v>6400000</v>
          </cell>
          <cell r="AF38">
            <v>15149000</v>
          </cell>
          <cell r="AG38">
            <v>0.4224701300415869</v>
          </cell>
          <cell r="AH38">
            <v>853000</v>
          </cell>
          <cell r="AI38">
            <v>15149000</v>
          </cell>
          <cell r="AJ38">
            <v>5.6307347019605256E-2</v>
          </cell>
          <cell r="AK38">
            <v>742000</v>
          </cell>
          <cell r="AL38">
            <v>15149000</v>
          </cell>
          <cell r="AM38">
            <v>4.8980130701696482E-2</v>
          </cell>
          <cell r="AN38">
            <v>12256000</v>
          </cell>
          <cell r="AO38">
            <v>3333</v>
          </cell>
          <cell r="AP38">
            <v>3677.1677167716771</v>
          </cell>
          <cell r="AQ38">
            <v>3965000</v>
          </cell>
          <cell r="AR38">
            <v>12101000</v>
          </cell>
          <cell r="AS38">
            <v>0.32765887116767212</v>
          </cell>
          <cell r="AT38">
            <v>4275000</v>
          </cell>
          <cell r="AU38">
            <v>12101000</v>
          </cell>
          <cell r="AV38">
            <v>0.35327658871167672</v>
          </cell>
          <cell r="AW38">
            <v>182000</v>
          </cell>
          <cell r="AX38">
            <v>12101000</v>
          </cell>
          <cell r="AY38">
            <v>1.5040079332286588E-2</v>
          </cell>
          <cell r="AZ38">
            <v>2643000</v>
          </cell>
          <cell r="BA38">
            <v>12101000</v>
          </cell>
          <cell r="BB38">
            <v>0.21841170151227171</v>
          </cell>
          <cell r="BC38">
            <v>1036000</v>
          </cell>
          <cell r="BD38">
            <v>12101000</v>
          </cell>
          <cell r="BE38">
            <v>8.5612759276092881E-2</v>
          </cell>
          <cell r="BF38">
            <v>10938000</v>
          </cell>
          <cell r="BG38">
            <v>3333</v>
          </cell>
          <cell r="BH38">
            <v>3281.7281728172816</v>
          </cell>
          <cell r="BI38">
            <v>5315000</v>
          </cell>
          <cell r="BJ38">
            <v>1496000</v>
          </cell>
          <cell r="BK38">
            <v>3.552807486631016</v>
          </cell>
          <cell r="BL38">
            <v>619000</v>
          </cell>
          <cell r="BM38">
            <v>11397000</v>
          </cell>
          <cell r="BN38">
            <v>5.4312538387294905E-2</v>
          </cell>
          <cell r="BO38">
            <v>2662000</v>
          </cell>
          <cell r="BP38">
            <v>2417000</v>
          </cell>
          <cell r="BQ38">
            <v>1.101365328920149</v>
          </cell>
          <cell r="BR38">
            <v>86</v>
          </cell>
          <cell r="BS38" t="str">
            <v>On Time</v>
          </cell>
          <cell r="BT38" t="str">
            <v>On Time</v>
          </cell>
          <cell r="BU38" t="str">
            <v>On Time</v>
          </cell>
          <cell r="BV38">
            <v>167000</v>
          </cell>
          <cell r="BW38">
            <v>3333</v>
          </cell>
          <cell r="BX38">
            <v>50.105010501050103</v>
          </cell>
          <cell r="BY38">
            <v>29607</v>
          </cell>
          <cell r="BZ38">
            <v>3333</v>
          </cell>
          <cell r="CA38">
            <v>8.8829882988298827</v>
          </cell>
          <cell r="CB38">
            <v>44000</v>
          </cell>
          <cell r="CC38">
            <v>513</v>
          </cell>
          <cell r="CD38">
            <v>85.769980506822606</v>
          </cell>
          <cell r="CE38">
            <v>44711</v>
          </cell>
          <cell r="CF38">
            <v>565</v>
          </cell>
          <cell r="CG38">
            <v>79.134513274336285</v>
          </cell>
          <cell r="CH38">
            <v>15000</v>
          </cell>
          <cell r="CI38">
            <v>3333</v>
          </cell>
          <cell r="CJ38">
            <v>4.5004500450045004</v>
          </cell>
          <cell r="CK38">
            <v>1266540</v>
          </cell>
          <cell r="CL38">
            <v>3333</v>
          </cell>
          <cell r="CM38">
            <v>380</v>
          </cell>
          <cell r="CN38">
            <v>495.76496674057699</v>
          </cell>
          <cell r="CO38">
            <v>789.47368421052602</v>
          </cell>
          <cell r="CP38">
            <v>114.61995271748999</v>
          </cell>
          <cell r="CQ38">
            <v>203.34928229665101</v>
          </cell>
          <cell r="CR38">
            <v>58</v>
          </cell>
          <cell r="CS38">
            <v>1579</v>
          </cell>
          <cell r="CT38">
            <v>58</v>
          </cell>
          <cell r="CU38">
            <v>27.224137931034484</v>
          </cell>
          <cell r="CV38">
            <v>13</v>
          </cell>
          <cell r="CW38">
            <v>7000</v>
          </cell>
          <cell r="CX38">
            <v>23000</v>
          </cell>
          <cell r="CY38">
            <v>0.30434782608695654</v>
          </cell>
          <cell r="CZ38">
            <v>314000</v>
          </cell>
          <cell r="DA38">
            <v>3333</v>
          </cell>
          <cell r="DB38">
            <v>94.209420942094212</v>
          </cell>
          <cell r="DC38">
            <v>216000</v>
          </cell>
          <cell r="DD38">
            <v>3333</v>
          </cell>
          <cell r="DE38">
            <v>64.806480648064806</v>
          </cell>
          <cell r="DF38">
            <v>207000</v>
          </cell>
          <cell r="DG38">
            <v>3333</v>
          </cell>
          <cell r="DH38">
            <v>62.106210621062104</v>
          </cell>
          <cell r="DI38">
            <v>18939.5</v>
          </cell>
          <cell r="DJ38">
            <v>0.17598141450407878</v>
          </cell>
          <cell r="DK38">
            <v>1.5032258064516128E-2</v>
          </cell>
          <cell r="DL38">
            <v>4.05</v>
          </cell>
          <cell r="DM38">
            <v>1.85</v>
          </cell>
        </row>
        <row r="39">
          <cell r="B39" t="str">
            <v>Casino Council</v>
          </cell>
          <cell r="C39" t="str">
            <v>A</v>
          </cell>
          <cell r="F39">
            <v>0</v>
          </cell>
          <cell r="I39">
            <v>0</v>
          </cell>
          <cell r="L39">
            <v>0</v>
          </cell>
          <cell r="O39">
            <v>0</v>
          </cell>
          <cell r="R39">
            <v>0</v>
          </cell>
          <cell r="U39">
            <v>0</v>
          </cell>
          <cell r="X39">
            <v>0</v>
          </cell>
          <cell r="Z39">
            <v>0</v>
          </cell>
          <cell r="AA39">
            <v>0</v>
          </cell>
          <cell r="AC39">
            <v>0</v>
          </cell>
          <cell r="AD39">
            <v>0</v>
          </cell>
          <cell r="AF39">
            <v>0</v>
          </cell>
          <cell r="AG39">
            <v>0</v>
          </cell>
          <cell r="AI39">
            <v>0</v>
          </cell>
          <cell r="AJ39">
            <v>0</v>
          </cell>
          <cell r="AL39">
            <v>0</v>
          </cell>
          <cell r="AM39">
            <v>0</v>
          </cell>
          <cell r="AP39">
            <v>0</v>
          </cell>
          <cell r="AS39">
            <v>0</v>
          </cell>
          <cell r="AU39">
            <v>0</v>
          </cell>
          <cell r="AV39">
            <v>0</v>
          </cell>
          <cell r="AX39">
            <v>0</v>
          </cell>
          <cell r="AY39">
            <v>0</v>
          </cell>
          <cell r="BA39">
            <v>0</v>
          </cell>
          <cell r="BB39">
            <v>0</v>
          </cell>
          <cell r="BD39">
            <v>0</v>
          </cell>
          <cell r="BE39">
            <v>0</v>
          </cell>
          <cell r="BG39">
            <v>0</v>
          </cell>
          <cell r="BH39">
            <v>0</v>
          </cell>
          <cell r="BK39">
            <v>0</v>
          </cell>
          <cell r="BN39">
            <v>0</v>
          </cell>
          <cell r="BQ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D39">
            <v>0</v>
          </cell>
          <cell r="CG39">
            <v>0</v>
          </cell>
          <cell r="CI39">
            <v>0</v>
          </cell>
          <cell r="CJ39">
            <v>0</v>
          </cell>
          <cell r="CL39">
            <v>0</v>
          </cell>
          <cell r="CM39">
            <v>0</v>
          </cell>
          <cell r="CT39">
            <v>0</v>
          </cell>
          <cell r="CU39">
            <v>0</v>
          </cell>
          <cell r="CY39">
            <v>0</v>
          </cell>
          <cell r="DA39">
            <v>0</v>
          </cell>
          <cell r="DB39">
            <v>0</v>
          </cell>
          <cell r="DD39">
            <v>0</v>
          </cell>
          <cell r="DE39">
            <v>0</v>
          </cell>
          <cell r="DG39">
            <v>0</v>
          </cell>
          <cell r="DH39">
            <v>0</v>
          </cell>
          <cell r="DK39">
            <v>-0.2</v>
          </cell>
        </row>
        <row r="40">
          <cell r="B40" t="str">
            <v>Central Darling Shire Council</v>
          </cell>
          <cell r="C40">
            <v>9</v>
          </cell>
          <cell r="D40">
            <v>196000</v>
          </cell>
          <cell r="E40">
            <v>1105</v>
          </cell>
          <cell r="F40">
            <v>177.37556561085972</v>
          </cell>
          <cell r="G40">
            <v>279000</v>
          </cell>
          <cell r="H40">
            <v>287</v>
          </cell>
          <cell r="I40">
            <v>972.1254355400697</v>
          </cell>
          <cell r="J40">
            <v>27000</v>
          </cell>
          <cell r="K40">
            <v>155</v>
          </cell>
          <cell r="L40">
            <v>174.19354838709677</v>
          </cell>
          <cell r="M40">
            <v>327000</v>
          </cell>
          <cell r="N40">
            <v>2412000</v>
          </cell>
          <cell r="O40">
            <v>0.13557213930348258</v>
          </cell>
          <cell r="P40">
            <v>-5000</v>
          </cell>
          <cell r="Q40">
            <v>934000</v>
          </cell>
          <cell r="R40">
            <v>-5.3533190578158455E-3</v>
          </cell>
          <cell r="S40">
            <v>277000</v>
          </cell>
          <cell r="T40">
            <v>1206000</v>
          </cell>
          <cell r="U40">
            <v>0.22968490878938641</v>
          </cell>
          <cell r="V40">
            <v>929000</v>
          </cell>
          <cell r="W40">
            <v>9847000</v>
          </cell>
          <cell r="X40">
            <v>9.434345485934803E-2</v>
          </cell>
          <cell r="Y40">
            <v>1483000</v>
          </cell>
          <cell r="Z40">
            <v>9847000</v>
          </cell>
          <cell r="AA40">
            <v>0.15060424494769981</v>
          </cell>
          <cell r="AB40">
            <v>229000</v>
          </cell>
          <cell r="AC40">
            <v>9847000</v>
          </cell>
          <cell r="AD40">
            <v>2.3255813953488372E-2</v>
          </cell>
          <cell r="AE40">
            <v>4544000</v>
          </cell>
          <cell r="AF40">
            <v>9847000</v>
          </cell>
          <cell r="AG40">
            <v>0.46146034325175178</v>
          </cell>
          <cell r="AH40">
            <v>2372000</v>
          </cell>
          <cell r="AI40">
            <v>9847000</v>
          </cell>
          <cell r="AJ40">
            <v>0.24088554889814157</v>
          </cell>
          <cell r="AK40">
            <v>290000</v>
          </cell>
          <cell r="AL40">
            <v>9847000</v>
          </cell>
          <cell r="AM40">
            <v>2.9450594089570428E-2</v>
          </cell>
          <cell r="AN40">
            <v>7915000</v>
          </cell>
          <cell r="AO40">
            <v>2466</v>
          </cell>
          <cell r="AP40">
            <v>3209.6512570965124</v>
          </cell>
          <cell r="AQ40">
            <v>2027000</v>
          </cell>
          <cell r="AR40">
            <v>8936000</v>
          </cell>
          <cell r="AS40">
            <v>0.22683527305282006</v>
          </cell>
          <cell r="AT40">
            <v>4103000</v>
          </cell>
          <cell r="AU40">
            <v>8936000</v>
          </cell>
          <cell r="AV40">
            <v>0.45915398388540735</v>
          </cell>
          <cell r="AW40">
            <v>1000</v>
          </cell>
          <cell r="AX40">
            <v>8936000</v>
          </cell>
          <cell r="AY40">
            <v>1.1190689346463742E-4</v>
          </cell>
          <cell r="AZ40">
            <v>1578000</v>
          </cell>
          <cell r="BA40">
            <v>8936000</v>
          </cell>
          <cell r="BB40">
            <v>0.17658907788719785</v>
          </cell>
          <cell r="BC40">
            <v>1227000</v>
          </cell>
          <cell r="BD40">
            <v>8936000</v>
          </cell>
          <cell r="BE40">
            <v>0.13730975828111011</v>
          </cell>
          <cell r="BF40">
            <v>8127000</v>
          </cell>
          <cell r="BG40">
            <v>2466</v>
          </cell>
          <cell r="BH40">
            <v>3295.6204379562046</v>
          </cell>
          <cell r="BI40">
            <v>3074000</v>
          </cell>
          <cell r="BJ40">
            <v>545000</v>
          </cell>
          <cell r="BK40">
            <v>5.6403669724770644</v>
          </cell>
          <cell r="BL40">
            <v>13000</v>
          </cell>
          <cell r="BM40">
            <v>7883000</v>
          </cell>
          <cell r="BN40">
            <v>1.6491183559558544E-3</v>
          </cell>
          <cell r="BO40">
            <v>2063000</v>
          </cell>
          <cell r="BP40">
            <v>1287000</v>
          </cell>
          <cell r="BQ40">
            <v>1.6029526029526029</v>
          </cell>
          <cell r="BR40">
            <v>49.36</v>
          </cell>
          <cell r="BS40" t="str">
            <v>&gt;=16</v>
          </cell>
          <cell r="BT40" t="str">
            <v>&gt;=16</v>
          </cell>
          <cell r="BU40" t="str">
            <v>On Time</v>
          </cell>
          <cell r="BV40">
            <v>0</v>
          </cell>
          <cell r="BW40">
            <v>2466</v>
          </cell>
          <cell r="BX40" t="str">
            <v>N/A</v>
          </cell>
          <cell r="BY40">
            <v>0</v>
          </cell>
          <cell r="BZ40">
            <v>2466</v>
          </cell>
          <cell r="CA40" t="str">
            <v>N/A</v>
          </cell>
          <cell r="CB40">
            <v>91000</v>
          </cell>
          <cell r="CC40">
            <v>551</v>
          </cell>
          <cell r="CD40">
            <v>165.15426497277676</v>
          </cell>
          <cell r="CE40">
            <v>75561</v>
          </cell>
          <cell r="CF40">
            <v>438</v>
          </cell>
          <cell r="CG40">
            <v>172.51369863013699</v>
          </cell>
          <cell r="CI40">
            <v>2466</v>
          </cell>
          <cell r="CJ40" t="str">
            <v>N/A</v>
          </cell>
          <cell r="CK40">
            <v>30000</v>
          </cell>
          <cell r="CL40">
            <v>2466</v>
          </cell>
          <cell r="CM40">
            <v>12.165450121654501</v>
          </cell>
          <cell r="CN40">
            <v>658.94919368822605</v>
          </cell>
          <cell r="CO40">
            <v>836.98630136986299</v>
          </cell>
          <cell r="CP40">
            <v>288.97715988083399</v>
          </cell>
          <cell r="CQ40">
            <v>573.09941520467805</v>
          </cell>
          <cell r="CR40">
            <v>47</v>
          </cell>
          <cell r="CS40">
            <v>160</v>
          </cell>
          <cell r="CT40">
            <v>47</v>
          </cell>
          <cell r="CU40">
            <v>3.4042553191489362</v>
          </cell>
          <cell r="CV40">
            <v>2</v>
          </cell>
          <cell r="CW40">
            <v>0</v>
          </cell>
          <cell r="CX40">
            <v>6000</v>
          </cell>
          <cell r="CY40">
            <v>0</v>
          </cell>
          <cell r="CZ40">
            <v>167000</v>
          </cell>
          <cell r="DA40">
            <v>2466</v>
          </cell>
          <cell r="DB40">
            <v>67.721005677210059</v>
          </cell>
          <cell r="DC40">
            <v>188000</v>
          </cell>
          <cell r="DD40">
            <v>2466</v>
          </cell>
          <cell r="DE40">
            <v>76.236820762368211</v>
          </cell>
          <cell r="DF40">
            <v>254000</v>
          </cell>
          <cell r="DG40">
            <v>2466</v>
          </cell>
          <cell r="DH40">
            <v>103.00081103000811</v>
          </cell>
          <cell r="DI40">
            <v>53510.8</v>
          </cell>
          <cell r="DJ40">
            <v>4.6084154974322937E-2</v>
          </cell>
          <cell r="DK40">
            <v>-8.8372093023255816E-3</v>
          </cell>
          <cell r="DL40">
            <v>29.37</v>
          </cell>
          <cell r="DM40">
            <v>2.2200000000000002</v>
          </cell>
        </row>
        <row r="41">
          <cell r="B41" t="str">
            <v>Cessnock City Council</v>
          </cell>
          <cell r="C41">
            <v>4</v>
          </cell>
          <cell r="D41">
            <v>9760000</v>
          </cell>
          <cell r="E41">
            <v>16668</v>
          </cell>
          <cell r="F41">
            <v>585.55315574754025</v>
          </cell>
          <cell r="G41">
            <v>2708000</v>
          </cell>
          <cell r="H41">
            <v>2553</v>
          </cell>
          <cell r="I41">
            <v>1060.7128867998433</v>
          </cell>
          <cell r="J41">
            <v>2835000</v>
          </cell>
          <cell r="K41">
            <v>1171</v>
          </cell>
          <cell r="L41">
            <v>2421.0076857386848</v>
          </cell>
          <cell r="M41">
            <v>1042000</v>
          </cell>
          <cell r="N41">
            <v>24721000</v>
          </cell>
          <cell r="O41">
            <v>4.215039844666478E-2</v>
          </cell>
          <cell r="P41">
            <v>1095000</v>
          </cell>
          <cell r="Q41">
            <v>17361000</v>
          </cell>
          <cell r="R41">
            <v>6.3072403663383445E-2</v>
          </cell>
          <cell r="S41">
            <v>1569000</v>
          </cell>
          <cell r="T41">
            <v>4696000</v>
          </cell>
          <cell r="U41">
            <v>0.33411413969335607</v>
          </cell>
          <cell r="V41">
            <v>18456000</v>
          </cell>
          <cell r="W41">
            <v>36681000</v>
          </cell>
          <cell r="X41">
            <v>0.50314876911752682</v>
          </cell>
          <cell r="Y41">
            <v>6265000</v>
          </cell>
          <cell r="Z41">
            <v>36681000</v>
          </cell>
          <cell r="AA41">
            <v>0.17079687031433166</v>
          </cell>
          <cell r="AB41">
            <v>698000</v>
          </cell>
          <cell r="AC41">
            <v>36681000</v>
          </cell>
          <cell r="AD41">
            <v>1.9028925056568797E-2</v>
          </cell>
          <cell r="AE41">
            <v>7124000</v>
          </cell>
          <cell r="AF41">
            <v>36681000</v>
          </cell>
          <cell r="AG41">
            <v>0.19421498868624085</v>
          </cell>
          <cell r="AH41">
            <v>3166000</v>
          </cell>
          <cell r="AI41">
            <v>36681000</v>
          </cell>
          <cell r="AJ41">
            <v>8.631171451160001E-2</v>
          </cell>
          <cell r="AK41">
            <v>972000</v>
          </cell>
          <cell r="AL41">
            <v>36681000</v>
          </cell>
          <cell r="AM41">
            <v>2.6498732313731906E-2</v>
          </cell>
          <cell r="AN41">
            <v>33840000</v>
          </cell>
          <cell r="AO41">
            <v>47243</v>
          </cell>
          <cell r="AP41">
            <v>716.29659420443238</v>
          </cell>
          <cell r="AQ41">
            <v>12569000</v>
          </cell>
          <cell r="AR41">
            <v>34941000</v>
          </cell>
          <cell r="AS41">
            <v>0.35972067198992586</v>
          </cell>
          <cell r="AT41">
            <v>10930000</v>
          </cell>
          <cell r="AU41">
            <v>34941000</v>
          </cell>
          <cell r="AV41">
            <v>0.31281302767522395</v>
          </cell>
          <cell r="AW41">
            <v>498000</v>
          </cell>
          <cell r="AX41">
            <v>34941000</v>
          </cell>
          <cell r="AY41">
            <v>1.4252597235339573E-2</v>
          </cell>
          <cell r="AZ41">
            <v>7561000</v>
          </cell>
          <cell r="BA41">
            <v>34941000</v>
          </cell>
          <cell r="BB41">
            <v>0.21639334878795685</v>
          </cell>
          <cell r="BC41">
            <v>3383000</v>
          </cell>
          <cell r="BD41">
            <v>34941000</v>
          </cell>
          <cell r="BE41">
            <v>9.6820354311553766E-2</v>
          </cell>
          <cell r="BF41">
            <v>34941000</v>
          </cell>
          <cell r="BG41">
            <v>47243</v>
          </cell>
          <cell r="BH41">
            <v>739.60163410452344</v>
          </cell>
          <cell r="BI41">
            <v>11662000</v>
          </cell>
          <cell r="BJ41">
            <v>7272000</v>
          </cell>
          <cell r="BK41">
            <v>1.6036853685368537</v>
          </cell>
          <cell r="BL41">
            <v>1510000</v>
          </cell>
          <cell r="BM41">
            <v>31002000</v>
          </cell>
          <cell r="BN41">
            <v>4.8706535062254051E-2</v>
          </cell>
          <cell r="BO41">
            <v>9127000</v>
          </cell>
          <cell r="BP41">
            <v>7561000</v>
          </cell>
          <cell r="BQ41">
            <v>1.207115460917868</v>
          </cell>
          <cell r="BR41">
            <v>244</v>
          </cell>
          <cell r="BS41" t="str">
            <v>On Time</v>
          </cell>
          <cell r="BT41" t="str">
            <v>On Time</v>
          </cell>
          <cell r="BU41" t="str">
            <v>On Time</v>
          </cell>
          <cell r="BV41">
            <v>1022000</v>
          </cell>
          <cell r="BW41">
            <v>47243</v>
          </cell>
          <cell r="BX41">
            <v>21.632834493999113</v>
          </cell>
          <cell r="BY41">
            <v>283274</v>
          </cell>
          <cell r="BZ41">
            <v>47243</v>
          </cell>
          <cell r="CA41">
            <v>5.9961052431047985</v>
          </cell>
          <cell r="CB41">
            <v>2861000</v>
          </cell>
          <cell r="CC41">
            <v>15918</v>
          </cell>
          <cell r="CD41">
            <v>179.73363487875361</v>
          </cell>
          <cell r="CE41">
            <v>1737000</v>
          </cell>
          <cell r="CF41">
            <v>15918</v>
          </cell>
          <cell r="CG41">
            <v>109.12174896343761</v>
          </cell>
          <cell r="CH41">
            <v>10619500</v>
          </cell>
          <cell r="CI41">
            <v>47243</v>
          </cell>
          <cell r="CJ41">
            <v>224.78462417712677</v>
          </cell>
          <cell r="CK41">
            <v>18689400</v>
          </cell>
          <cell r="CL41">
            <v>47243</v>
          </cell>
          <cell r="CM41">
            <v>395.60146476726709</v>
          </cell>
          <cell r="CN41" t="str">
            <v>N/A</v>
          </cell>
          <cell r="CO41" t="str">
            <v>N/A</v>
          </cell>
          <cell r="CP41" t="str">
            <v>N/A</v>
          </cell>
          <cell r="CQ41" t="str">
            <v>N/A</v>
          </cell>
          <cell r="CR41">
            <v>1400</v>
          </cell>
          <cell r="CS41">
            <v>38529</v>
          </cell>
          <cell r="CT41">
            <v>1400</v>
          </cell>
          <cell r="CU41">
            <v>27.520714285714284</v>
          </cell>
          <cell r="CV41">
            <v>12</v>
          </cell>
          <cell r="CW41">
            <v>228000</v>
          </cell>
          <cell r="CX41">
            <v>2310000</v>
          </cell>
          <cell r="CY41">
            <v>9.8701298701298706E-2</v>
          </cell>
          <cell r="CZ41">
            <v>831000</v>
          </cell>
          <cell r="DA41">
            <v>47243</v>
          </cell>
          <cell r="DB41">
            <v>17.58990749952374</v>
          </cell>
          <cell r="DC41">
            <v>2674000</v>
          </cell>
          <cell r="DD41">
            <v>47243</v>
          </cell>
          <cell r="DE41">
            <v>56.600977922655211</v>
          </cell>
          <cell r="DF41">
            <v>855000</v>
          </cell>
          <cell r="DG41">
            <v>47243</v>
          </cell>
          <cell r="DH41">
            <v>18.097919268463052</v>
          </cell>
          <cell r="DI41">
            <v>1966.4</v>
          </cell>
          <cell r="DJ41">
            <v>24.025122050447518</v>
          </cell>
          <cell r="DK41">
            <v>1.9363111776020518E-3</v>
          </cell>
          <cell r="DL41">
            <v>1.93</v>
          </cell>
          <cell r="DM41">
            <v>2.42</v>
          </cell>
        </row>
        <row r="42">
          <cell r="B42" t="str">
            <v>Cobar Shire Council</v>
          </cell>
          <cell r="C42">
            <v>10</v>
          </cell>
          <cell r="D42">
            <v>461000</v>
          </cell>
          <cell r="E42">
            <v>1913</v>
          </cell>
          <cell r="F42">
            <v>240.98274960794564</v>
          </cell>
          <cell r="G42">
            <v>464000</v>
          </cell>
          <cell r="H42">
            <v>307</v>
          </cell>
          <cell r="I42">
            <v>1511.4006514657981</v>
          </cell>
          <cell r="J42">
            <v>187000</v>
          </cell>
          <cell r="K42">
            <v>276</v>
          </cell>
          <cell r="L42">
            <v>677.536231884058</v>
          </cell>
          <cell r="M42">
            <v>758000</v>
          </cell>
          <cell r="N42">
            <v>6100000</v>
          </cell>
          <cell r="O42">
            <v>0.12426229508196722</v>
          </cell>
          <cell r="P42">
            <v>105000</v>
          </cell>
          <cell r="Q42">
            <v>3039000</v>
          </cell>
          <cell r="R42">
            <v>3.4550839091806514E-2</v>
          </cell>
          <cell r="S42">
            <v>-788000</v>
          </cell>
          <cell r="T42">
            <v>3744000</v>
          </cell>
          <cell r="U42">
            <v>-0.21047008547008547</v>
          </cell>
          <cell r="V42">
            <v>3144000</v>
          </cell>
          <cell r="W42">
            <v>13766000</v>
          </cell>
          <cell r="X42">
            <v>0.22838878396048234</v>
          </cell>
          <cell r="Y42">
            <v>2956000</v>
          </cell>
          <cell r="Z42">
            <v>13766000</v>
          </cell>
          <cell r="AA42">
            <v>0.214731948278367</v>
          </cell>
          <cell r="AB42">
            <v>307000</v>
          </cell>
          <cell r="AC42">
            <v>13766000</v>
          </cell>
          <cell r="AD42">
            <v>2.2301322097922419E-2</v>
          </cell>
          <cell r="AE42">
            <v>5752000</v>
          </cell>
          <cell r="AF42">
            <v>13766000</v>
          </cell>
          <cell r="AG42">
            <v>0.41784105767833796</v>
          </cell>
          <cell r="AH42">
            <v>1242000</v>
          </cell>
          <cell r="AI42">
            <v>13766000</v>
          </cell>
          <cell r="AJ42">
            <v>9.0222286793549322E-2</v>
          </cell>
          <cell r="AK42">
            <v>365000</v>
          </cell>
          <cell r="AL42">
            <v>13766000</v>
          </cell>
          <cell r="AM42">
            <v>2.6514601191340983E-2</v>
          </cell>
          <cell r="AN42">
            <v>11610000</v>
          </cell>
          <cell r="AO42">
            <v>5207</v>
          </cell>
          <cell r="AP42">
            <v>2229.6908008450164</v>
          </cell>
          <cell r="AQ42">
            <v>5189000</v>
          </cell>
          <cell r="AR42">
            <v>16406000</v>
          </cell>
          <cell r="AS42">
            <v>0.31628672436913324</v>
          </cell>
          <cell r="AT42">
            <v>4320000</v>
          </cell>
          <cell r="AU42">
            <v>16406000</v>
          </cell>
          <cell r="AV42">
            <v>0.26331829818359137</v>
          </cell>
          <cell r="AW42">
            <v>84000</v>
          </cell>
          <cell r="AX42">
            <v>16406000</v>
          </cell>
          <cell r="AY42">
            <v>5.1200780202364992E-3</v>
          </cell>
          <cell r="AZ42">
            <v>5481000</v>
          </cell>
          <cell r="BA42">
            <v>16406000</v>
          </cell>
          <cell r="BB42">
            <v>0.33408509082043153</v>
          </cell>
          <cell r="BC42">
            <v>1332000</v>
          </cell>
          <cell r="BD42">
            <v>16406000</v>
          </cell>
          <cell r="BE42">
            <v>8.1189808606607336E-2</v>
          </cell>
          <cell r="BF42">
            <v>13400000</v>
          </cell>
          <cell r="BG42">
            <v>5207</v>
          </cell>
          <cell r="BH42">
            <v>2573.4588054541964</v>
          </cell>
          <cell r="BI42">
            <v>3897000</v>
          </cell>
          <cell r="BJ42">
            <v>1686000</v>
          </cell>
          <cell r="BK42">
            <v>2.3113879003558719</v>
          </cell>
          <cell r="BL42">
            <v>1388000</v>
          </cell>
          <cell r="BM42">
            <v>9741000</v>
          </cell>
          <cell r="BN42">
            <v>0.14249050405502514</v>
          </cell>
          <cell r="BO42">
            <v>1322000</v>
          </cell>
          <cell r="BP42">
            <v>4989000</v>
          </cell>
          <cell r="BQ42">
            <v>0.26498296251753861</v>
          </cell>
          <cell r="BR42">
            <v>136</v>
          </cell>
          <cell r="BS42" t="str">
            <v>&lt;=2</v>
          </cell>
          <cell r="BT42" t="str">
            <v>&lt;=2</v>
          </cell>
          <cell r="BU42" t="str">
            <v>&lt;=8</v>
          </cell>
          <cell r="BV42">
            <v>142000</v>
          </cell>
          <cell r="BW42">
            <v>5207</v>
          </cell>
          <cell r="BX42">
            <v>27.270981371231034</v>
          </cell>
          <cell r="BY42">
            <v>33313</v>
          </cell>
          <cell r="BZ42">
            <v>5207</v>
          </cell>
          <cell r="CA42">
            <v>6.3977338198578835</v>
          </cell>
          <cell r="CB42">
            <v>328000</v>
          </cell>
          <cell r="CC42">
            <v>1887</v>
          </cell>
          <cell r="CD42">
            <v>173.82087970323263</v>
          </cell>
          <cell r="CE42">
            <v>133000</v>
          </cell>
          <cell r="CF42">
            <v>1887</v>
          </cell>
          <cell r="CG42">
            <v>70.482246952835183</v>
          </cell>
          <cell r="CI42">
            <v>5207</v>
          </cell>
          <cell r="CJ42" t="str">
            <v>N/A</v>
          </cell>
          <cell r="CK42">
            <v>1431900</v>
          </cell>
          <cell r="CL42">
            <v>5207</v>
          </cell>
          <cell r="CM42">
            <v>274.99519877088534</v>
          </cell>
          <cell r="CN42">
            <v>597.21463160436701</v>
          </cell>
          <cell r="CO42">
            <v>770.19280875456002</v>
          </cell>
          <cell r="CP42">
            <v>193</v>
          </cell>
          <cell r="CQ42">
            <v>357.89473684210498</v>
          </cell>
          <cell r="CR42">
            <v>41</v>
          </cell>
          <cell r="CS42">
            <v>413</v>
          </cell>
          <cell r="CT42">
            <v>41</v>
          </cell>
          <cell r="CU42">
            <v>10.073170731707316</v>
          </cell>
          <cell r="CV42">
            <v>10</v>
          </cell>
          <cell r="CW42">
            <v>1000</v>
          </cell>
          <cell r="CX42">
            <v>99000</v>
          </cell>
          <cell r="CY42">
            <v>1.0101010101010102E-2</v>
          </cell>
          <cell r="CZ42">
            <v>160000</v>
          </cell>
          <cell r="DA42">
            <v>5207</v>
          </cell>
          <cell r="DB42">
            <v>30.727866333781449</v>
          </cell>
          <cell r="DC42">
            <v>265000</v>
          </cell>
          <cell r="DD42">
            <v>5207</v>
          </cell>
          <cell r="DE42">
            <v>50.893028615325527</v>
          </cell>
          <cell r="DF42">
            <v>1825000</v>
          </cell>
          <cell r="DG42">
            <v>5207</v>
          </cell>
          <cell r="DH42">
            <v>350.48972536969467</v>
          </cell>
          <cell r="DI42">
            <v>45606.1</v>
          </cell>
          <cell r="DJ42">
            <v>0.11417332330543502</v>
          </cell>
          <cell r="DK42">
            <v>-4.9812734082397003E-3</v>
          </cell>
          <cell r="DL42">
            <v>8.2799999999999994</v>
          </cell>
          <cell r="DM42">
            <v>1.71</v>
          </cell>
        </row>
        <row r="43">
          <cell r="B43" t="str">
            <v>Coffs Harbour City Council</v>
          </cell>
          <cell r="C43">
            <v>4</v>
          </cell>
          <cell r="D43">
            <v>11899000</v>
          </cell>
          <cell r="E43">
            <v>23755</v>
          </cell>
          <cell r="F43">
            <v>500.90507261629131</v>
          </cell>
          <cell r="G43">
            <v>1003000</v>
          </cell>
          <cell r="H43">
            <v>791</v>
          </cell>
          <cell r="I43">
            <v>1268.0151706700378</v>
          </cell>
          <cell r="J43">
            <v>3802000</v>
          </cell>
          <cell r="K43">
            <v>1484</v>
          </cell>
          <cell r="L43">
            <v>2561.9946091644206</v>
          </cell>
          <cell r="M43">
            <v>3116000</v>
          </cell>
          <cell r="N43">
            <v>46859000</v>
          </cell>
          <cell r="O43">
            <v>6.6497364433726711E-2</v>
          </cell>
          <cell r="P43">
            <v>1961000</v>
          </cell>
          <cell r="Q43">
            <v>33611000</v>
          </cell>
          <cell r="R43">
            <v>5.8343994525601739E-2</v>
          </cell>
          <cell r="S43">
            <v>356000</v>
          </cell>
          <cell r="T43">
            <v>10931000</v>
          </cell>
          <cell r="U43">
            <v>3.2567926081785749E-2</v>
          </cell>
          <cell r="V43">
            <v>35572000</v>
          </cell>
          <cell r="W43">
            <v>76527000</v>
          </cell>
          <cell r="X43">
            <v>0.46482940661465888</v>
          </cell>
          <cell r="Y43">
            <v>11287000</v>
          </cell>
          <cell r="Z43">
            <v>76527000</v>
          </cell>
          <cell r="AA43">
            <v>0.1474904282148784</v>
          </cell>
          <cell r="AB43">
            <v>7264000</v>
          </cell>
          <cell r="AC43">
            <v>76527000</v>
          </cell>
          <cell r="AD43">
            <v>9.4920746925921576E-2</v>
          </cell>
          <cell r="AE43">
            <v>9437000</v>
          </cell>
          <cell r="AF43">
            <v>76527000</v>
          </cell>
          <cell r="AG43">
            <v>0.12331595384635488</v>
          </cell>
          <cell r="AH43">
            <v>10725000</v>
          </cell>
          <cell r="AI43">
            <v>76527000</v>
          </cell>
          <cell r="AJ43">
            <v>0.14014661492022423</v>
          </cell>
          <cell r="AK43">
            <v>2242000</v>
          </cell>
          <cell r="AL43">
            <v>76527000</v>
          </cell>
          <cell r="AM43">
            <v>2.9296849477962027E-2</v>
          </cell>
          <cell r="AN43">
            <v>37218000</v>
          </cell>
          <cell r="AO43">
            <v>61770</v>
          </cell>
          <cell r="AP43">
            <v>602.52549781447306</v>
          </cell>
          <cell r="AQ43">
            <v>18390000</v>
          </cell>
          <cell r="AR43">
            <v>67443000</v>
          </cell>
          <cell r="AS43">
            <v>0.27267470308260311</v>
          </cell>
          <cell r="AT43">
            <v>15478000</v>
          </cell>
          <cell r="AU43">
            <v>67443000</v>
          </cell>
          <cell r="AV43">
            <v>0.22949750159393859</v>
          </cell>
          <cell r="AW43">
            <v>6601000</v>
          </cell>
          <cell r="AX43">
            <v>67443000</v>
          </cell>
          <cell r="AY43">
            <v>9.7875242797621692E-2</v>
          </cell>
          <cell r="AZ43">
            <v>16236000</v>
          </cell>
          <cell r="BA43">
            <v>67443000</v>
          </cell>
          <cell r="BB43">
            <v>0.24073662203638629</v>
          </cell>
          <cell r="BC43">
            <v>10738000</v>
          </cell>
          <cell r="BD43">
            <v>67443000</v>
          </cell>
          <cell r="BE43">
            <v>0.15921593048945035</v>
          </cell>
          <cell r="BF43">
            <v>61255000</v>
          </cell>
          <cell r="BG43">
            <v>61770</v>
          </cell>
          <cell r="BH43">
            <v>991.66261939452806</v>
          </cell>
          <cell r="BI43">
            <v>19090000</v>
          </cell>
          <cell r="BJ43">
            <v>9420000</v>
          </cell>
          <cell r="BK43">
            <v>2.0265392781316347</v>
          </cell>
          <cell r="BL43">
            <v>12515000</v>
          </cell>
          <cell r="BM43">
            <v>60672000</v>
          </cell>
          <cell r="BN43">
            <v>0.20627307489451477</v>
          </cell>
          <cell r="BO43">
            <v>7761000</v>
          </cell>
          <cell r="BP43">
            <v>12454000</v>
          </cell>
          <cell r="BQ43">
            <v>0.62317327766179542</v>
          </cell>
          <cell r="BR43">
            <v>424</v>
          </cell>
          <cell r="BS43" t="str">
            <v>On Time</v>
          </cell>
          <cell r="BT43" t="str">
            <v>On Time</v>
          </cell>
          <cell r="BU43" t="str">
            <v>On Time</v>
          </cell>
          <cell r="BV43">
            <v>1031000</v>
          </cell>
          <cell r="BW43">
            <v>61770</v>
          </cell>
          <cell r="BX43">
            <v>16.690950299498137</v>
          </cell>
          <cell r="BY43">
            <v>452827</v>
          </cell>
          <cell r="BZ43">
            <v>61770</v>
          </cell>
          <cell r="CA43">
            <v>7.3308564027845229</v>
          </cell>
          <cell r="CB43">
            <v>3593000</v>
          </cell>
          <cell r="CC43">
            <v>21240</v>
          </cell>
          <cell r="CD43">
            <v>169.16195856873824</v>
          </cell>
          <cell r="CE43">
            <v>3515000</v>
          </cell>
          <cell r="CF43">
            <v>28473</v>
          </cell>
          <cell r="CG43">
            <v>123.4502862360833</v>
          </cell>
          <cell r="CH43">
            <v>16583720</v>
          </cell>
          <cell r="CI43">
            <v>61770</v>
          </cell>
          <cell r="CJ43">
            <v>268.47531163995467</v>
          </cell>
          <cell r="CK43">
            <v>18889370</v>
          </cell>
          <cell r="CL43">
            <v>61770</v>
          </cell>
          <cell r="CM43">
            <v>305.80168366520962</v>
          </cell>
          <cell r="CN43">
            <v>332.58278464742199</v>
          </cell>
          <cell r="CO43">
            <v>277.331110893225</v>
          </cell>
          <cell r="CP43">
            <v>583.88331462135397</v>
          </cell>
          <cell r="CQ43">
            <v>445.86759434956798</v>
          </cell>
          <cell r="CR43">
            <v>1707</v>
          </cell>
          <cell r="CS43">
            <v>31663</v>
          </cell>
          <cell r="CT43">
            <v>1707</v>
          </cell>
          <cell r="CU43">
            <v>18.548916227299355</v>
          </cell>
          <cell r="CV43">
            <v>12</v>
          </cell>
          <cell r="CW43">
            <v>97000</v>
          </cell>
          <cell r="CX43">
            <v>1591000</v>
          </cell>
          <cell r="CY43">
            <v>6.0967944688874919E-2</v>
          </cell>
          <cell r="CZ43">
            <v>352000</v>
          </cell>
          <cell r="DA43">
            <v>61770</v>
          </cell>
          <cell r="DB43">
            <v>5.6985591711186663</v>
          </cell>
          <cell r="DC43">
            <v>3466000</v>
          </cell>
          <cell r="DD43">
            <v>61770</v>
          </cell>
          <cell r="DE43">
            <v>56.111380929253684</v>
          </cell>
          <cell r="DF43">
            <v>647000</v>
          </cell>
          <cell r="DG43">
            <v>61770</v>
          </cell>
          <cell r="DH43">
            <v>10.474340294641411</v>
          </cell>
          <cell r="DI43">
            <v>960.9</v>
          </cell>
          <cell r="DJ43">
            <v>64.28348423353107</v>
          </cell>
          <cell r="DK43">
            <v>1.5001740341106858E-2</v>
          </cell>
          <cell r="DL43">
            <v>2.52</v>
          </cell>
          <cell r="DM43">
            <v>4.22</v>
          </cell>
        </row>
        <row r="44">
          <cell r="B44" t="str">
            <v>Conargo Shire Council</v>
          </cell>
          <cell r="C44">
            <v>8</v>
          </cell>
          <cell r="D44">
            <v>49000</v>
          </cell>
          <cell r="E44">
            <v>246</v>
          </cell>
          <cell r="F44">
            <v>199.1869918699187</v>
          </cell>
          <cell r="G44">
            <v>1633000</v>
          </cell>
          <cell r="H44">
            <v>765</v>
          </cell>
          <cell r="I44">
            <v>2134.6405228758172</v>
          </cell>
          <cell r="J44">
            <v>6000</v>
          </cell>
          <cell r="K44">
            <v>27</v>
          </cell>
          <cell r="L44">
            <v>222.22222222222223</v>
          </cell>
          <cell r="M44">
            <v>79000</v>
          </cell>
          <cell r="N44">
            <v>2115000</v>
          </cell>
          <cell r="O44">
            <v>3.7352245862884159E-2</v>
          </cell>
          <cell r="R44" t="str">
            <v>N/A</v>
          </cell>
          <cell r="U44" t="str">
            <v>N/A</v>
          </cell>
          <cell r="V44">
            <v>1694000</v>
          </cell>
          <cell r="W44">
            <v>5637000</v>
          </cell>
          <cell r="X44">
            <v>0.30051445804505944</v>
          </cell>
          <cell r="Y44">
            <v>421000</v>
          </cell>
          <cell r="Z44">
            <v>5637000</v>
          </cell>
          <cell r="AA44">
            <v>7.468511619655846E-2</v>
          </cell>
          <cell r="AB44">
            <v>112000</v>
          </cell>
          <cell r="AC44">
            <v>5637000</v>
          </cell>
          <cell r="AD44">
            <v>1.9868724498846906E-2</v>
          </cell>
          <cell r="AE44">
            <v>3259000</v>
          </cell>
          <cell r="AF44">
            <v>5637000</v>
          </cell>
          <cell r="AG44">
            <v>0.57814440305126835</v>
          </cell>
          <cell r="AH44">
            <v>112000</v>
          </cell>
          <cell r="AI44">
            <v>5637000</v>
          </cell>
          <cell r="AJ44">
            <v>1.9868724498846906E-2</v>
          </cell>
          <cell r="AK44">
            <v>39000</v>
          </cell>
          <cell r="AL44">
            <v>5637000</v>
          </cell>
          <cell r="AM44">
            <v>6.9185737094199038E-3</v>
          </cell>
          <cell r="AN44">
            <v>5139000</v>
          </cell>
          <cell r="AO44">
            <v>1852</v>
          </cell>
          <cell r="AP44">
            <v>2774.8380129589632</v>
          </cell>
          <cell r="AQ44">
            <v>1484000</v>
          </cell>
          <cell r="AR44">
            <v>4720000</v>
          </cell>
          <cell r="AS44">
            <v>0.31440677966101693</v>
          </cell>
          <cell r="AT44">
            <v>1592000</v>
          </cell>
          <cell r="AU44">
            <v>4720000</v>
          </cell>
          <cell r="AV44">
            <v>0.33728813559322035</v>
          </cell>
          <cell r="AW44">
            <v>0</v>
          </cell>
          <cell r="AX44">
            <v>4720000</v>
          </cell>
          <cell r="AY44">
            <v>0</v>
          </cell>
          <cell r="AZ44">
            <v>943000</v>
          </cell>
          <cell r="BA44">
            <v>4720000</v>
          </cell>
          <cell r="BB44">
            <v>0.19978813559322034</v>
          </cell>
          <cell r="BC44">
            <v>701000</v>
          </cell>
          <cell r="BD44">
            <v>4720000</v>
          </cell>
          <cell r="BE44">
            <v>0.14851694915254238</v>
          </cell>
          <cell r="BF44">
            <v>4707000</v>
          </cell>
          <cell r="BG44">
            <v>1852</v>
          </cell>
          <cell r="BH44">
            <v>2541.5766738660909</v>
          </cell>
          <cell r="BI44">
            <v>3004000</v>
          </cell>
          <cell r="BJ44">
            <v>265000</v>
          </cell>
          <cell r="BK44">
            <v>11.335849056603774</v>
          </cell>
          <cell r="BL44">
            <v>0</v>
          </cell>
          <cell r="BM44">
            <v>3984000</v>
          </cell>
          <cell r="BN44">
            <v>0</v>
          </cell>
          <cell r="BP44">
            <v>933000</v>
          </cell>
          <cell r="BQ44">
            <v>0</v>
          </cell>
          <cell r="BR44">
            <v>30</v>
          </cell>
          <cell r="BS44" t="str">
            <v>On Time</v>
          </cell>
          <cell r="BT44" t="str">
            <v>On Time</v>
          </cell>
          <cell r="BU44" t="str">
            <v>On Time</v>
          </cell>
          <cell r="BV44">
            <v>62000</v>
          </cell>
          <cell r="BW44">
            <v>1852</v>
          </cell>
          <cell r="BX44">
            <v>33.477321814254857</v>
          </cell>
          <cell r="BY44">
            <v>13982</v>
          </cell>
          <cell r="BZ44">
            <v>1852</v>
          </cell>
          <cell r="CA44">
            <v>7.5496760259179263</v>
          </cell>
          <cell r="CB44">
            <v>0</v>
          </cell>
          <cell r="CC44">
            <v>0</v>
          </cell>
          <cell r="CD44" t="str">
            <v>N/A</v>
          </cell>
          <cell r="CE44">
            <v>0</v>
          </cell>
          <cell r="CF44">
            <v>0</v>
          </cell>
          <cell r="CG44" t="str">
            <v>N/A</v>
          </cell>
          <cell r="CH44">
            <v>0</v>
          </cell>
          <cell r="CI44">
            <v>1852</v>
          </cell>
          <cell r="CJ44" t="str">
            <v>N/A</v>
          </cell>
          <cell r="CK44">
            <v>450000</v>
          </cell>
          <cell r="CL44">
            <v>1852</v>
          </cell>
          <cell r="CM44">
            <v>242.98056155507558</v>
          </cell>
          <cell r="CN44" t="str">
            <v>N/A</v>
          </cell>
          <cell r="CO44" t="str">
            <v>N/A</v>
          </cell>
          <cell r="CP44" t="str">
            <v>N/A</v>
          </cell>
          <cell r="CQ44" t="str">
            <v>N/A</v>
          </cell>
          <cell r="CR44">
            <v>19</v>
          </cell>
          <cell r="CS44">
            <v>224</v>
          </cell>
          <cell r="CT44">
            <v>19</v>
          </cell>
          <cell r="CU44">
            <v>11.789473684210526</v>
          </cell>
          <cell r="CV44">
            <v>10</v>
          </cell>
          <cell r="CW44">
            <v>0</v>
          </cell>
          <cell r="CX44">
            <v>0</v>
          </cell>
          <cell r="CY44" t="str">
            <v>N/A</v>
          </cell>
          <cell r="CZ44">
            <v>60000</v>
          </cell>
          <cell r="DA44">
            <v>1852</v>
          </cell>
          <cell r="DB44">
            <v>32.39740820734341</v>
          </cell>
          <cell r="DC44">
            <v>20000</v>
          </cell>
          <cell r="DD44">
            <v>1852</v>
          </cell>
          <cell r="DE44">
            <v>10.799136069114471</v>
          </cell>
          <cell r="DF44">
            <v>5000</v>
          </cell>
          <cell r="DG44">
            <v>1852</v>
          </cell>
          <cell r="DH44">
            <v>2.6997840172786178</v>
          </cell>
          <cell r="DI44">
            <v>8750.7999999999993</v>
          </cell>
          <cell r="DJ44">
            <v>0.21163779311605799</v>
          </cell>
          <cell r="DL44">
            <v>1.08</v>
          </cell>
          <cell r="DM44">
            <v>1.93</v>
          </cell>
        </row>
        <row r="45">
          <cell r="B45" t="str">
            <v>Conargo Shire Council (Old)</v>
          </cell>
          <cell r="C45" t="str">
            <v>A</v>
          </cell>
          <cell r="F45">
            <v>0</v>
          </cell>
          <cell r="I45">
            <v>0</v>
          </cell>
          <cell r="L45">
            <v>0</v>
          </cell>
          <cell r="O45">
            <v>0</v>
          </cell>
          <cell r="R45">
            <v>0</v>
          </cell>
          <cell r="U45">
            <v>0</v>
          </cell>
          <cell r="X45">
            <v>0</v>
          </cell>
          <cell r="Z45">
            <v>0</v>
          </cell>
          <cell r="AA45">
            <v>0</v>
          </cell>
          <cell r="AC45">
            <v>0</v>
          </cell>
          <cell r="AD45">
            <v>0</v>
          </cell>
          <cell r="AF45">
            <v>0</v>
          </cell>
          <cell r="AG45">
            <v>0</v>
          </cell>
          <cell r="AI45">
            <v>0</v>
          </cell>
          <cell r="AJ45">
            <v>0</v>
          </cell>
          <cell r="AL45">
            <v>0</v>
          </cell>
          <cell r="AM45">
            <v>0</v>
          </cell>
          <cell r="AP45">
            <v>0</v>
          </cell>
          <cell r="AS45">
            <v>0</v>
          </cell>
          <cell r="AU45">
            <v>0</v>
          </cell>
          <cell r="AV45">
            <v>0</v>
          </cell>
          <cell r="AX45">
            <v>0</v>
          </cell>
          <cell r="AY45">
            <v>0</v>
          </cell>
          <cell r="BA45">
            <v>0</v>
          </cell>
          <cell r="BB45">
            <v>0</v>
          </cell>
          <cell r="BD45">
            <v>0</v>
          </cell>
          <cell r="BE45">
            <v>0</v>
          </cell>
          <cell r="BG45">
            <v>0</v>
          </cell>
          <cell r="BH45">
            <v>0</v>
          </cell>
          <cell r="BK45">
            <v>0</v>
          </cell>
          <cell r="BN45">
            <v>0</v>
          </cell>
          <cell r="BQ45">
            <v>0</v>
          </cell>
          <cell r="BX45">
            <v>0</v>
          </cell>
          <cell r="CA45">
            <v>0</v>
          </cell>
          <cell r="CD45">
            <v>0</v>
          </cell>
          <cell r="CG45">
            <v>0</v>
          </cell>
          <cell r="CJ45">
            <v>0</v>
          </cell>
          <cell r="CM45">
            <v>0</v>
          </cell>
          <cell r="CT45">
            <v>0</v>
          </cell>
          <cell r="CU45">
            <v>0</v>
          </cell>
          <cell r="CY45">
            <v>0</v>
          </cell>
          <cell r="DB45">
            <v>0</v>
          </cell>
          <cell r="DE45">
            <v>0</v>
          </cell>
          <cell r="DH45">
            <v>0</v>
          </cell>
          <cell r="DI45">
            <v>3687.9</v>
          </cell>
          <cell r="DJ45">
            <v>0</v>
          </cell>
          <cell r="DK45">
            <v>-0.2</v>
          </cell>
          <cell r="DL45">
            <v>0.4</v>
          </cell>
          <cell r="DM45">
            <v>2.0499999999999998</v>
          </cell>
        </row>
        <row r="46">
          <cell r="B46" t="str">
            <v>Concord Council</v>
          </cell>
          <cell r="C46" t="str">
            <v>A</v>
          </cell>
          <cell r="F46">
            <v>0</v>
          </cell>
          <cell r="I46">
            <v>0</v>
          </cell>
          <cell r="L46">
            <v>0</v>
          </cell>
          <cell r="O46">
            <v>0</v>
          </cell>
          <cell r="R46">
            <v>0</v>
          </cell>
          <cell r="U46">
            <v>0</v>
          </cell>
          <cell r="X46">
            <v>0</v>
          </cell>
          <cell r="Z46">
            <v>0</v>
          </cell>
          <cell r="AA46">
            <v>0</v>
          </cell>
          <cell r="AC46">
            <v>0</v>
          </cell>
          <cell r="AD46">
            <v>0</v>
          </cell>
          <cell r="AF46">
            <v>0</v>
          </cell>
          <cell r="AG46">
            <v>0</v>
          </cell>
          <cell r="AI46">
            <v>0</v>
          </cell>
          <cell r="AJ46">
            <v>0</v>
          </cell>
          <cell r="AL46">
            <v>0</v>
          </cell>
          <cell r="AM46">
            <v>0</v>
          </cell>
          <cell r="AP46">
            <v>0</v>
          </cell>
          <cell r="AS46">
            <v>0</v>
          </cell>
          <cell r="AU46">
            <v>0</v>
          </cell>
          <cell r="AV46">
            <v>0</v>
          </cell>
          <cell r="AX46">
            <v>0</v>
          </cell>
          <cell r="AY46">
            <v>0</v>
          </cell>
          <cell r="BA46">
            <v>0</v>
          </cell>
          <cell r="BB46">
            <v>0</v>
          </cell>
          <cell r="BD46">
            <v>0</v>
          </cell>
          <cell r="BE46">
            <v>0</v>
          </cell>
          <cell r="BG46">
            <v>0</v>
          </cell>
          <cell r="BH46">
            <v>0</v>
          </cell>
          <cell r="BK46">
            <v>0</v>
          </cell>
          <cell r="BN46">
            <v>0</v>
          </cell>
          <cell r="BQ46">
            <v>0</v>
          </cell>
          <cell r="BX46">
            <v>0</v>
          </cell>
          <cell r="CA46">
            <v>0</v>
          </cell>
          <cell r="CD46">
            <v>0</v>
          </cell>
          <cell r="CG46">
            <v>0</v>
          </cell>
          <cell r="CJ46">
            <v>0</v>
          </cell>
          <cell r="CM46">
            <v>0</v>
          </cell>
          <cell r="CT46">
            <v>0</v>
          </cell>
          <cell r="CU46">
            <v>0</v>
          </cell>
          <cell r="CY46">
            <v>0</v>
          </cell>
          <cell r="DB46">
            <v>0</v>
          </cell>
          <cell r="DE46">
            <v>0</v>
          </cell>
          <cell r="DH46">
            <v>0</v>
          </cell>
          <cell r="DI46">
            <v>11.5</v>
          </cell>
          <cell r="DJ46">
            <v>0</v>
          </cell>
          <cell r="DK46">
            <v>-0.2</v>
          </cell>
          <cell r="DL46">
            <v>0.33</v>
          </cell>
          <cell r="DM46">
            <v>25.89</v>
          </cell>
        </row>
        <row r="47">
          <cell r="B47" t="str">
            <v>Coolah Shire Council</v>
          </cell>
          <cell r="C47">
            <v>9</v>
          </cell>
          <cell r="D47">
            <v>306000</v>
          </cell>
          <cell r="E47">
            <v>1323</v>
          </cell>
          <cell r="F47">
            <v>231.29251700680271</v>
          </cell>
          <cell r="G47">
            <v>1530000</v>
          </cell>
          <cell r="H47">
            <v>817</v>
          </cell>
          <cell r="I47">
            <v>1872.7050183598531</v>
          </cell>
          <cell r="J47">
            <v>41000</v>
          </cell>
          <cell r="K47">
            <v>167</v>
          </cell>
          <cell r="L47">
            <v>245.50898203592814</v>
          </cell>
          <cell r="M47">
            <v>241000</v>
          </cell>
          <cell r="N47">
            <v>5002000</v>
          </cell>
          <cell r="O47">
            <v>4.8180727708916432E-2</v>
          </cell>
          <cell r="P47">
            <v>112000</v>
          </cell>
          <cell r="Q47">
            <v>2204000</v>
          </cell>
          <cell r="R47">
            <v>5.0816696914700546E-2</v>
          </cell>
          <cell r="S47">
            <v>847000</v>
          </cell>
          <cell r="T47">
            <v>1839000</v>
          </cell>
          <cell r="U47">
            <v>0.46057640021750951</v>
          </cell>
          <cell r="V47">
            <v>2316000</v>
          </cell>
          <cell r="W47">
            <v>9031000</v>
          </cell>
          <cell r="X47">
            <v>0.25645000553648545</v>
          </cell>
          <cell r="Y47">
            <v>2686000</v>
          </cell>
          <cell r="Z47">
            <v>9031000</v>
          </cell>
          <cell r="AA47">
            <v>0.29741999778540584</v>
          </cell>
          <cell r="AB47">
            <v>193000</v>
          </cell>
          <cell r="AC47">
            <v>9031000</v>
          </cell>
          <cell r="AD47">
            <v>2.1370833794707118E-2</v>
          </cell>
          <cell r="AE47">
            <v>2778000</v>
          </cell>
          <cell r="AF47">
            <v>9031000</v>
          </cell>
          <cell r="AG47">
            <v>0.30760713099324549</v>
          </cell>
          <cell r="AH47">
            <v>952000</v>
          </cell>
          <cell r="AI47">
            <v>9031000</v>
          </cell>
          <cell r="AJ47">
            <v>0.10541468275938434</v>
          </cell>
          <cell r="AK47">
            <v>106000</v>
          </cell>
          <cell r="AL47">
            <v>9031000</v>
          </cell>
          <cell r="AM47">
            <v>1.1737349130771787E-2</v>
          </cell>
          <cell r="AN47">
            <v>8046000</v>
          </cell>
          <cell r="AO47">
            <v>3977</v>
          </cell>
          <cell r="AP47">
            <v>2023.1330148353029</v>
          </cell>
          <cell r="AQ47">
            <v>2823000</v>
          </cell>
          <cell r="AR47">
            <v>10001000</v>
          </cell>
          <cell r="AS47">
            <v>0.2822717728227177</v>
          </cell>
          <cell r="AT47">
            <v>2977000</v>
          </cell>
          <cell r="AU47">
            <v>10001000</v>
          </cell>
          <cell r="AV47">
            <v>0.29767023297670231</v>
          </cell>
          <cell r="AW47">
            <v>29000</v>
          </cell>
          <cell r="AX47">
            <v>10001000</v>
          </cell>
          <cell r="AY47">
            <v>2.8997100289971001E-3</v>
          </cell>
          <cell r="AZ47">
            <v>3179000</v>
          </cell>
          <cell r="BA47">
            <v>10001000</v>
          </cell>
          <cell r="BB47">
            <v>0.31786821317868214</v>
          </cell>
          <cell r="BC47">
            <v>993000</v>
          </cell>
          <cell r="BD47">
            <v>10001000</v>
          </cell>
          <cell r="BE47">
            <v>9.9290070992900714E-2</v>
          </cell>
          <cell r="BF47">
            <v>9356000</v>
          </cell>
          <cell r="BG47">
            <v>3977</v>
          </cell>
          <cell r="BH47">
            <v>2352.5270304249434</v>
          </cell>
          <cell r="BI47">
            <v>3090000</v>
          </cell>
          <cell r="BJ47">
            <v>1265000</v>
          </cell>
          <cell r="BK47">
            <v>2.4426877470355732</v>
          </cell>
          <cell r="BL47">
            <v>39000</v>
          </cell>
          <cell r="BM47">
            <v>7068000</v>
          </cell>
          <cell r="BN47">
            <v>5.5178268251273345E-3</v>
          </cell>
          <cell r="BO47">
            <v>1882000</v>
          </cell>
          <cell r="BP47">
            <v>3072000</v>
          </cell>
          <cell r="BQ47">
            <v>0.61263020833333337</v>
          </cell>
          <cell r="BR47">
            <v>72</v>
          </cell>
          <cell r="BS47" t="str">
            <v>&lt;=4</v>
          </cell>
          <cell r="BT47" t="str">
            <v>Not Received</v>
          </cell>
          <cell r="BU47" t="str">
            <v>On Time</v>
          </cell>
          <cell r="BV47">
            <v>84000</v>
          </cell>
          <cell r="BW47">
            <v>3977</v>
          </cell>
          <cell r="BX47">
            <v>21.121448327885339</v>
          </cell>
          <cell r="BY47">
            <v>11749</v>
          </cell>
          <cell r="BZ47">
            <v>3977</v>
          </cell>
          <cell r="CA47">
            <v>2.9542368619562485</v>
          </cell>
          <cell r="CB47">
            <v>89000</v>
          </cell>
          <cell r="CC47">
            <v>797</v>
          </cell>
          <cell r="CD47">
            <v>111.66875784190715</v>
          </cell>
          <cell r="CE47">
            <v>50667</v>
          </cell>
          <cell r="CF47">
            <v>797</v>
          </cell>
          <cell r="CG47">
            <v>63.572145545796737</v>
          </cell>
          <cell r="CI47">
            <v>3977</v>
          </cell>
          <cell r="CJ47" t="str">
            <v>N/A</v>
          </cell>
          <cell r="CK47">
            <v>2640000</v>
          </cell>
          <cell r="CL47">
            <v>3977</v>
          </cell>
          <cell r="CM47">
            <v>663.81694744782499</v>
          </cell>
          <cell r="CN47">
            <v>329.54141485958098</v>
          </cell>
          <cell r="CO47">
            <v>423.92463562033402</v>
          </cell>
          <cell r="CP47">
            <v>249.538550896576</v>
          </cell>
          <cell r="CQ47">
            <v>223.76543209876499</v>
          </cell>
          <cell r="CR47">
            <v>43</v>
          </cell>
          <cell r="CS47">
            <v>670</v>
          </cell>
          <cell r="CT47">
            <v>43</v>
          </cell>
          <cell r="CU47">
            <v>15.581395348837209</v>
          </cell>
          <cell r="CV47">
            <v>15</v>
          </cell>
          <cell r="CW47">
            <v>2000</v>
          </cell>
          <cell r="CX47">
            <v>61000</v>
          </cell>
          <cell r="CY47">
            <v>3.2786885245901641E-2</v>
          </cell>
          <cell r="CZ47">
            <v>116000</v>
          </cell>
          <cell r="DA47">
            <v>3977</v>
          </cell>
          <cell r="DB47">
            <v>29.167714357555948</v>
          </cell>
          <cell r="DC47">
            <v>291000</v>
          </cell>
          <cell r="DD47">
            <v>3977</v>
          </cell>
          <cell r="DE47">
            <v>73.170731707317074</v>
          </cell>
          <cell r="DF47">
            <v>199000</v>
          </cell>
          <cell r="DG47">
            <v>3977</v>
          </cell>
          <cell r="DH47">
            <v>50.03771687201408</v>
          </cell>
          <cell r="DI47">
            <v>4803.8999999999996</v>
          </cell>
          <cell r="DJ47">
            <v>0.82786902308540988</v>
          </cell>
          <cell r="DK47">
            <v>-2.1393034825870649E-3</v>
          </cell>
          <cell r="DL47">
            <v>1.81</v>
          </cell>
          <cell r="DM47">
            <v>2.3199999999999998</v>
          </cell>
        </row>
        <row r="48">
          <cell r="B48" t="str">
            <v>Coolamon Shire Council</v>
          </cell>
          <cell r="C48">
            <v>9</v>
          </cell>
          <cell r="D48">
            <v>284000</v>
          </cell>
          <cell r="E48">
            <v>1551</v>
          </cell>
          <cell r="F48">
            <v>183.10767246937459</v>
          </cell>
          <cell r="G48">
            <v>1049000</v>
          </cell>
          <cell r="H48">
            <v>786</v>
          </cell>
          <cell r="I48">
            <v>1334.6055979643766</v>
          </cell>
          <cell r="J48">
            <v>52000</v>
          </cell>
          <cell r="K48">
            <v>239</v>
          </cell>
          <cell r="L48">
            <v>217.57322175732219</v>
          </cell>
          <cell r="M48">
            <v>193000</v>
          </cell>
          <cell r="N48">
            <v>2241000</v>
          </cell>
          <cell r="O48">
            <v>8.6122266845158418E-2</v>
          </cell>
          <cell r="P48">
            <v>92000</v>
          </cell>
          <cell r="Q48">
            <v>1671000</v>
          </cell>
          <cell r="R48">
            <v>5.5056852184320763E-2</v>
          </cell>
          <cell r="S48">
            <v>9000</v>
          </cell>
          <cell r="T48">
            <v>469000</v>
          </cell>
          <cell r="U48">
            <v>1.9189765458422176E-2</v>
          </cell>
          <cell r="V48">
            <v>1763000</v>
          </cell>
          <cell r="W48">
            <v>7266000</v>
          </cell>
          <cell r="X48">
            <v>0.24263693916873108</v>
          </cell>
          <cell r="Y48">
            <v>478000</v>
          </cell>
          <cell r="Z48">
            <v>7266000</v>
          </cell>
          <cell r="AA48">
            <v>6.5785851913019541E-2</v>
          </cell>
          <cell r="AB48">
            <v>268000</v>
          </cell>
          <cell r="AC48">
            <v>7266000</v>
          </cell>
          <cell r="AD48">
            <v>3.6884117808973299E-2</v>
          </cell>
          <cell r="AE48">
            <v>2723000</v>
          </cell>
          <cell r="AF48">
            <v>7266000</v>
          </cell>
          <cell r="AG48">
            <v>0.37475915221579964</v>
          </cell>
          <cell r="AH48">
            <v>1843000</v>
          </cell>
          <cell r="AI48">
            <v>7266000</v>
          </cell>
          <cell r="AJ48">
            <v>0.25364712358932012</v>
          </cell>
          <cell r="AK48">
            <v>191000</v>
          </cell>
          <cell r="AL48">
            <v>7266000</v>
          </cell>
          <cell r="AM48">
            <v>2.6286815304156344E-2</v>
          </cell>
          <cell r="AN48">
            <v>5243000</v>
          </cell>
          <cell r="AO48">
            <v>4128</v>
          </cell>
          <cell r="AP48">
            <v>1270.1065891472867</v>
          </cell>
          <cell r="AQ48">
            <v>1965000</v>
          </cell>
          <cell r="AR48">
            <v>5215000</v>
          </cell>
          <cell r="AS48">
            <v>0.37679769894534998</v>
          </cell>
          <cell r="AT48">
            <v>1370000</v>
          </cell>
          <cell r="AU48">
            <v>5215000</v>
          </cell>
          <cell r="AV48">
            <v>0.26270373921380635</v>
          </cell>
          <cell r="AW48">
            <v>0</v>
          </cell>
          <cell r="AX48">
            <v>5215000</v>
          </cell>
          <cell r="AY48">
            <v>0</v>
          </cell>
          <cell r="AZ48">
            <v>996000</v>
          </cell>
          <cell r="BA48">
            <v>5215000</v>
          </cell>
          <cell r="BB48">
            <v>0.19098753595397891</v>
          </cell>
          <cell r="BC48">
            <v>884000</v>
          </cell>
          <cell r="BD48">
            <v>5215000</v>
          </cell>
          <cell r="BE48">
            <v>0.16951102588686481</v>
          </cell>
          <cell r="BF48">
            <v>4996000</v>
          </cell>
          <cell r="BG48">
            <v>4128</v>
          </cell>
          <cell r="BH48">
            <v>1210.2713178294573</v>
          </cell>
          <cell r="BI48">
            <v>3762000</v>
          </cell>
          <cell r="BJ48">
            <v>355000</v>
          </cell>
          <cell r="BK48">
            <v>10.597183098591549</v>
          </cell>
          <cell r="BL48">
            <v>0</v>
          </cell>
          <cell r="BM48">
            <v>4735000</v>
          </cell>
          <cell r="BN48">
            <v>0</v>
          </cell>
          <cell r="BO48">
            <v>1637000</v>
          </cell>
          <cell r="BP48">
            <v>925000</v>
          </cell>
          <cell r="BQ48">
            <v>1.7697297297297296</v>
          </cell>
          <cell r="BR48">
            <v>55</v>
          </cell>
          <cell r="BS48" t="str">
            <v>On Time</v>
          </cell>
          <cell r="BT48" t="str">
            <v>On Time</v>
          </cell>
          <cell r="BU48" t="str">
            <v>On Time</v>
          </cell>
          <cell r="BV48">
            <v>78000</v>
          </cell>
          <cell r="BW48">
            <v>4128</v>
          </cell>
          <cell r="BX48">
            <v>18.895348837209301</v>
          </cell>
          <cell r="BY48">
            <v>16486</v>
          </cell>
          <cell r="BZ48">
            <v>4128</v>
          </cell>
          <cell r="CA48">
            <v>3.993701550387597</v>
          </cell>
          <cell r="CB48">
            <v>151000</v>
          </cell>
          <cell r="CC48">
            <v>1291</v>
          </cell>
          <cell r="CD48">
            <v>116.96359411309062</v>
          </cell>
          <cell r="CE48">
            <v>75605</v>
          </cell>
          <cell r="CF48">
            <v>1291</v>
          </cell>
          <cell r="CG48">
            <v>58.563129357087526</v>
          </cell>
          <cell r="CH48">
            <v>205000</v>
          </cell>
          <cell r="CI48">
            <v>4128</v>
          </cell>
          <cell r="CJ48">
            <v>49.660852713178294</v>
          </cell>
          <cell r="CK48">
            <v>2600000</v>
          </cell>
          <cell r="CL48">
            <v>4128</v>
          </cell>
          <cell r="CM48">
            <v>629.84496124031011</v>
          </cell>
          <cell r="CN48" t="str">
            <v>N/A</v>
          </cell>
          <cell r="CO48" t="str">
            <v>N/A</v>
          </cell>
          <cell r="CP48">
            <v>285.36348704029001</v>
          </cell>
          <cell r="CQ48">
            <v>261.933904528764</v>
          </cell>
          <cell r="CR48">
            <v>106</v>
          </cell>
          <cell r="CS48">
            <v>2134</v>
          </cell>
          <cell r="CT48">
            <v>106</v>
          </cell>
          <cell r="CU48">
            <v>20.132075471698112</v>
          </cell>
          <cell r="CV48">
            <v>23</v>
          </cell>
          <cell r="CW48">
            <v>0</v>
          </cell>
          <cell r="CX48">
            <v>85000</v>
          </cell>
          <cell r="CY48">
            <v>0</v>
          </cell>
          <cell r="CZ48">
            <v>186000</v>
          </cell>
          <cell r="DA48">
            <v>4128</v>
          </cell>
          <cell r="DB48">
            <v>45.058139534883722</v>
          </cell>
          <cell r="DC48">
            <v>448000</v>
          </cell>
          <cell r="DD48">
            <v>4128</v>
          </cell>
          <cell r="DE48">
            <v>108.52713178294573</v>
          </cell>
          <cell r="DF48">
            <v>337000</v>
          </cell>
          <cell r="DG48">
            <v>4128</v>
          </cell>
          <cell r="DH48">
            <v>81.637596899224803</v>
          </cell>
          <cell r="DI48">
            <v>2432.5</v>
          </cell>
          <cell r="DJ48">
            <v>1.6970195272353545</v>
          </cell>
          <cell r="DK48">
            <v>3.349753694581281E-3</v>
          </cell>
          <cell r="DL48">
            <v>1.35</v>
          </cell>
          <cell r="DM48">
            <v>1.26</v>
          </cell>
        </row>
        <row r="49">
          <cell r="B49" t="str">
            <v>Cooma-Monaro Shire Council</v>
          </cell>
          <cell r="C49">
            <v>10</v>
          </cell>
          <cell r="D49">
            <v>1730000</v>
          </cell>
          <cell r="E49">
            <v>3866</v>
          </cell>
          <cell r="F49">
            <v>447.49094671495084</v>
          </cell>
          <cell r="G49">
            <v>1020000</v>
          </cell>
          <cell r="H49">
            <v>1138</v>
          </cell>
          <cell r="I49">
            <v>896.30931458699467</v>
          </cell>
          <cell r="J49">
            <v>1060000</v>
          </cell>
          <cell r="K49">
            <v>424</v>
          </cell>
          <cell r="L49">
            <v>2500</v>
          </cell>
          <cell r="M49">
            <v>1348000</v>
          </cell>
          <cell r="N49">
            <v>8891000</v>
          </cell>
          <cell r="O49">
            <v>0.15161399167697673</v>
          </cell>
          <cell r="P49">
            <v>114000</v>
          </cell>
          <cell r="Q49">
            <v>6520000</v>
          </cell>
          <cell r="R49">
            <v>1.7484662576687116E-2</v>
          </cell>
          <cell r="S49">
            <v>256000</v>
          </cell>
          <cell r="T49">
            <v>2001000</v>
          </cell>
          <cell r="U49">
            <v>0.12793603198400799</v>
          </cell>
          <cell r="V49">
            <v>6634000</v>
          </cell>
          <cell r="W49">
            <v>14181000</v>
          </cell>
          <cell r="X49">
            <v>0.46780904026514353</v>
          </cell>
          <cell r="Y49">
            <v>2257000</v>
          </cell>
          <cell r="Z49">
            <v>14181000</v>
          </cell>
          <cell r="AA49">
            <v>0.15915661801001341</v>
          </cell>
          <cell r="AB49">
            <v>491000</v>
          </cell>
          <cell r="AC49">
            <v>14181000</v>
          </cell>
          <cell r="AD49">
            <v>3.4623792398279389E-2</v>
          </cell>
          <cell r="AE49">
            <v>3840000</v>
          </cell>
          <cell r="AF49">
            <v>14181000</v>
          </cell>
          <cell r="AG49">
            <v>0.27078485297228688</v>
          </cell>
          <cell r="AH49">
            <v>911000</v>
          </cell>
          <cell r="AI49">
            <v>14181000</v>
          </cell>
          <cell r="AJ49">
            <v>6.4240885692123259E-2</v>
          </cell>
          <cell r="AK49">
            <v>48000</v>
          </cell>
          <cell r="AL49">
            <v>14181000</v>
          </cell>
          <cell r="AM49">
            <v>3.3848106621535857E-3</v>
          </cell>
          <cell r="AN49">
            <v>13050000</v>
          </cell>
          <cell r="AO49">
            <v>9593</v>
          </cell>
          <cell r="AP49">
            <v>1360.3669342228709</v>
          </cell>
          <cell r="AQ49">
            <v>5318000</v>
          </cell>
          <cell r="AR49">
            <v>14255000</v>
          </cell>
          <cell r="AS49">
            <v>0.37306208347948089</v>
          </cell>
          <cell r="AT49">
            <v>4562000</v>
          </cell>
          <cell r="AU49">
            <v>14255000</v>
          </cell>
          <cell r="AV49">
            <v>0.32002806032970887</v>
          </cell>
          <cell r="AW49">
            <v>309000</v>
          </cell>
          <cell r="AX49">
            <v>14255000</v>
          </cell>
          <cell r="AY49">
            <v>2.1676604700105226E-2</v>
          </cell>
          <cell r="AZ49">
            <v>2536000</v>
          </cell>
          <cell r="BA49">
            <v>14255000</v>
          </cell>
          <cell r="BB49">
            <v>0.17790249035426167</v>
          </cell>
          <cell r="BC49">
            <v>1530000</v>
          </cell>
          <cell r="BD49">
            <v>14255000</v>
          </cell>
          <cell r="BE49">
            <v>0.10733076113644335</v>
          </cell>
          <cell r="BF49">
            <v>11560000</v>
          </cell>
          <cell r="BG49">
            <v>9593</v>
          </cell>
          <cell r="BH49">
            <v>1205.045345564474</v>
          </cell>
          <cell r="BI49">
            <v>5084000</v>
          </cell>
          <cell r="BJ49">
            <v>1018000</v>
          </cell>
          <cell r="BK49">
            <v>4.9941060903732808</v>
          </cell>
          <cell r="BL49">
            <v>1249000</v>
          </cell>
          <cell r="BM49">
            <v>11698000</v>
          </cell>
          <cell r="BN49">
            <v>0.10677038810053001</v>
          </cell>
          <cell r="BO49">
            <v>919000</v>
          </cell>
          <cell r="BP49">
            <v>2275000</v>
          </cell>
          <cell r="BQ49">
            <v>0.40395604395604395</v>
          </cell>
          <cell r="BR49">
            <v>120.3</v>
          </cell>
          <cell r="BS49" t="str">
            <v>On Time</v>
          </cell>
          <cell r="BT49" t="str">
            <v>On Time</v>
          </cell>
          <cell r="BU49" t="str">
            <v>On Time</v>
          </cell>
          <cell r="BV49">
            <v>405000</v>
          </cell>
          <cell r="BW49">
            <v>9593</v>
          </cell>
          <cell r="BX49">
            <v>42.218284165537369</v>
          </cell>
          <cell r="BY49">
            <v>85895</v>
          </cell>
          <cell r="BZ49">
            <v>9593</v>
          </cell>
          <cell r="CA49">
            <v>8.9539247367872399</v>
          </cell>
          <cell r="CB49">
            <v>379000</v>
          </cell>
          <cell r="CC49">
            <v>2662</v>
          </cell>
          <cell r="CD49">
            <v>142.37415477084897</v>
          </cell>
          <cell r="CE49">
            <v>183176</v>
          </cell>
          <cell r="CF49">
            <v>2662</v>
          </cell>
          <cell r="CG49">
            <v>68.81141998497371</v>
          </cell>
          <cell r="CH49">
            <v>1100000</v>
          </cell>
          <cell r="CI49">
            <v>9593</v>
          </cell>
          <cell r="CJ49">
            <v>114.66694464713854</v>
          </cell>
          <cell r="CK49">
            <v>5500000</v>
          </cell>
          <cell r="CL49">
            <v>9593</v>
          </cell>
          <cell r="CM49">
            <v>573.33472323569265</v>
          </cell>
          <cell r="CN49">
            <v>454.92143620194599</v>
          </cell>
          <cell r="CO49">
            <v>339.373022720736</v>
          </cell>
          <cell r="CP49">
            <v>398.76640668582297</v>
          </cell>
          <cell r="CQ49">
            <v>454.22647527910698</v>
          </cell>
          <cell r="CR49">
            <v>217</v>
          </cell>
          <cell r="CS49">
            <v>9833</v>
          </cell>
          <cell r="CT49">
            <v>217</v>
          </cell>
          <cell r="CU49">
            <v>45.313364055299537</v>
          </cell>
          <cell r="CV49">
            <v>60</v>
          </cell>
          <cell r="CW49">
            <v>2000</v>
          </cell>
          <cell r="CX49">
            <v>418000</v>
          </cell>
          <cell r="CY49">
            <v>4.7846889952153108E-3</v>
          </cell>
          <cell r="CZ49">
            <v>392000</v>
          </cell>
          <cell r="DA49">
            <v>9593</v>
          </cell>
          <cell r="DB49">
            <v>40.863129365162095</v>
          </cell>
          <cell r="DC49">
            <v>727000</v>
          </cell>
          <cell r="DD49">
            <v>9593</v>
          </cell>
          <cell r="DE49">
            <v>75.784426144063374</v>
          </cell>
          <cell r="DF49">
            <v>744000</v>
          </cell>
          <cell r="DG49">
            <v>9593</v>
          </cell>
          <cell r="DH49">
            <v>77.556551652246426</v>
          </cell>
          <cell r="DI49">
            <v>4925.8</v>
          </cell>
          <cell r="DJ49">
            <v>1.9475009135571886</v>
          </cell>
          <cell r="DK49">
            <v>-5.2182741116751268E-3</v>
          </cell>
          <cell r="DL49">
            <v>0.49</v>
          </cell>
          <cell r="DM49">
            <v>8.34</v>
          </cell>
        </row>
        <row r="50">
          <cell r="B50" t="str">
            <v>Coonabarabran Shire Council</v>
          </cell>
          <cell r="C50">
            <v>10</v>
          </cell>
          <cell r="D50">
            <v>738000</v>
          </cell>
          <cell r="E50">
            <v>2255</v>
          </cell>
          <cell r="F50">
            <v>327.27272727272725</v>
          </cell>
          <cell r="G50">
            <v>1400000</v>
          </cell>
          <cell r="H50">
            <v>892</v>
          </cell>
          <cell r="I50">
            <v>1569.5067264573991</v>
          </cell>
          <cell r="J50">
            <v>245000</v>
          </cell>
          <cell r="K50">
            <v>291</v>
          </cell>
          <cell r="L50">
            <v>841.9243986254296</v>
          </cell>
          <cell r="M50">
            <v>497000</v>
          </cell>
          <cell r="N50">
            <v>5223000</v>
          </cell>
          <cell r="O50">
            <v>9.5156040589699412E-2</v>
          </cell>
          <cell r="P50">
            <v>147000</v>
          </cell>
          <cell r="Q50">
            <v>4048000</v>
          </cell>
          <cell r="R50">
            <v>3.6314229249011856E-2</v>
          </cell>
          <cell r="S50">
            <v>279000</v>
          </cell>
          <cell r="T50">
            <v>749000</v>
          </cell>
          <cell r="U50">
            <v>0.37249666221628841</v>
          </cell>
          <cell r="V50">
            <v>4195000</v>
          </cell>
          <cell r="W50">
            <v>13188000</v>
          </cell>
          <cell r="X50">
            <v>0.31809220503488017</v>
          </cell>
          <cell r="Y50">
            <v>1028000</v>
          </cell>
          <cell r="Z50">
            <v>13188000</v>
          </cell>
          <cell r="AA50">
            <v>7.7949651198058842E-2</v>
          </cell>
          <cell r="AB50">
            <v>488000</v>
          </cell>
          <cell r="AC50">
            <v>13188000</v>
          </cell>
          <cell r="AD50">
            <v>3.7003336366393691E-2</v>
          </cell>
          <cell r="AE50">
            <v>6517000</v>
          </cell>
          <cell r="AF50">
            <v>13188000</v>
          </cell>
          <cell r="AG50">
            <v>0.49416135881104034</v>
          </cell>
          <cell r="AH50">
            <v>264000</v>
          </cell>
          <cell r="AI50">
            <v>13188000</v>
          </cell>
          <cell r="AJ50">
            <v>2.0018198362147407E-2</v>
          </cell>
          <cell r="AK50">
            <v>696000</v>
          </cell>
          <cell r="AL50">
            <v>13188000</v>
          </cell>
          <cell r="AM50">
            <v>5.2775250227479524E-2</v>
          </cell>
          <cell r="AN50">
            <v>9205000</v>
          </cell>
          <cell r="AO50">
            <v>6872</v>
          </cell>
          <cell r="AP50">
            <v>1339.4935972060537</v>
          </cell>
          <cell r="AQ50">
            <v>4321000</v>
          </cell>
          <cell r="AR50">
            <v>13786000</v>
          </cell>
          <cell r="AS50">
            <v>0.31343391846801105</v>
          </cell>
          <cell r="AT50">
            <v>3270000</v>
          </cell>
          <cell r="AU50">
            <v>13786000</v>
          </cell>
          <cell r="AV50">
            <v>0.23719715653561585</v>
          </cell>
          <cell r="AW50">
            <v>54000</v>
          </cell>
          <cell r="AX50">
            <v>13786000</v>
          </cell>
          <cell r="AY50">
            <v>3.917017263890904E-3</v>
          </cell>
          <cell r="AZ50">
            <v>4398000</v>
          </cell>
          <cell r="BA50">
            <v>13786000</v>
          </cell>
          <cell r="BB50">
            <v>0.31901929493689252</v>
          </cell>
          <cell r="BC50">
            <v>1743000</v>
          </cell>
          <cell r="BD50">
            <v>13786000</v>
          </cell>
          <cell r="BE50">
            <v>0.12643261279558973</v>
          </cell>
          <cell r="BF50">
            <v>11819000</v>
          </cell>
          <cell r="BG50">
            <v>6872</v>
          </cell>
          <cell r="BH50">
            <v>1719.8777648428404</v>
          </cell>
          <cell r="BI50">
            <v>6295000</v>
          </cell>
          <cell r="BJ50">
            <v>1169000</v>
          </cell>
          <cell r="BK50">
            <v>5.3849443969204449</v>
          </cell>
          <cell r="BL50">
            <v>126000</v>
          </cell>
          <cell r="BM50">
            <v>9198000</v>
          </cell>
          <cell r="BN50">
            <v>1.3698630136986301E-2</v>
          </cell>
          <cell r="BO50">
            <v>2282000</v>
          </cell>
          <cell r="BP50">
            <v>3608000</v>
          </cell>
          <cell r="BQ50">
            <v>0.6324833702882483</v>
          </cell>
          <cell r="BR50">
            <v>100</v>
          </cell>
          <cell r="BS50" t="str">
            <v>Not Received</v>
          </cell>
          <cell r="BT50" t="str">
            <v>Not Received</v>
          </cell>
          <cell r="BU50" t="str">
            <v>On Time</v>
          </cell>
          <cell r="BV50">
            <v>412000</v>
          </cell>
          <cell r="BW50">
            <v>6872</v>
          </cell>
          <cell r="BX50">
            <v>59.953434225844006</v>
          </cell>
          <cell r="BY50">
            <v>33942</v>
          </cell>
          <cell r="BZ50">
            <v>6872</v>
          </cell>
          <cell r="CA50">
            <v>4.9391734575087307</v>
          </cell>
          <cell r="CB50">
            <v>231000</v>
          </cell>
          <cell r="CC50">
            <v>1713</v>
          </cell>
          <cell r="CD50">
            <v>134.85113835376532</v>
          </cell>
          <cell r="CE50">
            <v>205252</v>
          </cell>
          <cell r="CF50">
            <v>1801</v>
          </cell>
          <cell r="CG50">
            <v>113.96557468073293</v>
          </cell>
          <cell r="CH50">
            <v>1297000</v>
          </cell>
          <cell r="CI50">
            <v>6872</v>
          </cell>
          <cell r="CJ50">
            <v>188.73690337601863</v>
          </cell>
          <cell r="CK50">
            <v>5500000</v>
          </cell>
          <cell r="CL50">
            <v>6872</v>
          </cell>
          <cell r="CM50">
            <v>800.34924330616991</v>
          </cell>
          <cell r="CN50">
            <v>507.81312927909801</v>
          </cell>
          <cell r="CO50">
            <v>602.61780104712102</v>
          </cell>
          <cell r="CP50">
            <v>397</v>
          </cell>
          <cell r="CQ50">
            <v>522</v>
          </cell>
          <cell r="CR50">
            <v>96</v>
          </cell>
          <cell r="CS50">
            <v>2188</v>
          </cell>
          <cell r="CT50">
            <v>96</v>
          </cell>
          <cell r="CU50">
            <v>22.791666666666668</v>
          </cell>
          <cell r="CV50">
            <v>21</v>
          </cell>
          <cell r="CW50">
            <v>0</v>
          </cell>
          <cell r="CX50">
            <v>228000</v>
          </cell>
          <cell r="CY50">
            <v>0</v>
          </cell>
          <cell r="CZ50">
            <v>237000</v>
          </cell>
          <cell r="DA50">
            <v>6872</v>
          </cell>
          <cell r="DB50">
            <v>34.487776484284048</v>
          </cell>
          <cell r="DC50">
            <v>310000</v>
          </cell>
          <cell r="DD50">
            <v>6872</v>
          </cell>
          <cell r="DE50">
            <v>45.110593713620489</v>
          </cell>
          <cell r="DF50">
            <v>633000</v>
          </cell>
          <cell r="DG50">
            <v>6872</v>
          </cell>
          <cell r="DH50">
            <v>92.11292200232829</v>
          </cell>
          <cell r="DI50">
            <v>7575.8</v>
          </cell>
          <cell r="DJ50">
            <v>0.90709892024604655</v>
          </cell>
          <cell r="DK50">
            <v>-1.0427586206896551E-2</v>
          </cell>
          <cell r="DL50">
            <v>7.07</v>
          </cell>
          <cell r="DM50">
            <v>2.33</v>
          </cell>
        </row>
        <row r="51">
          <cell r="B51" t="str">
            <v>Coonamble Shire Council</v>
          </cell>
          <cell r="C51">
            <v>9</v>
          </cell>
          <cell r="D51">
            <v>302000</v>
          </cell>
          <cell r="E51">
            <v>1580</v>
          </cell>
          <cell r="F51">
            <v>191.13924050632912</v>
          </cell>
          <cell r="G51">
            <v>2453000</v>
          </cell>
          <cell r="H51">
            <v>756</v>
          </cell>
          <cell r="I51">
            <v>3244.7089947089949</v>
          </cell>
          <cell r="J51">
            <v>86000</v>
          </cell>
          <cell r="K51">
            <v>191</v>
          </cell>
          <cell r="L51">
            <v>450.26178010471205</v>
          </cell>
          <cell r="M51">
            <v>1112000</v>
          </cell>
          <cell r="N51">
            <v>8682000</v>
          </cell>
          <cell r="O51">
            <v>0.1280810873070721</v>
          </cell>
          <cell r="P51">
            <v>12000</v>
          </cell>
          <cell r="Q51">
            <v>3817000</v>
          </cell>
          <cell r="R51">
            <v>3.1438302331674088E-3</v>
          </cell>
          <cell r="S51">
            <v>1137000</v>
          </cell>
          <cell r="T51">
            <v>3716000</v>
          </cell>
          <cell r="U51">
            <v>0.30597416576964476</v>
          </cell>
          <cell r="V51">
            <v>3829000</v>
          </cell>
          <cell r="W51">
            <v>13401000</v>
          </cell>
          <cell r="X51">
            <v>0.28572494589955971</v>
          </cell>
          <cell r="Y51">
            <v>4853000</v>
          </cell>
          <cell r="Z51">
            <v>13401000</v>
          </cell>
          <cell r="AA51">
            <v>0.36213715394373552</v>
          </cell>
          <cell r="AB51">
            <v>442000</v>
          </cell>
          <cell r="AC51">
            <v>13401000</v>
          </cell>
          <cell r="AD51">
            <v>3.2982613237818072E-2</v>
          </cell>
          <cell r="AE51">
            <v>3314000</v>
          </cell>
          <cell r="AF51">
            <v>13401000</v>
          </cell>
          <cell r="AG51">
            <v>0.2472949779867174</v>
          </cell>
          <cell r="AH51">
            <v>609000</v>
          </cell>
          <cell r="AI51">
            <v>13401000</v>
          </cell>
          <cell r="AJ51">
            <v>4.5444369823147528E-2</v>
          </cell>
          <cell r="AK51">
            <v>354000</v>
          </cell>
          <cell r="AL51">
            <v>13401000</v>
          </cell>
          <cell r="AM51">
            <v>2.6415939109021715E-2</v>
          </cell>
          <cell r="AN51">
            <v>13244000</v>
          </cell>
          <cell r="AO51">
            <v>4858</v>
          </cell>
          <cell r="AP51">
            <v>2726.2247838616713</v>
          </cell>
          <cell r="AQ51">
            <v>4922000</v>
          </cell>
          <cell r="AR51">
            <v>13994000</v>
          </cell>
          <cell r="AS51">
            <v>0.35172216664284695</v>
          </cell>
          <cell r="AT51">
            <v>4965000</v>
          </cell>
          <cell r="AU51">
            <v>13994000</v>
          </cell>
          <cell r="AV51">
            <v>0.35479491210518793</v>
          </cell>
          <cell r="AW51">
            <v>62000</v>
          </cell>
          <cell r="AX51">
            <v>13994000</v>
          </cell>
          <cell r="AY51">
            <v>4.4304702015149347E-3</v>
          </cell>
          <cell r="AZ51">
            <v>3087000</v>
          </cell>
          <cell r="BA51">
            <v>13994000</v>
          </cell>
          <cell r="BB51">
            <v>0.22059454051736457</v>
          </cell>
          <cell r="BC51">
            <v>958000</v>
          </cell>
          <cell r="BD51">
            <v>13994000</v>
          </cell>
          <cell r="BE51">
            <v>6.8457910533085614E-2</v>
          </cell>
          <cell r="BF51">
            <v>13119000</v>
          </cell>
          <cell r="BG51">
            <v>4858</v>
          </cell>
          <cell r="BH51">
            <v>2700.4940304652118</v>
          </cell>
          <cell r="BI51">
            <v>6311000</v>
          </cell>
          <cell r="BJ51">
            <v>1218000</v>
          </cell>
          <cell r="BK51">
            <v>5.1814449917898191</v>
          </cell>
          <cell r="BL51">
            <v>301000</v>
          </cell>
          <cell r="BM51">
            <v>11699000</v>
          </cell>
          <cell r="BN51">
            <v>2.5728694760235919E-2</v>
          </cell>
          <cell r="BO51">
            <v>176000</v>
          </cell>
          <cell r="BP51">
            <v>2632000</v>
          </cell>
          <cell r="BQ51">
            <v>6.6869300911854099E-2</v>
          </cell>
          <cell r="BR51">
            <v>95</v>
          </cell>
          <cell r="BS51" t="str">
            <v>Not Received</v>
          </cell>
          <cell r="BT51" t="str">
            <v>Not Received</v>
          </cell>
          <cell r="BU51" t="str">
            <v>On Time</v>
          </cell>
          <cell r="BV51">
            <v>185000</v>
          </cell>
          <cell r="BW51">
            <v>4858</v>
          </cell>
          <cell r="BX51">
            <v>38.08151502675998</v>
          </cell>
          <cell r="BY51">
            <v>24146</v>
          </cell>
          <cell r="BZ51">
            <v>4858</v>
          </cell>
          <cell r="CA51">
            <v>4.9703581720872787</v>
          </cell>
          <cell r="CB51">
            <v>262000</v>
          </cell>
          <cell r="CC51">
            <v>1579</v>
          </cell>
          <cell r="CD51">
            <v>165.92780240658644</v>
          </cell>
          <cell r="CE51">
            <v>88780</v>
          </cell>
          <cell r="CF51">
            <v>1395</v>
          </cell>
          <cell r="CG51">
            <v>63.641577060931901</v>
          </cell>
          <cell r="CH51">
            <v>890000</v>
          </cell>
          <cell r="CI51">
            <v>4858</v>
          </cell>
          <cell r="CJ51">
            <v>183.20296418279128</v>
          </cell>
          <cell r="CK51">
            <v>4000000</v>
          </cell>
          <cell r="CL51">
            <v>4858</v>
          </cell>
          <cell r="CM51">
            <v>823.38410868670235</v>
          </cell>
          <cell r="CN51">
            <v>363.17761296735199</v>
          </cell>
          <cell r="CO51">
            <v>236.516357206012</v>
          </cell>
          <cell r="CP51">
            <v>270.00172503018803</v>
          </cell>
          <cell r="CQ51">
            <v>390.80459770114902</v>
          </cell>
          <cell r="CR51">
            <v>79</v>
          </cell>
          <cell r="CS51">
            <v>1492</v>
          </cell>
          <cell r="CT51">
            <v>79</v>
          </cell>
          <cell r="CU51">
            <v>18.88607594936709</v>
          </cell>
          <cell r="CV51">
            <v>20</v>
          </cell>
          <cell r="CW51">
            <v>0</v>
          </cell>
          <cell r="CX51">
            <v>17000</v>
          </cell>
          <cell r="CY51">
            <v>0</v>
          </cell>
          <cell r="CZ51">
            <v>222000</v>
          </cell>
          <cell r="DA51">
            <v>4858</v>
          </cell>
          <cell r="DB51">
            <v>45.697818032111982</v>
          </cell>
          <cell r="DC51">
            <v>472000</v>
          </cell>
          <cell r="DD51">
            <v>4858</v>
          </cell>
          <cell r="DE51">
            <v>97.159324825030879</v>
          </cell>
          <cell r="DF51">
            <v>535000</v>
          </cell>
          <cell r="DG51">
            <v>4858</v>
          </cell>
          <cell r="DH51">
            <v>110.12762453684644</v>
          </cell>
          <cell r="DI51">
            <v>9926.2000000000007</v>
          </cell>
          <cell r="DJ51">
            <v>0.48941185952328181</v>
          </cell>
          <cell r="DK51">
            <v>-1.1705426356589147E-2</v>
          </cell>
          <cell r="DL51">
            <v>17.48</v>
          </cell>
          <cell r="DM51">
            <v>1.6</v>
          </cell>
        </row>
        <row r="52">
          <cell r="B52" t="str">
            <v>Cootamundra Shire Council</v>
          </cell>
          <cell r="C52">
            <v>10</v>
          </cell>
          <cell r="D52">
            <v>1096000</v>
          </cell>
          <cell r="E52">
            <v>2892</v>
          </cell>
          <cell r="F52">
            <v>378.97648686030431</v>
          </cell>
          <cell r="G52">
            <v>681000</v>
          </cell>
          <cell r="H52">
            <v>499</v>
          </cell>
          <cell r="I52">
            <v>1364.7294589178357</v>
          </cell>
          <cell r="J52">
            <v>422000</v>
          </cell>
          <cell r="K52">
            <v>333</v>
          </cell>
          <cell r="L52">
            <v>1267.2672672672672</v>
          </cell>
          <cell r="M52">
            <v>1121000</v>
          </cell>
          <cell r="N52">
            <v>5854000</v>
          </cell>
          <cell r="O52">
            <v>0.1914929962418859</v>
          </cell>
          <cell r="P52">
            <v>-204000</v>
          </cell>
          <cell r="Q52">
            <v>4029000</v>
          </cell>
          <cell r="R52">
            <v>-5.0632911392405063E-2</v>
          </cell>
          <cell r="S52">
            <v>-907000</v>
          </cell>
          <cell r="T52">
            <v>2936000</v>
          </cell>
          <cell r="U52">
            <v>-0.30892370572207084</v>
          </cell>
          <cell r="V52">
            <v>3825000</v>
          </cell>
          <cell r="W52">
            <v>9313000</v>
          </cell>
          <cell r="X52">
            <v>0.41071620315687746</v>
          </cell>
          <cell r="Y52">
            <v>2029000</v>
          </cell>
          <cell r="Z52">
            <v>9313000</v>
          </cell>
          <cell r="AA52">
            <v>0.2178674970471384</v>
          </cell>
          <cell r="AB52">
            <v>228000</v>
          </cell>
          <cell r="AC52">
            <v>9313000</v>
          </cell>
          <cell r="AD52">
            <v>2.4481907011704069E-2</v>
          </cell>
          <cell r="AE52">
            <v>2720000</v>
          </cell>
          <cell r="AF52">
            <v>9313000</v>
          </cell>
          <cell r="AG52">
            <v>0.29206485557822398</v>
          </cell>
          <cell r="AH52">
            <v>441000</v>
          </cell>
          <cell r="AI52">
            <v>9313000</v>
          </cell>
          <cell r="AJ52">
            <v>4.7353162246322342E-2</v>
          </cell>
          <cell r="AK52">
            <v>70000</v>
          </cell>
          <cell r="AL52">
            <v>9313000</v>
          </cell>
          <cell r="AM52">
            <v>7.5163749597337058E-3</v>
          </cell>
          <cell r="AN52">
            <v>6306000</v>
          </cell>
          <cell r="AO52">
            <v>7666</v>
          </cell>
          <cell r="AP52">
            <v>822.59326897991127</v>
          </cell>
          <cell r="AQ52">
            <v>2941000</v>
          </cell>
          <cell r="AR52">
            <v>9965000</v>
          </cell>
          <cell r="AS52">
            <v>0.29513296537882588</v>
          </cell>
          <cell r="AT52">
            <v>3342000</v>
          </cell>
          <cell r="AU52">
            <v>9965000</v>
          </cell>
          <cell r="AV52">
            <v>0.33537380832915203</v>
          </cell>
          <cell r="AW52">
            <v>108000</v>
          </cell>
          <cell r="AX52">
            <v>9965000</v>
          </cell>
          <cell r="AY52">
            <v>1.0837932764676367E-2</v>
          </cell>
          <cell r="AZ52">
            <v>2602000</v>
          </cell>
          <cell r="BA52">
            <v>9965000</v>
          </cell>
          <cell r="BB52">
            <v>0.26111389864525841</v>
          </cell>
          <cell r="BC52">
            <v>972000</v>
          </cell>
          <cell r="BD52">
            <v>9965000</v>
          </cell>
          <cell r="BE52">
            <v>9.7541394882087309E-2</v>
          </cell>
          <cell r="BF52">
            <v>7797000</v>
          </cell>
          <cell r="BG52">
            <v>7666</v>
          </cell>
          <cell r="BH52">
            <v>1017.0884424732585</v>
          </cell>
          <cell r="BI52">
            <v>3343000</v>
          </cell>
          <cell r="BJ52">
            <v>1351000</v>
          </cell>
          <cell r="BK52">
            <v>2.474463360473723</v>
          </cell>
          <cell r="BL52">
            <v>191000</v>
          </cell>
          <cell r="BM52">
            <v>7805000</v>
          </cell>
          <cell r="BN52">
            <v>2.4471492632927611E-2</v>
          </cell>
          <cell r="BO52">
            <v>-397000</v>
          </cell>
          <cell r="BP52">
            <v>2100000</v>
          </cell>
          <cell r="BQ52">
            <v>-0.18904761904761905</v>
          </cell>
          <cell r="BR52">
            <v>65.209999999999994</v>
          </cell>
          <cell r="BS52" t="str">
            <v>On Time</v>
          </cell>
          <cell r="BT52" t="str">
            <v>On Time</v>
          </cell>
          <cell r="BU52" t="str">
            <v>On Time</v>
          </cell>
          <cell r="BV52">
            <v>206000</v>
          </cell>
          <cell r="BW52">
            <v>7666</v>
          </cell>
          <cell r="BX52">
            <v>26.871901904513436</v>
          </cell>
          <cell r="BY52">
            <v>58804</v>
          </cell>
          <cell r="BZ52">
            <v>7666</v>
          </cell>
          <cell r="CA52">
            <v>7.6707539786068351</v>
          </cell>
          <cell r="CB52">
            <v>340000</v>
          </cell>
          <cell r="CC52">
            <v>2596</v>
          </cell>
          <cell r="CD52">
            <v>130.97072419106317</v>
          </cell>
          <cell r="CE52">
            <v>219980</v>
          </cell>
          <cell r="CF52">
            <v>2634</v>
          </cell>
          <cell r="CG52">
            <v>83.515565679574792</v>
          </cell>
          <cell r="CH52">
            <v>757880</v>
          </cell>
          <cell r="CI52">
            <v>7666</v>
          </cell>
          <cell r="CJ52">
            <v>98.86250978345943</v>
          </cell>
          <cell r="CK52">
            <v>3172000</v>
          </cell>
          <cell r="CL52">
            <v>7666</v>
          </cell>
          <cell r="CM52">
            <v>413.77511087920686</v>
          </cell>
          <cell r="CN52">
            <v>443.41572993711799</v>
          </cell>
          <cell r="CO52">
            <v>289.03094476864999</v>
          </cell>
          <cell r="CP52">
            <v>176.617568478034</v>
          </cell>
          <cell r="CQ52">
            <v>322.21350078492901</v>
          </cell>
          <cell r="CR52">
            <v>211</v>
          </cell>
          <cell r="CS52">
            <v>820</v>
          </cell>
          <cell r="CT52">
            <v>211</v>
          </cell>
          <cell r="CU52">
            <v>3.8862559241706163</v>
          </cell>
          <cell r="CV52">
            <v>4</v>
          </cell>
          <cell r="CW52">
            <v>0</v>
          </cell>
          <cell r="CX52">
            <v>140000</v>
          </cell>
          <cell r="CY52">
            <v>0</v>
          </cell>
          <cell r="CZ52">
            <v>232000</v>
          </cell>
          <cell r="DA52">
            <v>7666</v>
          </cell>
          <cell r="DB52">
            <v>30.263501174015133</v>
          </cell>
          <cell r="DC52">
            <v>513000</v>
          </cell>
          <cell r="DD52">
            <v>7666</v>
          </cell>
          <cell r="DE52">
            <v>66.918862509783466</v>
          </cell>
          <cell r="DF52">
            <v>25000</v>
          </cell>
          <cell r="DG52">
            <v>7666</v>
          </cell>
          <cell r="DH52">
            <v>3.2611531437516308</v>
          </cell>
          <cell r="DI52">
            <v>1523.6</v>
          </cell>
          <cell r="DJ52">
            <v>5.0315043318456292</v>
          </cell>
          <cell r="DK52">
            <v>-1.4607013301088271E-2</v>
          </cell>
          <cell r="DL52">
            <v>2.4300000000000002</v>
          </cell>
          <cell r="DM52">
            <v>1.68</v>
          </cell>
        </row>
        <row r="53">
          <cell r="B53" t="str">
            <v>Copmanhurst Shire Council</v>
          </cell>
          <cell r="C53">
            <v>9</v>
          </cell>
          <cell r="D53">
            <v>486000</v>
          </cell>
          <cell r="E53">
            <v>1406</v>
          </cell>
          <cell r="F53">
            <v>345.6614509246088</v>
          </cell>
          <cell r="G53">
            <v>472000</v>
          </cell>
          <cell r="H53">
            <v>561</v>
          </cell>
          <cell r="I53">
            <v>841.3547237076649</v>
          </cell>
          <cell r="J53">
            <v>34000</v>
          </cell>
          <cell r="K53">
            <v>82</v>
          </cell>
          <cell r="L53">
            <v>414.63414634146341</v>
          </cell>
          <cell r="M53">
            <v>224000</v>
          </cell>
          <cell r="N53">
            <v>2605000</v>
          </cell>
          <cell r="O53">
            <v>8.5988483685220732E-2</v>
          </cell>
          <cell r="P53">
            <v>47000</v>
          </cell>
          <cell r="Q53">
            <v>1402000</v>
          </cell>
          <cell r="R53">
            <v>3.3523537803138374E-2</v>
          </cell>
          <cell r="S53">
            <v>-161000</v>
          </cell>
          <cell r="T53">
            <v>1317000</v>
          </cell>
          <cell r="U53">
            <v>-0.12224753227031131</v>
          </cell>
          <cell r="V53">
            <v>1449000</v>
          </cell>
          <cell r="W53">
            <v>8817000</v>
          </cell>
          <cell r="X53">
            <v>0.16434161279346718</v>
          </cell>
          <cell r="Y53">
            <v>1156000</v>
          </cell>
          <cell r="Z53">
            <v>8817000</v>
          </cell>
          <cell r="AA53">
            <v>0.13111035499603041</v>
          </cell>
          <cell r="AB53">
            <v>134000</v>
          </cell>
          <cell r="AC53">
            <v>8817000</v>
          </cell>
          <cell r="AD53">
            <v>1.5197913122377225E-2</v>
          </cell>
          <cell r="AE53">
            <v>3051000</v>
          </cell>
          <cell r="AF53">
            <v>8817000</v>
          </cell>
          <cell r="AG53">
            <v>0.34603606668935011</v>
          </cell>
          <cell r="AH53">
            <v>3016000</v>
          </cell>
          <cell r="AI53">
            <v>8817000</v>
          </cell>
          <cell r="AJ53">
            <v>0.34206646251559486</v>
          </cell>
          <cell r="AK53">
            <v>11000</v>
          </cell>
          <cell r="AL53">
            <v>8817000</v>
          </cell>
          <cell r="AM53">
            <v>1.24758988318022E-3</v>
          </cell>
          <cell r="AN53">
            <v>5531000</v>
          </cell>
          <cell r="AO53">
            <v>4596</v>
          </cell>
          <cell r="AP53">
            <v>1203.437771975631</v>
          </cell>
          <cell r="AQ53">
            <v>2093000</v>
          </cell>
          <cell r="AR53">
            <v>6587000</v>
          </cell>
          <cell r="AS53">
            <v>0.31774707757704568</v>
          </cell>
          <cell r="AT53">
            <v>1495000</v>
          </cell>
          <cell r="AU53">
            <v>6587000</v>
          </cell>
          <cell r="AV53">
            <v>0.22696219826931835</v>
          </cell>
          <cell r="AW53">
            <v>10000</v>
          </cell>
          <cell r="AX53">
            <v>6587000</v>
          </cell>
          <cell r="AY53">
            <v>1.5181417944436009E-3</v>
          </cell>
          <cell r="AZ53">
            <v>1933000</v>
          </cell>
          <cell r="BA53">
            <v>6587000</v>
          </cell>
          <cell r="BB53">
            <v>0.2934568088659481</v>
          </cell>
          <cell r="BC53">
            <v>1056000</v>
          </cell>
          <cell r="BD53">
            <v>6587000</v>
          </cell>
          <cell r="BE53">
            <v>0.16031577349324427</v>
          </cell>
          <cell r="BF53">
            <v>6378000</v>
          </cell>
          <cell r="BG53">
            <v>4596</v>
          </cell>
          <cell r="BH53">
            <v>1387.7284595300262</v>
          </cell>
          <cell r="BI53">
            <v>2208000</v>
          </cell>
          <cell r="BJ53">
            <v>806000</v>
          </cell>
          <cell r="BK53">
            <v>2.7394540942928041</v>
          </cell>
          <cell r="BL53">
            <v>127000</v>
          </cell>
          <cell r="BM53">
            <v>3968000</v>
          </cell>
          <cell r="BN53">
            <v>3.2006048387096774E-2</v>
          </cell>
          <cell r="BO53">
            <v>3220000</v>
          </cell>
          <cell r="BP53">
            <v>1865000</v>
          </cell>
          <cell r="BQ53">
            <v>1.7265415549597856</v>
          </cell>
          <cell r="BR53">
            <v>39</v>
          </cell>
          <cell r="BS53" t="str">
            <v>On Time</v>
          </cell>
          <cell r="BT53" t="str">
            <v>On Time</v>
          </cell>
          <cell r="BU53" t="str">
            <v>On Time</v>
          </cell>
          <cell r="BV53">
            <v>48000</v>
          </cell>
          <cell r="BW53">
            <v>4596</v>
          </cell>
          <cell r="BX53">
            <v>10.443864229765014</v>
          </cell>
          <cell r="BY53">
            <v>11538</v>
          </cell>
          <cell r="BZ53">
            <v>4596</v>
          </cell>
          <cell r="CA53">
            <v>2.5104438642297651</v>
          </cell>
          <cell r="CB53">
            <v>117000</v>
          </cell>
          <cell r="CC53">
            <v>867</v>
          </cell>
          <cell r="CD53">
            <v>134.94809688581316</v>
          </cell>
          <cell r="CE53">
            <v>108000</v>
          </cell>
          <cell r="CF53">
            <v>880</v>
          </cell>
          <cell r="CG53">
            <v>122.72727272727273</v>
          </cell>
          <cell r="CH53">
            <v>295203</v>
          </cell>
          <cell r="CI53">
            <v>4596</v>
          </cell>
          <cell r="CJ53">
            <v>64.230417754569189</v>
          </cell>
          <cell r="CK53">
            <v>780800</v>
          </cell>
          <cell r="CL53">
            <v>4596</v>
          </cell>
          <cell r="CM53">
            <v>169.88685813751087</v>
          </cell>
          <cell r="CN53">
            <v>499.47368421052602</v>
          </cell>
          <cell r="CO53">
            <v>628</v>
          </cell>
          <cell r="CP53">
            <v>613</v>
          </cell>
          <cell r="CQ53">
            <v>466.81922196796302</v>
          </cell>
          <cell r="CR53">
            <v>128</v>
          </cell>
          <cell r="CS53">
            <v>1797</v>
          </cell>
          <cell r="CT53">
            <v>128</v>
          </cell>
          <cell r="CU53">
            <v>14.0390625</v>
          </cell>
          <cell r="CV53">
            <v>12</v>
          </cell>
          <cell r="CW53">
            <v>0</v>
          </cell>
          <cell r="CX53">
            <v>119000</v>
          </cell>
          <cell r="CY53">
            <v>0</v>
          </cell>
          <cell r="CZ53">
            <v>191000</v>
          </cell>
          <cell r="DA53">
            <v>4596</v>
          </cell>
          <cell r="DB53">
            <v>41.557876414273281</v>
          </cell>
          <cell r="DC53">
            <v>149000</v>
          </cell>
          <cell r="DD53">
            <v>4596</v>
          </cell>
          <cell r="DE53">
            <v>32.419495213228892</v>
          </cell>
          <cell r="DF53">
            <v>80000</v>
          </cell>
          <cell r="DG53">
            <v>4596</v>
          </cell>
          <cell r="DH53">
            <v>17.406440382941689</v>
          </cell>
          <cell r="DI53">
            <v>3166.2</v>
          </cell>
          <cell r="DJ53">
            <v>1.4515823384498769</v>
          </cell>
          <cell r="DK53">
            <v>2.149397590361446E-2</v>
          </cell>
          <cell r="DL53">
            <v>4.12</v>
          </cell>
          <cell r="DM53">
            <v>1.87</v>
          </cell>
        </row>
        <row r="54">
          <cell r="B54" t="str">
            <v>Corowa Shire Council</v>
          </cell>
          <cell r="C54">
            <v>10</v>
          </cell>
          <cell r="D54">
            <v>983000</v>
          </cell>
          <cell r="E54">
            <v>3456</v>
          </cell>
          <cell r="F54">
            <v>284.43287037037038</v>
          </cell>
          <cell r="G54">
            <v>826000</v>
          </cell>
          <cell r="H54">
            <v>621</v>
          </cell>
          <cell r="I54">
            <v>1330.1127214170692</v>
          </cell>
          <cell r="J54">
            <v>300000</v>
          </cell>
          <cell r="K54">
            <v>371</v>
          </cell>
          <cell r="L54">
            <v>808.62533692722377</v>
          </cell>
          <cell r="M54">
            <v>278000</v>
          </cell>
          <cell r="N54">
            <v>6415000</v>
          </cell>
          <cell r="O54">
            <v>4.3335931410756041E-2</v>
          </cell>
          <cell r="P54">
            <v>148000</v>
          </cell>
          <cell r="Q54">
            <v>3906000</v>
          </cell>
          <cell r="R54">
            <v>3.7890424987199182E-2</v>
          </cell>
          <cell r="S54">
            <v>662000</v>
          </cell>
          <cell r="T54">
            <v>1699000</v>
          </cell>
          <cell r="U54">
            <v>0.38964096527369041</v>
          </cell>
          <cell r="V54">
            <v>4054000</v>
          </cell>
          <cell r="W54">
            <v>14818000</v>
          </cell>
          <cell r="X54">
            <v>0.2735861789715211</v>
          </cell>
          <cell r="Y54">
            <v>2361000</v>
          </cell>
          <cell r="Z54">
            <v>14818000</v>
          </cell>
          <cell r="AA54">
            <v>0.15933324335267918</v>
          </cell>
          <cell r="AB54">
            <v>442000</v>
          </cell>
          <cell r="AC54">
            <v>14818000</v>
          </cell>
          <cell r="AD54">
            <v>2.9828586853826427E-2</v>
          </cell>
          <cell r="AE54">
            <v>4723000</v>
          </cell>
          <cell r="AF54">
            <v>14818000</v>
          </cell>
          <cell r="AG54">
            <v>0.31873397219597788</v>
          </cell>
          <cell r="AH54">
            <v>1967000</v>
          </cell>
          <cell r="AI54">
            <v>14818000</v>
          </cell>
          <cell r="AJ54">
            <v>0.13274396004858954</v>
          </cell>
          <cell r="AK54">
            <v>1271000</v>
          </cell>
          <cell r="AL54">
            <v>14818000</v>
          </cell>
          <cell r="AM54">
            <v>8.5774058577405859E-2</v>
          </cell>
          <cell r="AN54">
            <v>9022000</v>
          </cell>
          <cell r="AO54">
            <v>8560</v>
          </cell>
          <cell r="AP54">
            <v>1053.9719626168223</v>
          </cell>
          <cell r="AQ54">
            <v>3426000</v>
          </cell>
          <cell r="AR54">
            <v>11692000</v>
          </cell>
          <cell r="AS54">
            <v>0.29302086897023605</v>
          </cell>
          <cell r="AT54">
            <v>4992000</v>
          </cell>
          <cell r="AU54">
            <v>11692000</v>
          </cell>
          <cell r="AV54">
            <v>0.42695860417379405</v>
          </cell>
          <cell r="AW54">
            <v>16000</v>
          </cell>
          <cell r="AX54">
            <v>11692000</v>
          </cell>
          <cell r="AY54">
            <v>1.3684570646595963E-3</v>
          </cell>
          <cell r="AZ54">
            <v>2427000</v>
          </cell>
          <cell r="BA54">
            <v>11692000</v>
          </cell>
          <cell r="BB54">
            <v>0.20757783099555252</v>
          </cell>
          <cell r="BC54">
            <v>831000</v>
          </cell>
          <cell r="BD54">
            <v>11692000</v>
          </cell>
          <cell r="BE54">
            <v>7.1074238795757777E-2</v>
          </cell>
          <cell r="BF54">
            <v>9556000</v>
          </cell>
          <cell r="BG54">
            <v>8560</v>
          </cell>
          <cell r="BH54">
            <v>1116.3551401869158</v>
          </cell>
          <cell r="BI54">
            <v>4387000</v>
          </cell>
          <cell r="BJ54">
            <v>2048000</v>
          </cell>
          <cell r="BK54">
            <v>2.14208984375</v>
          </cell>
          <cell r="BL54">
            <v>222000</v>
          </cell>
          <cell r="BM54">
            <v>10691000</v>
          </cell>
          <cell r="BN54">
            <v>2.0765129548218127E-2</v>
          </cell>
          <cell r="BO54">
            <v>2159000</v>
          </cell>
          <cell r="BP54">
            <v>1800000</v>
          </cell>
          <cell r="BQ54">
            <v>1.1994444444444445</v>
          </cell>
          <cell r="BR54">
            <v>80</v>
          </cell>
          <cell r="BS54" t="str">
            <v>On Time</v>
          </cell>
          <cell r="BT54" t="str">
            <v>On Time</v>
          </cell>
          <cell r="BU54" t="str">
            <v>&lt;=2</v>
          </cell>
          <cell r="BV54">
            <v>135000</v>
          </cell>
          <cell r="BW54">
            <v>8560</v>
          </cell>
          <cell r="BX54">
            <v>15.771028037383177</v>
          </cell>
          <cell r="BY54">
            <v>45878</v>
          </cell>
          <cell r="BZ54">
            <v>8560</v>
          </cell>
          <cell r="CA54">
            <v>5.3595794392523368</v>
          </cell>
          <cell r="CB54">
            <v>515000</v>
          </cell>
          <cell r="CC54">
            <v>3384</v>
          </cell>
          <cell r="CD54">
            <v>152.18676122931441</v>
          </cell>
          <cell r="CE54">
            <v>560993</v>
          </cell>
          <cell r="CF54">
            <v>3091</v>
          </cell>
          <cell r="CG54">
            <v>181.49239728243288</v>
          </cell>
          <cell r="CH54">
            <v>1345000</v>
          </cell>
          <cell r="CI54">
            <v>8560</v>
          </cell>
          <cell r="CJ54">
            <v>157.12616822429908</v>
          </cell>
          <cell r="CK54">
            <v>1763000</v>
          </cell>
          <cell r="CL54">
            <v>8560</v>
          </cell>
          <cell r="CM54">
            <v>205.95794392523365</v>
          </cell>
          <cell r="CN54">
            <v>295.18048191937402</v>
          </cell>
          <cell r="CO54">
            <v>315.24926686216997</v>
          </cell>
          <cell r="CP54">
            <v>265.28723770209803</v>
          </cell>
          <cell r="CQ54">
            <v>312.38390092879303</v>
          </cell>
          <cell r="CR54">
            <v>297</v>
          </cell>
          <cell r="CS54">
            <v>7309</v>
          </cell>
          <cell r="CT54">
            <v>297</v>
          </cell>
          <cell r="CU54">
            <v>24.609427609427609</v>
          </cell>
          <cell r="CV54">
            <v>17</v>
          </cell>
          <cell r="CW54">
            <v>0</v>
          </cell>
          <cell r="CX54">
            <v>158000</v>
          </cell>
          <cell r="CY54">
            <v>0</v>
          </cell>
          <cell r="CZ54">
            <v>189000</v>
          </cell>
          <cell r="DA54">
            <v>8560</v>
          </cell>
          <cell r="DB54">
            <v>22.079439252336449</v>
          </cell>
          <cell r="DC54">
            <v>324000</v>
          </cell>
          <cell r="DD54">
            <v>8560</v>
          </cell>
          <cell r="DE54">
            <v>37.850467289719624</v>
          </cell>
          <cell r="DF54">
            <v>282000</v>
          </cell>
          <cell r="DG54">
            <v>8560</v>
          </cell>
          <cell r="DH54">
            <v>32.943925233644862</v>
          </cell>
          <cell r="DI54">
            <v>2171.4</v>
          </cell>
          <cell r="DJ54">
            <v>3.9421571336464951</v>
          </cell>
          <cell r="DK54">
            <v>-2.3337222870478414E-4</v>
          </cell>
          <cell r="DL54">
            <v>0.56000000000000005</v>
          </cell>
          <cell r="DM54">
            <v>2.08</v>
          </cell>
        </row>
        <row r="55">
          <cell r="B55" t="str">
            <v>Cowra Shire Council</v>
          </cell>
          <cell r="C55">
            <v>11</v>
          </cell>
          <cell r="D55">
            <v>1109000</v>
          </cell>
          <cell r="E55">
            <v>4451</v>
          </cell>
          <cell r="F55">
            <v>249.15749269827006</v>
          </cell>
          <cell r="G55">
            <v>1728000</v>
          </cell>
          <cell r="H55">
            <v>1584</v>
          </cell>
          <cell r="I55">
            <v>1090.909090909091</v>
          </cell>
          <cell r="J55">
            <v>588000</v>
          </cell>
          <cell r="K55">
            <v>408</v>
          </cell>
          <cell r="L55">
            <v>1441.1764705882354</v>
          </cell>
          <cell r="M55">
            <v>1882000</v>
          </cell>
          <cell r="N55">
            <v>11859000</v>
          </cell>
          <cell r="O55">
            <v>0.15869803524749135</v>
          </cell>
          <cell r="P55">
            <v>477000</v>
          </cell>
          <cell r="Q55">
            <v>6470000</v>
          </cell>
          <cell r="R55">
            <v>7.3724884080370937E-2</v>
          </cell>
          <cell r="S55">
            <v>681000</v>
          </cell>
          <cell r="T55">
            <v>4231000</v>
          </cell>
          <cell r="U55">
            <v>0.16095485700779957</v>
          </cell>
          <cell r="V55">
            <v>6947000</v>
          </cell>
          <cell r="W55">
            <v>17003000</v>
          </cell>
          <cell r="X55">
            <v>0.40857495736046578</v>
          </cell>
          <cell r="Y55">
            <v>4912000</v>
          </cell>
          <cell r="Z55">
            <v>17003000</v>
          </cell>
          <cell r="AA55">
            <v>0.28889019584779158</v>
          </cell>
          <cell r="AB55">
            <v>229000</v>
          </cell>
          <cell r="AC55">
            <v>17003000</v>
          </cell>
          <cell r="AD55">
            <v>1.3468211492089632E-2</v>
          </cell>
          <cell r="AE55">
            <v>4192000</v>
          </cell>
          <cell r="AF55">
            <v>17003000</v>
          </cell>
          <cell r="AG55">
            <v>0.24654472740104688</v>
          </cell>
          <cell r="AH55">
            <v>467000</v>
          </cell>
          <cell r="AI55">
            <v>17003000</v>
          </cell>
          <cell r="AJ55">
            <v>2.746574133976357E-2</v>
          </cell>
          <cell r="AK55">
            <v>256000</v>
          </cell>
          <cell r="AL55">
            <v>17003000</v>
          </cell>
          <cell r="AM55">
            <v>1.5056166558842557E-2</v>
          </cell>
          <cell r="AN55">
            <v>12459000</v>
          </cell>
          <cell r="AO55">
            <v>13081</v>
          </cell>
          <cell r="AP55">
            <v>952.45011849246998</v>
          </cell>
          <cell r="AQ55">
            <v>5221000</v>
          </cell>
          <cell r="AR55">
            <v>15869000</v>
          </cell>
          <cell r="AS55">
            <v>0.32900623857836031</v>
          </cell>
          <cell r="AT55">
            <v>4814000</v>
          </cell>
          <cell r="AU55">
            <v>15869000</v>
          </cell>
          <cell r="AV55">
            <v>0.30335874976369021</v>
          </cell>
          <cell r="AW55">
            <v>216000</v>
          </cell>
          <cell r="AX55">
            <v>15869000</v>
          </cell>
          <cell r="AY55">
            <v>1.36114436952549E-2</v>
          </cell>
          <cell r="AZ55">
            <v>3970000</v>
          </cell>
          <cell r="BA55">
            <v>15869000</v>
          </cell>
          <cell r="BB55">
            <v>0.25017329384334236</v>
          </cell>
          <cell r="BC55">
            <v>1648000</v>
          </cell>
          <cell r="BD55">
            <v>15869000</v>
          </cell>
          <cell r="BE55">
            <v>0.1038502741193522</v>
          </cell>
          <cell r="BF55">
            <v>12354000</v>
          </cell>
          <cell r="BG55">
            <v>13081</v>
          </cell>
          <cell r="BH55">
            <v>944.42320923476802</v>
          </cell>
          <cell r="BI55">
            <v>3299000</v>
          </cell>
          <cell r="BJ55">
            <v>2917000</v>
          </cell>
          <cell r="BK55">
            <v>1.130956462118615</v>
          </cell>
          <cell r="BL55">
            <v>321000</v>
          </cell>
          <cell r="BM55">
            <v>15813000</v>
          </cell>
          <cell r="BN55">
            <v>2.0299753367482451E-2</v>
          </cell>
          <cell r="BO55">
            <v>974000</v>
          </cell>
          <cell r="BP55">
            <v>2904000</v>
          </cell>
          <cell r="BQ55">
            <v>0.33539944903581265</v>
          </cell>
          <cell r="BR55">
            <v>135</v>
          </cell>
          <cell r="BS55" t="str">
            <v>On Time</v>
          </cell>
          <cell r="BT55" t="str">
            <v>On Time</v>
          </cell>
          <cell r="BU55" t="str">
            <v>On Time</v>
          </cell>
          <cell r="BV55">
            <v>243000</v>
          </cell>
          <cell r="BW55">
            <v>13081</v>
          </cell>
          <cell r="BX55">
            <v>18.576561424967512</v>
          </cell>
          <cell r="BY55">
            <v>56860</v>
          </cell>
          <cell r="BZ55">
            <v>13081</v>
          </cell>
          <cell r="CA55">
            <v>4.3467624799327265</v>
          </cell>
          <cell r="CB55">
            <v>1205000</v>
          </cell>
          <cell r="CC55">
            <v>4107</v>
          </cell>
          <cell r="CD55">
            <v>293.40150961772582</v>
          </cell>
          <cell r="CE55">
            <v>317000</v>
          </cell>
          <cell r="CF55">
            <v>4521</v>
          </cell>
          <cell r="CG55">
            <v>70.117230701172303</v>
          </cell>
          <cell r="CH55">
            <v>687000</v>
          </cell>
          <cell r="CI55">
            <v>13081</v>
          </cell>
          <cell r="CJ55">
            <v>52.518920571821724</v>
          </cell>
          <cell r="CK55">
            <v>7394000</v>
          </cell>
          <cell r="CL55">
            <v>13081</v>
          </cell>
          <cell r="CM55">
            <v>565.24730525189204</v>
          </cell>
          <cell r="CN55">
            <v>509.865895160153</v>
          </cell>
          <cell r="CO55">
            <v>501.36902951019198</v>
          </cell>
          <cell r="CP55">
            <v>262.52221462747798</v>
          </cell>
          <cell r="CQ55">
            <v>254.43609022556399</v>
          </cell>
          <cell r="CR55">
            <v>400</v>
          </cell>
          <cell r="CS55">
            <v>2400</v>
          </cell>
          <cell r="CT55">
            <v>400</v>
          </cell>
          <cell r="CU55">
            <v>6</v>
          </cell>
          <cell r="CV55">
            <v>20.5</v>
          </cell>
          <cell r="CW55">
            <v>64000</v>
          </cell>
          <cell r="CX55">
            <v>407000</v>
          </cell>
          <cell r="CY55">
            <v>0.15724815724815724</v>
          </cell>
          <cell r="CZ55">
            <v>231000</v>
          </cell>
          <cell r="DA55">
            <v>13081</v>
          </cell>
          <cell r="DB55">
            <v>17.659200366944422</v>
          </cell>
          <cell r="DC55">
            <v>1470000</v>
          </cell>
          <cell r="DD55">
            <v>13081</v>
          </cell>
          <cell r="DE55">
            <v>112.37672960782815</v>
          </cell>
          <cell r="DF55">
            <v>13000</v>
          </cell>
          <cell r="DG55">
            <v>13081</v>
          </cell>
          <cell r="DH55">
            <v>0.99380781285834419</v>
          </cell>
          <cell r="DI55">
            <v>2810.1</v>
          </cell>
          <cell r="DJ55">
            <v>4.6549944841820574</v>
          </cell>
          <cell r="DK55">
            <v>6.3249211356466873E-3</v>
          </cell>
          <cell r="DL55">
            <v>3.89</v>
          </cell>
          <cell r="DM55">
            <v>2.3199999999999998</v>
          </cell>
        </row>
        <row r="56">
          <cell r="B56" t="str">
            <v>Crookwell Shire Council</v>
          </cell>
          <cell r="C56">
            <v>9</v>
          </cell>
          <cell r="D56">
            <v>381000</v>
          </cell>
          <cell r="E56">
            <v>1279</v>
          </cell>
          <cell r="F56">
            <v>297.88897576231432</v>
          </cell>
          <cell r="G56">
            <v>1889000</v>
          </cell>
          <cell r="H56">
            <v>1535</v>
          </cell>
          <cell r="I56">
            <v>1230.6188925081433</v>
          </cell>
          <cell r="J56">
            <v>63000</v>
          </cell>
          <cell r="K56">
            <v>160</v>
          </cell>
          <cell r="L56">
            <v>393.75</v>
          </cell>
          <cell r="M56">
            <v>425000</v>
          </cell>
          <cell r="N56">
            <v>5589000</v>
          </cell>
          <cell r="O56">
            <v>7.6042225800679902E-2</v>
          </cell>
          <cell r="P56">
            <v>160000</v>
          </cell>
          <cell r="Q56">
            <v>3244000</v>
          </cell>
          <cell r="R56">
            <v>4.9321824907521579E-2</v>
          </cell>
          <cell r="S56">
            <v>132000</v>
          </cell>
          <cell r="T56">
            <v>2053000</v>
          </cell>
          <cell r="U56">
            <v>6.4296151972722843E-2</v>
          </cell>
          <cell r="V56">
            <v>3404000</v>
          </cell>
          <cell r="W56">
            <v>8828000</v>
          </cell>
          <cell r="X56">
            <v>0.38559130040779338</v>
          </cell>
          <cell r="Y56">
            <v>2185000</v>
          </cell>
          <cell r="Z56">
            <v>8828000</v>
          </cell>
          <cell r="AA56">
            <v>0.24750792931581331</v>
          </cell>
          <cell r="AB56">
            <v>145000</v>
          </cell>
          <cell r="AC56">
            <v>8828000</v>
          </cell>
          <cell r="AD56">
            <v>1.6425011327594018E-2</v>
          </cell>
          <cell r="AE56">
            <v>2480000</v>
          </cell>
          <cell r="AF56">
            <v>8828000</v>
          </cell>
          <cell r="AG56">
            <v>0.28092433167195285</v>
          </cell>
          <cell r="AH56">
            <v>465000</v>
          </cell>
          <cell r="AI56">
            <v>8828000</v>
          </cell>
          <cell r="AJ56">
            <v>5.2673312188491167E-2</v>
          </cell>
          <cell r="AK56">
            <v>149000</v>
          </cell>
          <cell r="AL56">
            <v>8828000</v>
          </cell>
          <cell r="AM56">
            <v>1.6878115088355232E-2</v>
          </cell>
          <cell r="AN56">
            <v>6935000</v>
          </cell>
          <cell r="AO56">
            <v>4373</v>
          </cell>
          <cell r="AP56">
            <v>1585.8678252915618</v>
          </cell>
          <cell r="AQ56">
            <v>2311000</v>
          </cell>
          <cell r="AR56">
            <v>9446000</v>
          </cell>
          <cell r="AS56">
            <v>0.24465382172348085</v>
          </cell>
          <cell r="AT56">
            <v>2710000</v>
          </cell>
          <cell r="AU56">
            <v>9446000</v>
          </cell>
          <cell r="AV56">
            <v>0.28689392335380054</v>
          </cell>
          <cell r="AW56">
            <v>280000</v>
          </cell>
          <cell r="AX56">
            <v>9446000</v>
          </cell>
          <cell r="AY56">
            <v>2.96421765826805E-2</v>
          </cell>
          <cell r="AZ56">
            <v>3472000</v>
          </cell>
          <cell r="BA56">
            <v>9446000</v>
          </cell>
          <cell r="BB56">
            <v>0.3675629896252382</v>
          </cell>
          <cell r="BC56">
            <v>673000</v>
          </cell>
          <cell r="BD56">
            <v>9446000</v>
          </cell>
          <cell r="BE56">
            <v>7.1247088714799914E-2</v>
          </cell>
          <cell r="BF56">
            <v>8429000</v>
          </cell>
          <cell r="BG56">
            <v>4373</v>
          </cell>
          <cell r="BH56">
            <v>1927.5097187285617</v>
          </cell>
          <cell r="BI56">
            <v>2230000</v>
          </cell>
          <cell r="BJ56">
            <v>893000</v>
          </cell>
          <cell r="BK56">
            <v>2.4972004479283316</v>
          </cell>
          <cell r="BL56">
            <v>532000</v>
          </cell>
          <cell r="BM56">
            <v>7211000</v>
          </cell>
          <cell r="BN56">
            <v>7.3776175287754819E-2</v>
          </cell>
          <cell r="BO56">
            <v>2302000</v>
          </cell>
          <cell r="BP56">
            <v>3415000</v>
          </cell>
          <cell r="BQ56">
            <v>0.6740849194729136</v>
          </cell>
          <cell r="BR56">
            <v>58</v>
          </cell>
          <cell r="BS56" t="str">
            <v>&lt;=2</v>
          </cell>
          <cell r="BT56" t="str">
            <v>&lt;=2</v>
          </cell>
          <cell r="BU56" t="str">
            <v>On Time</v>
          </cell>
          <cell r="BV56">
            <v>177000</v>
          </cell>
          <cell r="BW56">
            <v>4373</v>
          </cell>
          <cell r="BX56">
            <v>40.47564600960439</v>
          </cell>
          <cell r="BY56">
            <v>41061</v>
          </cell>
          <cell r="BZ56">
            <v>4373</v>
          </cell>
          <cell r="CA56">
            <v>9.3896638463297499</v>
          </cell>
          <cell r="CB56">
            <v>125000</v>
          </cell>
          <cell r="CC56">
            <v>1134</v>
          </cell>
          <cell r="CD56">
            <v>110.22927689594356</v>
          </cell>
          <cell r="CE56">
            <v>118000</v>
          </cell>
          <cell r="CF56">
            <v>1134</v>
          </cell>
          <cell r="CG56">
            <v>104.05643738977072</v>
          </cell>
          <cell r="CH56">
            <v>145000</v>
          </cell>
          <cell r="CI56">
            <v>4373</v>
          </cell>
          <cell r="CJ56">
            <v>33.158015092613766</v>
          </cell>
          <cell r="CK56">
            <v>1102000</v>
          </cell>
          <cell r="CL56">
            <v>4373</v>
          </cell>
          <cell r="CM56">
            <v>252.00091470386462</v>
          </cell>
          <cell r="CN56">
            <v>634.701298587005</v>
          </cell>
          <cell r="CO56">
            <v>367</v>
          </cell>
          <cell r="CP56">
            <v>401</v>
          </cell>
          <cell r="CQ56">
            <v>331.57894736842098</v>
          </cell>
          <cell r="CR56">
            <v>136</v>
          </cell>
          <cell r="CS56">
            <v>2287</v>
          </cell>
          <cell r="CT56">
            <v>136</v>
          </cell>
          <cell r="CU56">
            <v>16.816176470588236</v>
          </cell>
          <cell r="CV56">
            <v>10</v>
          </cell>
          <cell r="CW56">
            <v>0</v>
          </cell>
          <cell r="CX56">
            <v>106000</v>
          </cell>
          <cell r="CY56">
            <v>0</v>
          </cell>
          <cell r="CZ56">
            <v>268000</v>
          </cell>
          <cell r="DA56">
            <v>4373</v>
          </cell>
          <cell r="DB56">
            <v>61.285158929796481</v>
          </cell>
          <cell r="DC56">
            <v>286000</v>
          </cell>
          <cell r="DD56">
            <v>4373</v>
          </cell>
          <cell r="DE56">
            <v>65.401326320603701</v>
          </cell>
          <cell r="DF56">
            <v>72000</v>
          </cell>
          <cell r="DG56">
            <v>4373</v>
          </cell>
          <cell r="DH56">
            <v>16.464669563228906</v>
          </cell>
          <cell r="DI56">
            <v>3612.9</v>
          </cell>
          <cell r="DJ56">
            <v>1.2103850092723296</v>
          </cell>
          <cell r="DK56">
            <v>-1.4309978768577494E-2</v>
          </cell>
          <cell r="DL56">
            <v>0.97</v>
          </cell>
          <cell r="DM56">
            <v>1.59</v>
          </cell>
        </row>
        <row r="57">
          <cell r="B57" t="str">
            <v>Culcairn Shire Council</v>
          </cell>
          <cell r="C57">
            <v>9</v>
          </cell>
          <cell r="D57">
            <v>188000</v>
          </cell>
          <cell r="E57">
            <v>1351</v>
          </cell>
          <cell r="F57">
            <v>139.1561806069578</v>
          </cell>
          <cell r="G57">
            <v>808000</v>
          </cell>
          <cell r="H57">
            <v>828</v>
          </cell>
          <cell r="I57">
            <v>975.84541062801929</v>
          </cell>
          <cell r="J57">
            <v>30000</v>
          </cell>
          <cell r="K57">
            <v>192</v>
          </cell>
          <cell r="L57">
            <v>156.25</v>
          </cell>
          <cell r="M57">
            <v>269000</v>
          </cell>
          <cell r="N57">
            <v>2784000</v>
          </cell>
          <cell r="O57">
            <v>9.6623563218390801E-2</v>
          </cell>
          <cell r="P57">
            <v>74000</v>
          </cell>
          <cell r="Q57">
            <v>1517000</v>
          </cell>
          <cell r="R57">
            <v>4.878048780487805E-2</v>
          </cell>
          <cell r="S57">
            <v>141000</v>
          </cell>
          <cell r="T57">
            <v>1052000</v>
          </cell>
          <cell r="U57">
            <v>0.13403041825095058</v>
          </cell>
          <cell r="V57">
            <v>1591000</v>
          </cell>
          <cell r="W57">
            <v>5927000</v>
          </cell>
          <cell r="X57">
            <v>0.26843259659186774</v>
          </cell>
          <cell r="Y57">
            <v>1193000</v>
          </cell>
          <cell r="Z57">
            <v>5927000</v>
          </cell>
          <cell r="AA57">
            <v>0.2012822675889995</v>
          </cell>
          <cell r="AB57">
            <v>216000</v>
          </cell>
          <cell r="AC57">
            <v>5927000</v>
          </cell>
          <cell r="AD57">
            <v>3.6443394634722459E-2</v>
          </cell>
          <cell r="AE57">
            <v>1971000</v>
          </cell>
          <cell r="AF57">
            <v>5927000</v>
          </cell>
          <cell r="AG57">
            <v>0.33254597604184244</v>
          </cell>
          <cell r="AH57">
            <v>909000</v>
          </cell>
          <cell r="AI57">
            <v>5927000</v>
          </cell>
          <cell r="AJ57">
            <v>0.15336595242112366</v>
          </cell>
          <cell r="AK57">
            <v>47000</v>
          </cell>
          <cell r="AL57">
            <v>5927000</v>
          </cell>
          <cell r="AM57">
            <v>7.929812721444239E-3</v>
          </cell>
          <cell r="AN57">
            <v>5192000</v>
          </cell>
          <cell r="AO57">
            <v>4100</v>
          </cell>
          <cell r="AP57">
            <v>1266.3414634146341</v>
          </cell>
          <cell r="AQ57">
            <v>1606000</v>
          </cell>
          <cell r="AR57">
            <v>6279000</v>
          </cell>
          <cell r="AS57">
            <v>0.25577321229495142</v>
          </cell>
          <cell r="AT57">
            <v>1464000</v>
          </cell>
          <cell r="AU57">
            <v>6279000</v>
          </cell>
          <cell r="AV57">
            <v>0.23315814620162445</v>
          </cell>
          <cell r="AW57">
            <v>74000</v>
          </cell>
          <cell r="AX57">
            <v>6279000</v>
          </cell>
          <cell r="AY57">
            <v>1.178531613314222E-2</v>
          </cell>
          <cell r="AZ57">
            <v>2414000</v>
          </cell>
          <cell r="BA57">
            <v>6279000</v>
          </cell>
          <cell r="BB57">
            <v>0.3844561235865584</v>
          </cell>
          <cell r="BC57">
            <v>721000</v>
          </cell>
          <cell r="BD57">
            <v>6279000</v>
          </cell>
          <cell r="BE57">
            <v>0.11482720178372352</v>
          </cell>
          <cell r="BF57">
            <v>5857000</v>
          </cell>
          <cell r="BG57">
            <v>4100</v>
          </cell>
          <cell r="BH57">
            <v>1428.5365853658536</v>
          </cell>
          <cell r="BI57">
            <v>2856000</v>
          </cell>
          <cell r="BJ57">
            <v>744000</v>
          </cell>
          <cell r="BK57">
            <v>3.838709677419355</v>
          </cell>
          <cell r="BL57">
            <v>201000</v>
          </cell>
          <cell r="BM57">
            <v>4485000</v>
          </cell>
          <cell r="BN57">
            <v>4.4816053511705686E-2</v>
          </cell>
          <cell r="BO57">
            <v>1426000</v>
          </cell>
          <cell r="BP57">
            <v>2248000</v>
          </cell>
          <cell r="BQ57">
            <v>0.63434163701067614</v>
          </cell>
          <cell r="BR57">
            <v>43</v>
          </cell>
          <cell r="BS57" t="str">
            <v>&lt;=2</v>
          </cell>
          <cell r="BT57" t="str">
            <v>&lt;=2</v>
          </cell>
          <cell r="BU57" t="str">
            <v>On Time</v>
          </cell>
          <cell r="BV57">
            <v>113000</v>
          </cell>
          <cell r="BW57">
            <v>4100</v>
          </cell>
          <cell r="BX57">
            <v>27.560975609756099</v>
          </cell>
          <cell r="BY57">
            <v>20659</v>
          </cell>
          <cell r="BZ57">
            <v>4100</v>
          </cell>
          <cell r="CA57">
            <v>5.0387804878048783</v>
          </cell>
          <cell r="CB57">
            <v>125000</v>
          </cell>
          <cell r="CC57">
            <v>1088</v>
          </cell>
          <cell r="CD57">
            <v>114.88970588235294</v>
          </cell>
          <cell r="CE57">
            <v>100142</v>
          </cell>
          <cell r="CF57">
            <v>1088</v>
          </cell>
          <cell r="CG57">
            <v>92.04227941176471</v>
          </cell>
          <cell r="CH57">
            <v>64000</v>
          </cell>
          <cell r="CI57">
            <v>4100</v>
          </cell>
          <cell r="CJ57">
            <v>15.609756097560975</v>
          </cell>
          <cell r="CK57">
            <v>1230000</v>
          </cell>
          <cell r="CL57">
            <v>4100</v>
          </cell>
          <cell r="CM57">
            <v>300</v>
          </cell>
          <cell r="CN57">
            <v>173.299639243912</v>
          </cell>
          <cell r="CO57">
            <v>170.66085693536701</v>
          </cell>
          <cell r="CP57">
            <v>178.829038200003</v>
          </cell>
          <cell r="CQ57">
            <v>251.13122171945699</v>
          </cell>
          <cell r="CR57">
            <v>60</v>
          </cell>
          <cell r="CS57">
            <v>935</v>
          </cell>
          <cell r="CT57">
            <v>60</v>
          </cell>
          <cell r="CU57">
            <v>15.583333333333334</v>
          </cell>
          <cell r="CV57">
            <v>17</v>
          </cell>
          <cell r="CW57">
            <v>0</v>
          </cell>
          <cell r="CX57">
            <v>43000</v>
          </cell>
          <cell r="CY57">
            <v>0</v>
          </cell>
          <cell r="CZ57">
            <v>214000</v>
          </cell>
          <cell r="DA57">
            <v>4100</v>
          </cell>
          <cell r="DB57">
            <v>52.195121951219512</v>
          </cell>
          <cell r="DC57">
            <v>281000</v>
          </cell>
          <cell r="DD57">
            <v>4100</v>
          </cell>
          <cell r="DE57">
            <v>68.536585365853654</v>
          </cell>
          <cell r="DF57">
            <v>15000</v>
          </cell>
          <cell r="DG57">
            <v>4100</v>
          </cell>
          <cell r="DH57">
            <v>3.6585365853658538</v>
          </cell>
          <cell r="DI57">
            <v>1598</v>
          </cell>
          <cell r="DJ57">
            <v>2.5657071339173969</v>
          </cell>
          <cell r="DK57">
            <v>-1.7777777777777778E-2</v>
          </cell>
          <cell r="DL57">
            <v>0.95</v>
          </cell>
          <cell r="DM57">
            <v>2.76</v>
          </cell>
        </row>
        <row r="58">
          <cell r="B58" t="str">
            <v>Deniliquin Council</v>
          </cell>
          <cell r="C58">
            <v>4</v>
          </cell>
          <cell r="D58">
            <v>1693000</v>
          </cell>
          <cell r="E58">
            <v>3109</v>
          </cell>
          <cell r="F58">
            <v>544.54808620135088</v>
          </cell>
          <cell r="G58">
            <v>134000</v>
          </cell>
          <cell r="H58">
            <v>111</v>
          </cell>
          <cell r="I58">
            <v>1207.2072072072071</v>
          </cell>
          <cell r="J58">
            <v>685000</v>
          </cell>
          <cell r="K58">
            <v>418</v>
          </cell>
          <cell r="L58">
            <v>1638.7559808612441</v>
          </cell>
          <cell r="M58">
            <v>359000</v>
          </cell>
          <cell r="N58">
            <v>7130000</v>
          </cell>
          <cell r="O58">
            <v>5.0350631136044884E-2</v>
          </cell>
          <cell r="P58">
            <v>511000</v>
          </cell>
          <cell r="Q58">
            <v>5288000</v>
          </cell>
          <cell r="R58">
            <v>9.6633888048411498E-2</v>
          </cell>
          <cell r="S58">
            <v>215000</v>
          </cell>
          <cell r="T58">
            <v>1116000</v>
          </cell>
          <cell r="U58">
            <v>0.19265232974910393</v>
          </cell>
          <cell r="V58">
            <v>5799000</v>
          </cell>
          <cell r="W58">
            <v>10081000</v>
          </cell>
          <cell r="X58">
            <v>0.57524055153258602</v>
          </cell>
          <cell r="Y58">
            <v>1331000</v>
          </cell>
          <cell r="Z58">
            <v>10081000</v>
          </cell>
          <cell r="AA58">
            <v>0.13203055252455115</v>
          </cell>
          <cell r="AB58">
            <v>242000</v>
          </cell>
          <cell r="AC58">
            <v>10081000</v>
          </cell>
          <cell r="AD58">
            <v>2.4005555004463844E-2</v>
          </cell>
          <cell r="AE58">
            <v>2520000</v>
          </cell>
          <cell r="AF58">
            <v>10081000</v>
          </cell>
          <cell r="AG58">
            <v>0.24997520087292927</v>
          </cell>
          <cell r="AH58">
            <v>46000</v>
          </cell>
          <cell r="AI58">
            <v>10081000</v>
          </cell>
          <cell r="AJ58">
            <v>4.5630393810137887E-3</v>
          </cell>
          <cell r="AK58">
            <v>143000</v>
          </cell>
          <cell r="AL58">
            <v>10081000</v>
          </cell>
          <cell r="AM58">
            <v>1.4185100684455908E-2</v>
          </cell>
          <cell r="AN58">
            <v>6290000</v>
          </cell>
          <cell r="AO58">
            <v>8354</v>
          </cell>
          <cell r="AP58">
            <v>752.93272683744317</v>
          </cell>
          <cell r="AQ58">
            <v>2366000</v>
          </cell>
          <cell r="AR58">
            <v>10011000</v>
          </cell>
          <cell r="AS58">
            <v>0.23634002597143142</v>
          </cell>
          <cell r="AT58">
            <v>3441000</v>
          </cell>
          <cell r="AU58">
            <v>10011000</v>
          </cell>
          <cell r="AV58">
            <v>0.34372190590350615</v>
          </cell>
          <cell r="AW58">
            <v>328000</v>
          </cell>
          <cell r="AX58">
            <v>10011000</v>
          </cell>
          <cell r="AY58">
            <v>3.2763959644391168E-2</v>
          </cell>
          <cell r="AZ58">
            <v>2679000</v>
          </cell>
          <cell r="BA58">
            <v>10011000</v>
          </cell>
          <cell r="BB58">
            <v>0.26760563380281688</v>
          </cell>
          <cell r="BC58">
            <v>1197000</v>
          </cell>
          <cell r="BD58">
            <v>10011000</v>
          </cell>
          <cell r="BE58">
            <v>0.11956847467785436</v>
          </cell>
          <cell r="BF58">
            <v>7343000</v>
          </cell>
          <cell r="BG58">
            <v>8354</v>
          </cell>
          <cell r="BH58">
            <v>878.98012927938714</v>
          </cell>
          <cell r="BI58">
            <v>3311000</v>
          </cell>
          <cell r="BJ58">
            <v>1138000</v>
          </cell>
          <cell r="BK58">
            <v>2.9094903339191562</v>
          </cell>
          <cell r="BL58">
            <v>668000</v>
          </cell>
          <cell r="BM58">
            <v>8970000</v>
          </cell>
          <cell r="BN58">
            <v>7.447045707915273E-2</v>
          </cell>
          <cell r="BO58">
            <v>1117000</v>
          </cell>
          <cell r="BP58">
            <v>1828000</v>
          </cell>
          <cell r="BQ58">
            <v>0.6110503282275711</v>
          </cell>
          <cell r="BR58">
            <v>62</v>
          </cell>
          <cell r="BS58" t="str">
            <v>&lt;=2</v>
          </cell>
          <cell r="BT58" t="str">
            <v>On Time</v>
          </cell>
          <cell r="BU58" t="str">
            <v>On Time</v>
          </cell>
          <cell r="BV58">
            <v>277000</v>
          </cell>
          <cell r="BW58">
            <v>8354</v>
          </cell>
          <cell r="BX58">
            <v>33.15776873354082</v>
          </cell>
          <cell r="BY58">
            <v>75998</v>
          </cell>
          <cell r="BZ58">
            <v>8354</v>
          </cell>
          <cell r="CA58">
            <v>9.0971989466124015</v>
          </cell>
          <cell r="CB58">
            <v>608000</v>
          </cell>
          <cell r="CC58">
            <v>2887</v>
          </cell>
          <cell r="CD58">
            <v>210.59923796328368</v>
          </cell>
          <cell r="CE58">
            <v>369488</v>
          </cell>
          <cell r="CF58">
            <v>2802</v>
          </cell>
          <cell r="CG58">
            <v>131.86581013561741</v>
          </cell>
          <cell r="CI58">
            <v>8354</v>
          </cell>
          <cell r="CJ58" t="str">
            <v>N/A</v>
          </cell>
          <cell r="CK58">
            <v>3000000</v>
          </cell>
          <cell r="CL58">
            <v>8354</v>
          </cell>
          <cell r="CM58">
            <v>359.10940866650708</v>
          </cell>
          <cell r="CN58">
            <v>531.03061837102302</v>
          </cell>
          <cell r="CO58">
            <v>406.862745098039</v>
          </cell>
          <cell r="CP58">
            <v>362.48360955044501</v>
          </cell>
          <cell r="CQ58">
            <v>392.47311827956997</v>
          </cell>
          <cell r="CR58">
            <v>123</v>
          </cell>
          <cell r="CS58">
            <v>2613</v>
          </cell>
          <cell r="CT58">
            <v>123</v>
          </cell>
          <cell r="CU58">
            <v>21.243902439024389</v>
          </cell>
          <cell r="CV58">
            <v>17</v>
          </cell>
          <cell r="CW58">
            <v>0</v>
          </cell>
          <cell r="CX58">
            <v>158000</v>
          </cell>
          <cell r="CY58">
            <v>0</v>
          </cell>
          <cell r="CZ58">
            <v>238000</v>
          </cell>
          <cell r="DA58">
            <v>8354</v>
          </cell>
          <cell r="DB58">
            <v>28.489346420876227</v>
          </cell>
          <cell r="DC58">
            <v>521000</v>
          </cell>
          <cell r="DD58">
            <v>8354</v>
          </cell>
          <cell r="DE58">
            <v>62.365333971750061</v>
          </cell>
          <cell r="DF58">
            <v>19000</v>
          </cell>
          <cell r="DG58">
            <v>8354</v>
          </cell>
          <cell r="DH58">
            <v>2.2743595882212113</v>
          </cell>
          <cell r="DI58">
            <v>129.9</v>
          </cell>
          <cell r="DJ58">
            <v>64.31100846805235</v>
          </cell>
          <cell r="DK58">
            <v>-5.0408401400233371E-3</v>
          </cell>
          <cell r="DL58">
            <v>2.56</v>
          </cell>
          <cell r="DM58">
            <v>2.35</v>
          </cell>
        </row>
        <row r="59">
          <cell r="B59" t="str">
            <v>Drummoyne Council</v>
          </cell>
          <cell r="C59" t="str">
            <v>A</v>
          </cell>
          <cell r="F59">
            <v>0</v>
          </cell>
          <cell r="I59">
            <v>0</v>
          </cell>
          <cell r="L59">
            <v>0</v>
          </cell>
          <cell r="O59">
            <v>0</v>
          </cell>
          <cell r="R59">
            <v>0</v>
          </cell>
          <cell r="U59">
            <v>0</v>
          </cell>
          <cell r="X59">
            <v>0</v>
          </cell>
          <cell r="Z59">
            <v>0</v>
          </cell>
          <cell r="AA59">
            <v>0</v>
          </cell>
          <cell r="AC59">
            <v>0</v>
          </cell>
          <cell r="AD59">
            <v>0</v>
          </cell>
          <cell r="AF59">
            <v>0</v>
          </cell>
          <cell r="AG59">
            <v>0</v>
          </cell>
          <cell r="AI59">
            <v>0</v>
          </cell>
          <cell r="AJ59">
            <v>0</v>
          </cell>
          <cell r="AL59">
            <v>0</v>
          </cell>
          <cell r="AM59">
            <v>0</v>
          </cell>
          <cell r="AP59">
            <v>0</v>
          </cell>
          <cell r="AS59">
            <v>0</v>
          </cell>
          <cell r="AU59">
            <v>0</v>
          </cell>
          <cell r="AV59">
            <v>0</v>
          </cell>
          <cell r="AX59">
            <v>0</v>
          </cell>
          <cell r="AY59">
            <v>0</v>
          </cell>
          <cell r="BA59">
            <v>0</v>
          </cell>
          <cell r="BB59">
            <v>0</v>
          </cell>
          <cell r="BD59">
            <v>0</v>
          </cell>
          <cell r="BE59">
            <v>0</v>
          </cell>
          <cell r="BH59">
            <v>0</v>
          </cell>
          <cell r="BK59">
            <v>0</v>
          </cell>
          <cell r="BN59">
            <v>0</v>
          </cell>
          <cell r="BQ59">
            <v>0</v>
          </cell>
          <cell r="BX59">
            <v>0</v>
          </cell>
          <cell r="CA59">
            <v>0</v>
          </cell>
          <cell r="CD59">
            <v>0</v>
          </cell>
          <cell r="CG59">
            <v>0</v>
          </cell>
          <cell r="CJ59">
            <v>0</v>
          </cell>
          <cell r="CM59">
            <v>0</v>
          </cell>
          <cell r="CT59">
            <v>0</v>
          </cell>
          <cell r="CU59">
            <v>0</v>
          </cell>
          <cell r="CY59">
            <v>0</v>
          </cell>
          <cell r="DB59">
            <v>0</v>
          </cell>
          <cell r="DE59">
            <v>0</v>
          </cell>
          <cell r="DH59">
            <v>0</v>
          </cell>
          <cell r="DI59">
            <v>8.3000000000000007</v>
          </cell>
          <cell r="DK59">
            <v>-0.2</v>
          </cell>
          <cell r="DL59">
            <v>0.32</v>
          </cell>
          <cell r="DM59">
            <v>21.01</v>
          </cell>
        </row>
        <row r="60">
          <cell r="B60" t="str">
            <v>Dubbo City Council</v>
          </cell>
          <cell r="C60">
            <v>4</v>
          </cell>
          <cell r="D60">
            <v>6457000</v>
          </cell>
          <cell r="E60">
            <v>13023</v>
          </cell>
          <cell r="F60">
            <v>495.81509636796437</v>
          </cell>
          <cell r="G60">
            <v>1098000</v>
          </cell>
          <cell r="H60">
            <v>677</v>
          </cell>
          <cell r="I60">
            <v>1621.861152141802</v>
          </cell>
          <cell r="J60">
            <v>3628000</v>
          </cell>
          <cell r="K60">
            <v>1188</v>
          </cell>
          <cell r="L60">
            <v>3053.872053872054</v>
          </cell>
          <cell r="M60">
            <v>2796000</v>
          </cell>
          <cell r="N60">
            <v>34763000</v>
          </cell>
          <cell r="O60">
            <v>8.0430342605643926E-2</v>
          </cell>
          <cell r="P60">
            <v>715000</v>
          </cell>
          <cell r="Q60">
            <v>21536000</v>
          </cell>
          <cell r="R60">
            <v>3.3200222882615156E-2</v>
          </cell>
          <cell r="S60">
            <v>1869000</v>
          </cell>
          <cell r="T60">
            <v>10643000</v>
          </cell>
          <cell r="U60">
            <v>0.17560838109555577</v>
          </cell>
          <cell r="V60">
            <v>22251000</v>
          </cell>
          <cell r="W60">
            <v>49118000</v>
          </cell>
          <cell r="X60">
            <v>0.4530111160877886</v>
          </cell>
          <cell r="Y60">
            <v>12512000</v>
          </cell>
          <cell r="Z60">
            <v>49118000</v>
          </cell>
          <cell r="AA60">
            <v>0.25473349892096586</v>
          </cell>
          <cell r="AB60">
            <v>1438000</v>
          </cell>
          <cell r="AC60">
            <v>49118000</v>
          </cell>
          <cell r="AD60">
            <v>2.9276436336984405E-2</v>
          </cell>
          <cell r="AE60">
            <v>8619000</v>
          </cell>
          <cell r="AF60">
            <v>49118000</v>
          </cell>
          <cell r="AG60">
            <v>0.17547538580561098</v>
          </cell>
          <cell r="AH60">
            <v>4021000</v>
          </cell>
          <cell r="AI60">
            <v>49118000</v>
          </cell>
          <cell r="AJ60">
            <v>8.1864082413779057E-2</v>
          </cell>
          <cell r="AK60">
            <v>277000</v>
          </cell>
          <cell r="AL60">
            <v>49118000</v>
          </cell>
          <cell r="AM60">
            <v>5.6394804348711266E-3</v>
          </cell>
          <cell r="AN60">
            <v>31285000</v>
          </cell>
          <cell r="AO60">
            <v>38782</v>
          </cell>
          <cell r="AP60">
            <v>806.68867000154717</v>
          </cell>
          <cell r="AQ60">
            <v>14238000</v>
          </cell>
          <cell r="AR60">
            <v>46230000</v>
          </cell>
          <cell r="AS60">
            <v>0.30798182998053214</v>
          </cell>
          <cell r="AT60">
            <v>11549000</v>
          </cell>
          <cell r="AU60">
            <v>46230000</v>
          </cell>
          <cell r="AV60">
            <v>0.24981613670776551</v>
          </cell>
          <cell r="AW60">
            <v>1000</v>
          </cell>
          <cell r="AX60">
            <v>46230000</v>
          </cell>
          <cell r="AY60">
            <v>2.1630975556997619E-5</v>
          </cell>
          <cell r="AZ60">
            <v>13921000</v>
          </cell>
          <cell r="BA60">
            <v>46230000</v>
          </cell>
          <cell r="BB60">
            <v>0.30112481072896385</v>
          </cell>
          <cell r="BC60">
            <v>6521000</v>
          </cell>
          <cell r="BD60">
            <v>46230000</v>
          </cell>
          <cell r="BE60">
            <v>0.14105559160718148</v>
          </cell>
          <cell r="BF60">
            <v>34296000</v>
          </cell>
          <cell r="BG60">
            <v>38782</v>
          </cell>
          <cell r="BH60">
            <v>884.32778092929709</v>
          </cell>
          <cell r="BI60">
            <v>20743000</v>
          </cell>
          <cell r="BJ60">
            <v>4922000</v>
          </cell>
          <cell r="BK60">
            <v>4.21434376269809</v>
          </cell>
          <cell r="BL60">
            <v>9000</v>
          </cell>
          <cell r="BM60">
            <v>41303000</v>
          </cell>
          <cell r="BN60">
            <v>2.1790184732343898E-4</v>
          </cell>
          <cell r="BO60">
            <v>6297000</v>
          </cell>
          <cell r="BP60">
            <v>10016000</v>
          </cell>
          <cell r="BQ60">
            <v>0.628694089456869</v>
          </cell>
          <cell r="BR60">
            <v>278</v>
          </cell>
          <cell r="BS60" t="str">
            <v>On Time</v>
          </cell>
          <cell r="BT60" t="str">
            <v>On Time</v>
          </cell>
          <cell r="BU60" t="str">
            <v>On Time</v>
          </cell>
          <cell r="BV60">
            <v>1002000</v>
          </cell>
          <cell r="BW60">
            <v>38782</v>
          </cell>
          <cell r="BX60">
            <v>25.836728379144965</v>
          </cell>
          <cell r="BY60">
            <v>174631</v>
          </cell>
          <cell r="BZ60">
            <v>38782</v>
          </cell>
          <cell r="CA60">
            <v>4.5028879377030577</v>
          </cell>
          <cell r="CB60">
            <v>1211000</v>
          </cell>
          <cell r="CC60">
            <v>12420</v>
          </cell>
          <cell r="CD60">
            <v>97.504025764895331</v>
          </cell>
          <cell r="CE60">
            <v>1120785</v>
          </cell>
          <cell r="CF60">
            <v>13702</v>
          </cell>
          <cell r="CG60">
            <v>81.797182893008326</v>
          </cell>
          <cell r="CH60">
            <v>810500</v>
          </cell>
          <cell r="CI60">
            <v>38782</v>
          </cell>
          <cell r="CJ60">
            <v>20.898870610076841</v>
          </cell>
          <cell r="CK60">
            <v>13216000</v>
          </cell>
          <cell r="CL60">
            <v>38782</v>
          </cell>
          <cell r="CM60">
            <v>340.77664896085815</v>
          </cell>
          <cell r="CN60">
            <v>412.82830248886302</v>
          </cell>
          <cell r="CO60">
            <v>460.97976728674098</v>
          </cell>
          <cell r="CP60">
            <v>428.41921541577801</v>
          </cell>
          <cell r="CQ60">
            <v>428.78921607959597</v>
          </cell>
          <cell r="CR60">
            <v>979</v>
          </cell>
          <cell r="CS60">
            <v>22982</v>
          </cell>
          <cell r="CT60">
            <v>979</v>
          </cell>
          <cell r="CU60">
            <v>23.474974463738508</v>
          </cell>
          <cell r="CV60">
            <v>19</v>
          </cell>
          <cell r="CW60">
            <v>20000</v>
          </cell>
          <cell r="CX60">
            <v>1899000</v>
          </cell>
          <cell r="CY60">
            <v>1.0531858873091101E-2</v>
          </cell>
          <cell r="CZ60">
            <v>708000</v>
          </cell>
          <cell r="DA60">
            <v>38782</v>
          </cell>
          <cell r="DB60">
            <v>18.2558919086174</v>
          </cell>
          <cell r="DC60">
            <v>3252000</v>
          </cell>
          <cell r="DD60">
            <v>38782</v>
          </cell>
          <cell r="DE60">
            <v>83.853334020937552</v>
          </cell>
          <cell r="DF60">
            <v>2059000</v>
          </cell>
          <cell r="DG60">
            <v>38782</v>
          </cell>
          <cell r="DH60">
            <v>53.091640451755971</v>
          </cell>
          <cell r="DI60">
            <v>3427.8</v>
          </cell>
          <cell r="DJ60">
            <v>11.313962308186008</v>
          </cell>
          <cell r="DK60">
            <v>9.972929074174337E-3</v>
          </cell>
          <cell r="DL60">
            <v>7.4</v>
          </cell>
          <cell r="DM60">
            <v>2.0699999999999998</v>
          </cell>
        </row>
        <row r="61">
          <cell r="B61" t="str">
            <v>Dumaresq Shire Council</v>
          </cell>
          <cell r="C61" t="str">
            <v>A</v>
          </cell>
          <cell r="F61">
            <v>0</v>
          </cell>
          <cell r="I61">
            <v>0</v>
          </cell>
          <cell r="L61">
            <v>0</v>
          </cell>
          <cell r="O61">
            <v>0</v>
          </cell>
          <cell r="R61">
            <v>0</v>
          </cell>
          <cell r="U61">
            <v>0</v>
          </cell>
          <cell r="X61">
            <v>0</v>
          </cell>
          <cell r="Z61">
            <v>0</v>
          </cell>
          <cell r="AA61">
            <v>0</v>
          </cell>
          <cell r="AC61">
            <v>0</v>
          </cell>
          <cell r="AD61">
            <v>0</v>
          </cell>
          <cell r="AF61">
            <v>0</v>
          </cell>
          <cell r="AG61">
            <v>0</v>
          </cell>
          <cell r="AI61">
            <v>0</v>
          </cell>
          <cell r="AJ61">
            <v>0</v>
          </cell>
          <cell r="AL61">
            <v>0</v>
          </cell>
          <cell r="AM61">
            <v>0</v>
          </cell>
          <cell r="AP61">
            <v>0</v>
          </cell>
          <cell r="AS61">
            <v>0</v>
          </cell>
          <cell r="AU61">
            <v>0</v>
          </cell>
          <cell r="AV61">
            <v>0</v>
          </cell>
          <cell r="AX61">
            <v>0</v>
          </cell>
          <cell r="AY61">
            <v>0</v>
          </cell>
          <cell r="BA61">
            <v>0</v>
          </cell>
          <cell r="BB61">
            <v>0</v>
          </cell>
          <cell r="BD61">
            <v>0</v>
          </cell>
          <cell r="BE61">
            <v>0</v>
          </cell>
          <cell r="BG61">
            <v>0</v>
          </cell>
          <cell r="BH61">
            <v>0</v>
          </cell>
          <cell r="BK61">
            <v>0</v>
          </cell>
          <cell r="BN61">
            <v>0</v>
          </cell>
          <cell r="BQ61">
            <v>0</v>
          </cell>
          <cell r="BW61">
            <v>0</v>
          </cell>
          <cell r="BX61">
            <v>0</v>
          </cell>
          <cell r="BZ61">
            <v>0</v>
          </cell>
          <cell r="CA61">
            <v>0</v>
          </cell>
          <cell r="CD61">
            <v>0</v>
          </cell>
          <cell r="CG61">
            <v>0</v>
          </cell>
          <cell r="CI61">
            <v>0</v>
          </cell>
          <cell r="CJ61">
            <v>0</v>
          </cell>
          <cell r="CL61">
            <v>0</v>
          </cell>
          <cell r="CM61">
            <v>0</v>
          </cell>
          <cell r="CT61">
            <v>0</v>
          </cell>
          <cell r="CU61">
            <v>0</v>
          </cell>
          <cell r="CY61">
            <v>0</v>
          </cell>
          <cell r="DA61">
            <v>0</v>
          </cell>
          <cell r="DB61">
            <v>0</v>
          </cell>
          <cell r="DD61">
            <v>0</v>
          </cell>
          <cell r="DE61">
            <v>0</v>
          </cell>
          <cell r="DG61">
            <v>0</v>
          </cell>
          <cell r="DH61">
            <v>0</v>
          </cell>
          <cell r="DK61">
            <v>-0.2</v>
          </cell>
        </row>
        <row r="62">
          <cell r="B62" t="str">
            <v>Dungog Shire Council</v>
          </cell>
          <cell r="C62">
            <v>10</v>
          </cell>
          <cell r="D62">
            <v>1100000</v>
          </cell>
          <cell r="E62">
            <v>2859</v>
          </cell>
          <cell r="F62">
            <v>384.74991255683807</v>
          </cell>
          <cell r="G62">
            <v>1241000</v>
          </cell>
          <cell r="H62">
            <v>1043</v>
          </cell>
          <cell r="I62">
            <v>1189.8370086289549</v>
          </cell>
          <cell r="J62">
            <v>140000</v>
          </cell>
          <cell r="K62">
            <v>368</v>
          </cell>
          <cell r="L62">
            <v>380.43478260869563</v>
          </cell>
          <cell r="M62">
            <v>524000</v>
          </cell>
          <cell r="N62">
            <v>4599000</v>
          </cell>
          <cell r="O62">
            <v>0.11393781256794955</v>
          </cell>
          <cell r="P62">
            <v>223000</v>
          </cell>
          <cell r="Q62">
            <v>3524000</v>
          </cell>
          <cell r="R62">
            <v>6.328036322360954E-2</v>
          </cell>
          <cell r="S62">
            <v>101000</v>
          </cell>
          <cell r="T62">
            <v>751000</v>
          </cell>
          <cell r="U62">
            <v>0.13448735019973368</v>
          </cell>
          <cell r="V62">
            <v>3747000</v>
          </cell>
          <cell r="W62">
            <v>10354000</v>
          </cell>
          <cell r="X62">
            <v>0.36188912497585474</v>
          </cell>
          <cell r="Y62">
            <v>852000</v>
          </cell>
          <cell r="Z62">
            <v>10354000</v>
          </cell>
          <cell r="AA62">
            <v>8.2287038825574657E-2</v>
          </cell>
          <cell r="AB62">
            <v>207000</v>
          </cell>
          <cell r="AC62">
            <v>10354000</v>
          </cell>
          <cell r="AD62">
            <v>1.9992273517481167E-2</v>
          </cell>
          <cell r="AE62">
            <v>2741000</v>
          </cell>
          <cell r="AF62">
            <v>10354000</v>
          </cell>
          <cell r="AG62">
            <v>0.26472860730152598</v>
          </cell>
          <cell r="AH62">
            <v>2646000</v>
          </cell>
          <cell r="AI62">
            <v>10354000</v>
          </cell>
          <cell r="AJ62">
            <v>0.25555340931041143</v>
          </cell>
          <cell r="AK62">
            <v>161000</v>
          </cell>
          <cell r="AL62">
            <v>10354000</v>
          </cell>
          <cell r="AM62">
            <v>1.5549546069152018E-2</v>
          </cell>
          <cell r="AN62">
            <v>6179000</v>
          </cell>
          <cell r="AO62">
            <v>8364</v>
          </cell>
          <cell r="AP62">
            <v>738.7613582018173</v>
          </cell>
          <cell r="AQ62">
            <v>2509000</v>
          </cell>
          <cell r="AR62">
            <v>8461000</v>
          </cell>
          <cell r="AS62">
            <v>0.29653705235787731</v>
          </cell>
          <cell r="AT62">
            <v>2940000</v>
          </cell>
          <cell r="AU62">
            <v>8461000</v>
          </cell>
          <cell r="AV62">
            <v>0.34747665760548396</v>
          </cell>
          <cell r="AW62">
            <v>71000</v>
          </cell>
          <cell r="AX62">
            <v>8461000</v>
          </cell>
          <cell r="AY62">
            <v>8.3914430918331159E-3</v>
          </cell>
          <cell r="AZ62">
            <v>1975000</v>
          </cell>
          <cell r="BA62">
            <v>8461000</v>
          </cell>
          <cell r="BB62">
            <v>0.23342394516014656</v>
          </cell>
          <cell r="BC62">
            <v>966000</v>
          </cell>
          <cell r="BD62">
            <v>8461000</v>
          </cell>
          <cell r="BE62">
            <v>0.11417090178465902</v>
          </cell>
          <cell r="BF62">
            <v>7469000</v>
          </cell>
          <cell r="BG62">
            <v>8364</v>
          </cell>
          <cell r="BH62">
            <v>892.99378287900527</v>
          </cell>
          <cell r="BI62">
            <v>1922000</v>
          </cell>
          <cell r="BJ62">
            <v>1247000</v>
          </cell>
          <cell r="BK62">
            <v>1.541299117882919</v>
          </cell>
          <cell r="BL62">
            <v>142000</v>
          </cell>
          <cell r="BM62">
            <v>6083000</v>
          </cell>
          <cell r="BN62">
            <v>2.3343744862732205E-2</v>
          </cell>
          <cell r="BO62">
            <v>2223000</v>
          </cell>
          <cell r="BP62">
            <v>1806000</v>
          </cell>
          <cell r="BQ62">
            <v>1.2308970099667773</v>
          </cell>
          <cell r="BR62">
            <v>62</v>
          </cell>
          <cell r="BS62" t="str">
            <v>On Time</v>
          </cell>
          <cell r="BT62" t="str">
            <v>On Time</v>
          </cell>
          <cell r="BU62" t="str">
            <v>On Time</v>
          </cell>
          <cell r="BV62">
            <v>111000</v>
          </cell>
          <cell r="BW62">
            <v>8364</v>
          </cell>
          <cell r="BX62">
            <v>13.27116212338594</v>
          </cell>
          <cell r="BY62">
            <v>47184</v>
          </cell>
          <cell r="BZ62">
            <v>8364</v>
          </cell>
          <cell r="CA62">
            <v>5.6413199426111911</v>
          </cell>
          <cell r="CB62">
            <v>325000</v>
          </cell>
          <cell r="CC62">
            <v>2484</v>
          </cell>
          <cell r="CD62">
            <v>130.83735909822866</v>
          </cell>
          <cell r="CE62">
            <v>321467</v>
          </cell>
          <cell r="CF62">
            <v>2484</v>
          </cell>
          <cell r="CG62">
            <v>129.41505636070855</v>
          </cell>
          <cell r="CH62">
            <v>1000000</v>
          </cell>
          <cell r="CI62">
            <v>8364</v>
          </cell>
          <cell r="CJ62">
            <v>119.56001912960306</v>
          </cell>
          <cell r="CK62">
            <v>2544300</v>
          </cell>
          <cell r="CL62">
            <v>8364</v>
          </cell>
          <cell r="CM62">
            <v>304.19655667144906</v>
          </cell>
          <cell r="CN62">
            <v>383.533311273869</v>
          </cell>
          <cell r="CO62">
            <v>192.98245614035099</v>
          </cell>
          <cell r="CP62">
            <v>378.053380072327</v>
          </cell>
          <cell r="CQ62">
            <v>318.66028708134002</v>
          </cell>
          <cell r="CR62">
            <v>229</v>
          </cell>
          <cell r="CS62">
            <v>8506</v>
          </cell>
          <cell r="CT62">
            <v>229</v>
          </cell>
          <cell r="CU62">
            <v>37.144104803493448</v>
          </cell>
          <cell r="CV62">
            <v>27</v>
          </cell>
          <cell r="CW62">
            <v>28000</v>
          </cell>
          <cell r="CX62">
            <v>394000</v>
          </cell>
          <cell r="CY62">
            <v>7.1065989847715741E-2</v>
          </cell>
          <cell r="CZ62">
            <v>182000</v>
          </cell>
          <cell r="DA62">
            <v>8364</v>
          </cell>
          <cell r="DB62">
            <v>21.759923481587759</v>
          </cell>
          <cell r="DC62">
            <v>442000</v>
          </cell>
          <cell r="DD62">
            <v>8364</v>
          </cell>
          <cell r="DE62">
            <v>52.845528455284551</v>
          </cell>
          <cell r="DF62">
            <v>237000</v>
          </cell>
          <cell r="DG62">
            <v>8364</v>
          </cell>
          <cell r="DH62">
            <v>28.335724533715926</v>
          </cell>
          <cell r="DI62">
            <v>2251.1999999999998</v>
          </cell>
          <cell r="DJ62">
            <v>3.7153518123667379</v>
          </cell>
          <cell r="DK62">
            <v>3.3532934131736525E-4</v>
          </cell>
          <cell r="DL62">
            <v>1.63</v>
          </cell>
          <cell r="DM62">
            <v>1.45</v>
          </cell>
        </row>
        <row r="63">
          <cell r="B63" t="str">
            <v>Eurobodalla Shire Council</v>
          </cell>
          <cell r="C63">
            <v>4</v>
          </cell>
          <cell r="D63">
            <v>8641000</v>
          </cell>
          <cell r="E63">
            <v>20401</v>
          </cell>
          <cell r="F63">
            <v>423.55766874172832</v>
          </cell>
          <cell r="G63">
            <v>313000</v>
          </cell>
          <cell r="H63">
            <v>271</v>
          </cell>
          <cell r="I63">
            <v>1154.9815498154981</v>
          </cell>
          <cell r="J63">
            <v>1339000</v>
          </cell>
          <cell r="K63">
            <v>1076</v>
          </cell>
          <cell r="L63">
            <v>1244.4237918215613</v>
          </cell>
          <cell r="M63">
            <v>1647000</v>
          </cell>
          <cell r="N63">
            <v>32033000</v>
          </cell>
          <cell r="O63">
            <v>5.1415727530983675E-2</v>
          </cell>
          <cell r="P63">
            <v>979000</v>
          </cell>
          <cell r="Q63">
            <v>22930000</v>
          </cell>
          <cell r="R63">
            <v>4.2695159180113386E-2</v>
          </cell>
          <cell r="S63">
            <v>1785000</v>
          </cell>
          <cell r="T63">
            <v>6339000</v>
          </cell>
          <cell r="U63">
            <v>0.28159015617605299</v>
          </cell>
          <cell r="V63">
            <v>23909000</v>
          </cell>
          <cell r="W63">
            <v>57764000</v>
          </cell>
          <cell r="X63">
            <v>0.41390831659857352</v>
          </cell>
          <cell r="Y63">
            <v>8124000</v>
          </cell>
          <cell r="Z63">
            <v>57764000</v>
          </cell>
          <cell r="AA63">
            <v>0.14064122983172911</v>
          </cell>
          <cell r="AB63">
            <v>1599000</v>
          </cell>
          <cell r="AC63">
            <v>57764000</v>
          </cell>
          <cell r="AD63">
            <v>2.7681600997160861E-2</v>
          </cell>
          <cell r="AE63">
            <v>14336000</v>
          </cell>
          <cell r="AF63">
            <v>57764000</v>
          </cell>
          <cell r="AG63">
            <v>0.24818225884634029</v>
          </cell>
          <cell r="AH63">
            <v>8727000</v>
          </cell>
          <cell r="AI63">
            <v>57764000</v>
          </cell>
          <cell r="AJ63">
            <v>0.15108025759988922</v>
          </cell>
          <cell r="AK63">
            <v>1069000</v>
          </cell>
          <cell r="AL63">
            <v>57764000</v>
          </cell>
          <cell r="AM63">
            <v>1.8506336126307043E-2</v>
          </cell>
          <cell r="AN63">
            <v>32834000</v>
          </cell>
          <cell r="AO63">
            <v>34131</v>
          </cell>
          <cell r="AP63">
            <v>961.99935542468722</v>
          </cell>
          <cell r="AQ63">
            <v>16553000</v>
          </cell>
          <cell r="AR63">
            <v>45780000</v>
          </cell>
          <cell r="AS63">
            <v>0.36157710790738312</v>
          </cell>
          <cell r="AT63">
            <v>13071000</v>
          </cell>
          <cell r="AU63">
            <v>45780000</v>
          </cell>
          <cell r="AV63">
            <v>0.28551769331585847</v>
          </cell>
          <cell r="AW63">
            <v>2105000</v>
          </cell>
          <cell r="AX63">
            <v>45780000</v>
          </cell>
          <cell r="AY63">
            <v>4.5980777632153781E-2</v>
          </cell>
          <cell r="AZ63">
            <v>9737000</v>
          </cell>
          <cell r="BA63">
            <v>45780000</v>
          </cell>
          <cell r="BB63">
            <v>0.21269113149847094</v>
          </cell>
          <cell r="BC63">
            <v>4314000</v>
          </cell>
          <cell r="BD63">
            <v>45780000</v>
          </cell>
          <cell r="BE63">
            <v>9.4233289646133686E-2</v>
          </cell>
          <cell r="BF63">
            <v>31768000</v>
          </cell>
          <cell r="BG63">
            <v>34131</v>
          </cell>
          <cell r="BH63">
            <v>930.76675163341247</v>
          </cell>
          <cell r="BI63">
            <v>15527000</v>
          </cell>
          <cell r="BJ63">
            <v>12299000</v>
          </cell>
          <cell r="BK63">
            <v>1.2624603626311082</v>
          </cell>
          <cell r="BL63">
            <v>5893000</v>
          </cell>
          <cell r="BM63">
            <v>39135000</v>
          </cell>
          <cell r="BN63">
            <v>0.1505813210680976</v>
          </cell>
          <cell r="BO63">
            <v>9326000</v>
          </cell>
          <cell r="BP63">
            <v>6145000</v>
          </cell>
          <cell r="BQ63">
            <v>1.5176566314076485</v>
          </cell>
          <cell r="BR63">
            <v>386</v>
          </cell>
          <cell r="BS63" t="str">
            <v>On Time</v>
          </cell>
          <cell r="BT63" t="str">
            <v>On Time</v>
          </cell>
          <cell r="BU63" t="str">
            <v>On Time</v>
          </cell>
          <cell r="BV63">
            <v>667000</v>
          </cell>
          <cell r="BW63">
            <v>34131</v>
          </cell>
          <cell r="BX63">
            <v>19.542351527936479</v>
          </cell>
          <cell r="BY63">
            <v>283253</v>
          </cell>
          <cell r="BZ63">
            <v>34131</v>
          </cell>
          <cell r="CA63">
            <v>8.2989950484896422</v>
          </cell>
          <cell r="CB63">
            <v>1452000</v>
          </cell>
          <cell r="CC63">
            <v>17443</v>
          </cell>
          <cell r="CD63">
            <v>83.242561485982918</v>
          </cell>
          <cell r="CE63">
            <v>1629360</v>
          </cell>
          <cell r="CF63">
            <v>17443</v>
          </cell>
          <cell r="CG63">
            <v>93.410537178237689</v>
          </cell>
          <cell r="CH63">
            <v>1946660</v>
          </cell>
          <cell r="CI63">
            <v>34131</v>
          </cell>
          <cell r="CJ63">
            <v>57.034953561278606</v>
          </cell>
          <cell r="CK63">
            <v>10035567</v>
          </cell>
          <cell r="CL63">
            <v>34131</v>
          </cell>
          <cell r="CM63">
            <v>294.03085171837921</v>
          </cell>
          <cell r="CN63">
            <v>358</v>
          </cell>
          <cell r="CO63">
            <v>367.89805938742097</v>
          </cell>
          <cell r="CP63">
            <v>437.04900924502499</v>
          </cell>
          <cell r="CQ63">
            <v>409.57446808510599</v>
          </cell>
          <cell r="CR63">
            <v>1164</v>
          </cell>
          <cell r="CS63">
            <v>33277</v>
          </cell>
          <cell r="CT63">
            <v>1164</v>
          </cell>
          <cell r="CU63">
            <v>28.588487972508592</v>
          </cell>
          <cell r="CV63">
            <v>21</v>
          </cell>
          <cell r="CW63">
            <v>40000</v>
          </cell>
          <cell r="CX63">
            <v>1947000</v>
          </cell>
          <cell r="CY63">
            <v>2.054442732408834E-2</v>
          </cell>
          <cell r="CZ63">
            <v>1531000</v>
          </cell>
          <cell r="DA63">
            <v>34131</v>
          </cell>
          <cell r="DB63">
            <v>44.856581992909675</v>
          </cell>
          <cell r="DC63">
            <v>2114000</v>
          </cell>
          <cell r="DD63">
            <v>34131</v>
          </cell>
          <cell r="DE63">
            <v>61.937827781195978</v>
          </cell>
          <cell r="DF63">
            <v>3584000</v>
          </cell>
          <cell r="DG63">
            <v>34131</v>
          </cell>
          <cell r="DH63">
            <v>105.00717822507399</v>
          </cell>
          <cell r="DI63">
            <v>3422.2</v>
          </cell>
          <cell r="DJ63">
            <v>9.9734089182397287</v>
          </cell>
          <cell r="DK63">
            <v>1.9562560308780959E-2</v>
          </cell>
          <cell r="DL63">
            <v>3.85</v>
          </cell>
          <cell r="DM63">
            <v>4.88</v>
          </cell>
        </row>
        <row r="64">
          <cell r="B64" t="str">
            <v>Evans Shire Council</v>
          </cell>
          <cell r="C64">
            <v>10</v>
          </cell>
          <cell r="D64">
            <v>501000</v>
          </cell>
          <cell r="E64">
            <v>1811</v>
          </cell>
          <cell r="F64">
            <v>276.64273881833242</v>
          </cell>
          <cell r="G64">
            <v>1211000</v>
          </cell>
          <cell r="H64">
            <v>1486</v>
          </cell>
          <cell r="I64">
            <v>814.93943472409148</v>
          </cell>
          <cell r="J64">
            <v>21000</v>
          </cell>
          <cell r="K64">
            <v>73</v>
          </cell>
          <cell r="L64">
            <v>287.67123287671234</v>
          </cell>
          <cell r="M64">
            <v>221000</v>
          </cell>
          <cell r="N64">
            <v>4082000</v>
          </cell>
          <cell r="O64">
            <v>5.4140127388535034E-2</v>
          </cell>
          <cell r="P64">
            <v>54000</v>
          </cell>
          <cell r="Q64">
            <v>1724000</v>
          </cell>
          <cell r="R64">
            <v>3.1322505800464036E-2</v>
          </cell>
          <cell r="S64">
            <v>208000</v>
          </cell>
          <cell r="T64">
            <v>2096000</v>
          </cell>
          <cell r="U64">
            <v>9.9236641221374045E-2</v>
          </cell>
          <cell r="V64">
            <v>1778000</v>
          </cell>
          <cell r="W64">
            <v>7962000</v>
          </cell>
          <cell r="X64">
            <v>0.22331072594825421</v>
          </cell>
          <cell r="Y64">
            <v>2304000</v>
          </cell>
          <cell r="Z64">
            <v>7962000</v>
          </cell>
          <cell r="AA64">
            <v>0.28937452901281085</v>
          </cell>
          <cell r="AB64">
            <v>66000</v>
          </cell>
          <cell r="AC64">
            <v>7962000</v>
          </cell>
          <cell r="AD64">
            <v>8.2893745290128114E-3</v>
          </cell>
          <cell r="AE64">
            <v>2594000</v>
          </cell>
          <cell r="AF64">
            <v>7962000</v>
          </cell>
          <cell r="AG64">
            <v>0.32579753830695807</v>
          </cell>
          <cell r="AH64">
            <v>1204000</v>
          </cell>
          <cell r="AI64">
            <v>7962000</v>
          </cell>
          <cell r="AJ64">
            <v>0.15121828686259733</v>
          </cell>
          <cell r="AK64">
            <v>16000</v>
          </cell>
          <cell r="AL64">
            <v>7962000</v>
          </cell>
          <cell r="AM64">
            <v>2.0095453403667419E-3</v>
          </cell>
          <cell r="AN64">
            <v>6541000</v>
          </cell>
          <cell r="AO64">
            <v>5450</v>
          </cell>
          <cell r="AP64">
            <v>1200.1834862385322</v>
          </cell>
          <cell r="AQ64">
            <v>2112000</v>
          </cell>
          <cell r="AR64">
            <v>6229000</v>
          </cell>
          <cell r="AS64">
            <v>0.33905923904318508</v>
          </cell>
          <cell r="AT64">
            <v>1860000</v>
          </cell>
          <cell r="AU64">
            <v>6229000</v>
          </cell>
          <cell r="AV64">
            <v>0.29860330711189598</v>
          </cell>
          <cell r="AW64">
            <v>17000</v>
          </cell>
          <cell r="AX64">
            <v>6229000</v>
          </cell>
          <cell r="AY64">
            <v>2.7291700112377589E-3</v>
          </cell>
          <cell r="AZ64">
            <v>1663000</v>
          </cell>
          <cell r="BA64">
            <v>6229000</v>
          </cell>
          <cell r="BB64">
            <v>0.26697704286402313</v>
          </cell>
          <cell r="BC64">
            <v>577000</v>
          </cell>
          <cell r="BD64">
            <v>6229000</v>
          </cell>
          <cell r="BE64">
            <v>9.2631240969658052E-2</v>
          </cell>
          <cell r="BF64">
            <v>6225000</v>
          </cell>
          <cell r="BG64">
            <v>5450</v>
          </cell>
          <cell r="BH64">
            <v>1142.2018348623853</v>
          </cell>
          <cell r="BI64">
            <v>1596000</v>
          </cell>
          <cell r="BJ64">
            <v>1090000</v>
          </cell>
          <cell r="BK64">
            <v>1.4642201834862385</v>
          </cell>
          <cell r="BL64">
            <v>180000</v>
          </cell>
          <cell r="BM64">
            <v>5618000</v>
          </cell>
          <cell r="BN64">
            <v>3.2039871840512636E-2</v>
          </cell>
          <cell r="BO64">
            <v>2532000</v>
          </cell>
          <cell r="BP64">
            <v>1663000</v>
          </cell>
          <cell r="BQ64">
            <v>1.5225496091401083</v>
          </cell>
          <cell r="BR64">
            <v>48</v>
          </cell>
          <cell r="BS64" t="str">
            <v>On Time</v>
          </cell>
          <cell r="BT64" t="str">
            <v>On Time</v>
          </cell>
          <cell r="BU64" t="str">
            <v>On Time</v>
          </cell>
          <cell r="BV64">
            <v>62000</v>
          </cell>
          <cell r="BW64">
            <v>5450</v>
          </cell>
          <cell r="BX64">
            <v>11.376146788990825</v>
          </cell>
          <cell r="BY64">
            <v>19810</v>
          </cell>
          <cell r="BZ64">
            <v>5450</v>
          </cell>
          <cell r="CA64">
            <v>3.6348623853211008</v>
          </cell>
          <cell r="CB64">
            <v>0</v>
          </cell>
          <cell r="CC64">
            <v>0</v>
          </cell>
          <cell r="CD64" t="str">
            <v>N/A</v>
          </cell>
          <cell r="CE64">
            <v>0</v>
          </cell>
          <cell r="CF64">
            <v>0</v>
          </cell>
          <cell r="CG64" t="str">
            <v>N/A</v>
          </cell>
          <cell r="CH64">
            <v>25000</v>
          </cell>
          <cell r="CI64">
            <v>5450</v>
          </cell>
          <cell r="CJ64">
            <v>4.5871559633027523</v>
          </cell>
          <cell r="CL64">
            <v>5450</v>
          </cell>
          <cell r="CM64" t="str">
            <v>N/A</v>
          </cell>
          <cell r="CN64" t="str">
            <v>N/A</v>
          </cell>
          <cell r="CO64" t="str">
            <v>N/A</v>
          </cell>
          <cell r="CP64" t="str">
            <v>N/A</v>
          </cell>
          <cell r="CQ64" t="str">
            <v>N/A</v>
          </cell>
          <cell r="CR64">
            <v>157</v>
          </cell>
          <cell r="CS64">
            <v>3698</v>
          </cell>
          <cell r="CT64">
            <v>157</v>
          </cell>
          <cell r="CU64">
            <v>23.554140127388536</v>
          </cell>
          <cell r="CV64">
            <v>22</v>
          </cell>
          <cell r="CW64">
            <v>13000</v>
          </cell>
          <cell r="CX64">
            <v>294000</v>
          </cell>
          <cell r="CY64">
            <v>4.4217687074829932E-2</v>
          </cell>
          <cell r="CZ64">
            <v>103000</v>
          </cell>
          <cell r="DA64">
            <v>5450</v>
          </cell>
          <cell r="DB64">
            <v>18.899082568807341</v>
          </cell>
          <cell r="DC64">
            <v>31000</v>
          </cell>
          <cell r="DD64">
            <v>5450</v>
          </cell>
          <cell r="DE64">
            <v>5.6880733944954125</v>
          </cell>
          <cell r="DF64">
            <v>0</v>
          </cell>
          <cell r="DG64">
            <v>5450</v>
          </cell>
          <cell r="DH64">
            <v>0</v>
          </cell>
          <cell r="DI64">
            <v>4310.5</v>
          </cell>
          <cell r="DJ64">
            <v>1.2643544832386033</v>
          </cell>
          <cell r="DK64">
            <v>1.93158953722334E-2</v>
          </cell>
          <cell r="DL64">
            <v>0.84</v>
          </cell>
          <cell r="DM64">
            <v>3.25</v>
          </cell>
        </row>
        <row r="65">
          <cell r="B65" t="str">
            <v>Fairfield City Council</v>
          </cell>
          <cell r="C65">
            <v>3</v>
          </cell>
          <cell r="D65">
            <v>33136000</v>
          </cell>
          <cell r="E65">
            <v>54070</v>
          </cell>
          <cell r="F65">
            <v>612.8352136119845</v>
          </cell>
          <cell r="G65">
            <v>311000</v>
          </cell>
          <cell r="H65">
            <v>181</v>
          </cell>
          <cell r="I65">
            <v>1718.232044198895</v>
          </cell>
          <cell r="J65">
            <v>11097000</v>
          </cell>
          <cell r="K65">
            <v>3725</v>
          </cell>
          <cell r="L65">
            <v>2979.0604026845635</v>
          </cell>
          <cell r="M65">
            <v>2432000</v>
          </cell>
          <cell r="N65">
            <v>70171000</v>
          </cell>
          <cell r="O65">
            <v>3.4658192130652264E-2</v>
          </cell>
          <cell r="P65">
            <v>5526000</v>
          </cell>
          <cell r="Q65">
            <v>50418000</v>
          </cell>
          <cell r="R65">
            <v>0.10960371295965726</v>
          </cell>
          <cell r="S65">
            <v>-2396000</v>
          </cell>
          <cell r="T65">
            <v>16623000</v>
          </cell>
          <cell r="U65">
            <v>-0.14413764061842027</v>
          </cell>
          <cell r="V65">
            <v>55944000</v>
          </cell>
          <cell r="W65">
            <v>99137000</v>
          </cell>
          <cell r="X65">
            <v>0.56430999525908587</v>
          </cell>
          <cell r="Y65">
            <v>14227000</v>
          </cell>
          <cell r="Z65">
            <v>99137000</v>
          </cell>
          <cell r="AA65">
            <v>0.14350847816657755</v>
          </cell>
          <cell r="AB65">
            <v>3123000</v>
          </cell>
          <cell r="AC65">
            <v>99137000</v>
          </cell>
          <cell r="AD65">
            <v>3.1501861060956052E-2</v>
          </cell>
          <cell r="AE65">
            <v>20411000</v>
          </cell>
          <cell r="AF65">
            <v>99137000</v>
          </cell>
          <cell r="AG65">
            <v>0.20588680311084662</v>
          </cell>
          <cell r="AH65">
            <v>2673000</v>
          </cell>
          <cell r="AI65">
            <v>99137000</v>
          </cell>
          <cell r="AJ65">
            <v>2.6962687997417713E-2</v>
          </cell>
          <cell r="AK65">
            <v>2759000</v>
          </cell>
          <cell r="AL65">
            <v>99137000</v>
          </cell>
          <cell r="AM65">
            <v>2.7830174405116152E-2</v>
          </cell>
          <cell r="AN65">
            <v>94394000</v>
          </cell>
          <cell r="AO65">
            <v>189784</v>
          </cell>
          <cell r="AP65">
            <v>497.37596425409942</v>
          </cell>
          <cell r="AQ65">
            <v>38318000</v>
          </cell>
          <cell r="AR65">
            <v>99016000</v>
          </cell>
          <cell r="AS65">
            <v>0.38698796154156906</v>
          </cell>
          <cell r="AT65">
            <v>7114000</v>
          </cell>
          <cell r="AU65">
            <v>99016000</v>
          </cell>
          <cell r="AV65">
            <v>7.1846974226387653E-2</v>
          </cell>
          <cell r="AW65">
            <v>968000</v>
          </cell>
          <cell r="AX65">
            <v>99016000</v>
          </cell>
          <cell r="AY65">
            <v>9.7761977862163684E-3</v>
          </cell>
          <cell r="AZ65">
            <v>14664000</v>
          </cell>
          <cell r="BA65">
            <v>99016000</v>
          </cell>
          <cell r="BB65">
            <v>0.148097277207724</v>
          </cell>
          <cell r="BC65">
            <v>37952000</v>
          </cell>
          <cell r="BD65">
            <v>99016000</v>
          </cell>
          <cell r="BE65">
            <v>0.38329158923810291</v>
          </cell>
          <cell r="BF65">
            <v>99016000</v>
          </cell>
          <cell r="BG65">
            <v>189784</v>
          </cell>
          <cell r="BH65">
            <v>521.72996669898407</v>
          </cell>
          <cell r="BI65">
            <v>45282000</v>
          </cell>
          <cell r="BJ65">
            <v>16927000</v>
          </cell>
          <cell r="BK65">
            <v>2.6751344006616646</v>
          </cell>
          <cell r="BL65">
            <v>3374000</v>
          </cell>
          <cell r="BM65">
            <v>86449000</v>
          </cell>
          <cell r="BN65">
            <v>3.9028791541833911E-2</v>
          </cell>
          <cell r="BO65">
            <v>853000</v>
          </cell>
          <cell r="BP65">
            <v>14664000</v>
          </cell>
          <cell r="BQ65">
            <v>5.8169667212220402E-2</v>
          </cell>
          <cell r="BR65">
            <v>689</v>
          </cell>
          <cell r="BS65" t="str">
            <v>On Time</v>
          </cell>
          <cell r="BT65" t="str">
            <v>&lt;=2</v>
          </cell>
          <cell r="BU65" t="str">
            <v>On Time</v>
          </cell>
          <cell r="BV65">
            <v>4266000</v>
          </cell>
          <cell r="BW65">
            <v>189784</v>
          </cell>
          <cell r="BX65">
            <v>22.47818572693167</v>
          </cell>
          <cell r="BY65">
            <v>947951</v>
          </cell>
          <cell r="BZ65">
            <v>189784</v>
          </cell>
          <cell r="CA65">
            <v>4.994894195506471</v>
          </cell>
          <cell r="CB65">
            <v>11598000</v>
          </cell>
          <cell r="CC65">
            <v>54370</v>
          </cell>
          <cell r="CD65">
            <v>213.31616700386243</v>
          </cell>
          <cell r="CE65">
            <v>7134000</v>
          </cell>
          <cell r="CF65">
            <v>60820</v>
          </cell>
          <cell r="CG65">
            <v>117.29694179546202</v>
          </cell>
          <cell r="CH65">
            <v>13104000</v>
          </cell>
          <cell r="CI65">
            <v>189784</v>
          </cell>
          <cell r="CJ65">
            <v>69.046916494541165</v>
          </cell>
          <cell r="CK65">
            <v>85578000</v>
          </cell>
          <cell r="CL65">
            <v>189784</v>
          </cell>
          <cell r="CM65">
            <v>450.92315474434093</v>
          </cell>
          <cell r="CN65" t="str">
            <v>N/A</v>
          </cell>
          <cell r="CO65" t="str">
            <v>N/A</v>
          </cell>
          <cell r="CP65" t="str">
            <v>N/A</v>
          </cell>
          <cell r="CQ65" t="str">
            <v>N/A</v>
          </cell>
          <cell r="CR65">
            <v>2118</v>
          </cell>
          <cell r="CS65">
            <v>85296</v>
          </cell>
          <cell r="CT65">
            <v>2118</v>
          </cell>
          <cell r="CU65">
            <v>40.271954674220964</v>
          </cell>
          <cell r="CV65">
            <v>21</v>
          </cell>
          <cell r="CW65">
            <v>169000</v>
          </cell>
          <cell r="CX65">
            <v>1981000</v>
          </cell>
          <cell r="CY65">
            <v>8.5310449268046443E-2</v>
          </cell>
          <cell r="CZ65">
            <v>2114000</v>
          </cell>
          <cell r="DA65">
            <v>189784</v>
          </cell>
          <cell r="DB65">
            <v>11.138979049867217</v>
          </cell>
          <cell r="DC65">
            <v>6602000</v>
          </cell>
          <cell r="DD65">
            <v>189784</v>
          </cell>
          <cell r="DE65">
            <v>34.786915651477472</v>
          </cell>
          <cell r="DF65">
            <v>10678000</v>
          </cell>
          <cell r="DG65">
            <v>189784</v>
          </cell>
          <cell r="DH65">
            <v>56.263963242422967</v>
          </cell>
          <cell r="DI65">
            <v>101.7</v>
          </cell>
          <cell r="DJ65">
            <v>1866.1160275319567</v>
          </cell>
          <cell r="DK65">
            <v>1.6833156216790649E-3</v>
          </cell>
          <cell r="DL65">
            <v>0.71</v>
          </cell>
          <cell r="DM65">
            <v>49.79</v>
          </cell>
        </row>
        <row r="66">
          <cell r="B66" t="str">
            <v>Forbes Shire Council</v>
          </cell>
          <cell r="C66">
            <v>11</v>
          </cell>
          <cell r="D66">
            <v>1260000</v>
          </cell>
          <cell r="E66">
            <v>3082</v>
          </cell>
          <cell r="F66">
            <v>408.82543802725502</v>
          </cell>
          <cell r="G66">
            <v>1954000</v>
          </cell>
          <cell r="H66">
            <v>1259</v>
          </cell>
          <cell r="I66">
            <v>1552.0254169976172</v>
          </cell>
          <cell r="J66">
            <v>638000</v>
          </cell>
          <cell r="K66">
            <v>379</v>
          </cell>
          <cell r="L66">
            <v>1683.377308707124</v>
          </cell>
          <cell r="M66">
            <v>697000</v>
          </cell>
          <cell r="N66">
            <v>10407000</v>
          </cell>
          <cell r="O66">
            <v>6.6974152013068125E-2</v>
          </cell>
          <cell r="P66">
            <v>318000</v>
          </cell>
          <cell r="Q66">
            <v>6480000</v>
          </cell>
          <cell r="R66">
            <v>4.9074074074074076E-2</v>
          </cell>
          <cell r="S66">
            <v>571000</v>
          </cell>
          <cell r="T66">
            <v>3038000</v>
          </cell>
          <cell r="U66">
            <v>0.1879526003949967</v>
          </cell>
          <cell r="V66">
            <v>6798000</v>
          </cell>
          <cell r="W66">
            <v>17673000</v>
          </cell>
          <cell r="X66">
            <v>0.38465455780003394</v>
          </cell>
          <cell r="Y66">
            <v>3609000</v>
          </cell>
          <cell r="Z66">
            <v>17673000</v>
          </cell>
          <cell r="AA66">
            <v>0.20420981157698184</v>
          </cell>
          <cell r="AB66">
            <v>396000</v>
          </cell>
          <cell r="AC66">
            <v>17673000</v>
          </cell>
          <cell r="AD66">
            <v>2.2407061619419452E-2</v>
          </cell>
          <cell r="AE66">
            <v>5508000</v>
          </cell>
          <cell r="AF66">
            <v>17673000</v>
          </cell>
          <cell r="AG66">
            <v>0.31166185707010696</v>
          </cell>
          <cell r="AH66">
            <v>1150000</v>
          </cell>
          <cell r="AI66">
            <v>17673000</v>
          </cell>
          <cell r="AJ66">
            <v>6.5071012278617099E-2</v>
          </cell>
          <cell r="AK66">
            <v>212000</v>
          </cell>
          <cell r="AL66">
            <v>17673000</v>
          </cell>
          <cell r="AM66">
            <v>1.1995699654840717E-2</v>
          </cell>
          <cell r="AN66">
            <v>14113000</v>
          </cell>
          <cell r="AO66">
            <v>10160</v>
          </cell>
          <cell r="AP66">
            <v>1389.0748031496064</v>
          </cell>
          <cell r="AQ66">
            <v>5715000</v>
          </cell>
          <cell r="AR66">
            <v>14758000</v>
          </cell>
          <cell r="AS66">
            <v>0.3872475945250034</v>
          </cell>
          <cell r="AT66">
            <v>4716000</v>
          </cell>
          <cell r="AU66">
            <v>14758000</v>
          </cell>
          <cell r="AV66">
            <v>0.31955549532456973</v>
          </cell>
          <cell r="AW66">
            <v>564000</v>
          </cell>
          <cell r="AX66">
            <v>14758000</v>
          </cell>
          <cell r="AY66">
            <v>3.8216560509554139E-2</v>
          </cell>
          <cell r="AZ66">
            <v>3310000</v>
          </cell>
          <cell r="BA66">
            <v>14758000</v>
          </cell>
          <cell r="BB66">
            <v>0.22428513348692233</v>
          </cell>
          <cell r="BC66">
            <v>453000</v>
          </cell>
          <cell r="BD66">
            <v>14758000</v>
          </cell>
          <cell r="BE66">
            <v>3.0695216153950398E-2</v>
          </cell>
          <cell r="BF66">
            <v>12708000</v>
          </cell>
          <cell r="BG66">
            <v>10160</v>
          </cell>
          <cell r="BH66">
            <v>1250.7874015748032</v>
          </cell>
          <cell r="BI66">
            <v>7292000</v>
          </cell>
          <cell r="BJ66">
            <v>1956000</v>
          </cell>
          <cell r="BK66">
            <v>3.7280163599182004</v>
          </cell>
          <cell r="BL66">
            <v>944000</v>
          </cell>
          <cell r="BM66">
            <v>14381000</v>
          </cell>
          <cell r="BN66">
            <v>6.5642166747792233E-2</v>
          </cell>
          <cell r="BO66">
            <v>2186000</v>
          </cell>
          <cell r="BP66">
            <v>2830000</v>
          </cell>
          <cell r="BQ66">
            <v>0.77243816254416964</v>
          </cell>
          <cell r="BR66">
            <v>105</v>
          </cell>
          <cell r="BS66" t="str">
            <v>On Time</v>
          </cell>
          <cell r="BT66" t="str">
            <v>On Time</v>
          </cell>
          <cell r="BU66" t="str">
            <v>On Time</v>
          </cell>
          <cell r="BV66">
            <v>156000</v>
          </cell>
          <cell r="BW66">
            <v>10160</v>
          </cell>
          <cell r="BX66">
            <v>15.354330708661417</v>
          </cell>
          <cell r="BY66">
            <v>43020</v>
          </cell>
          <cell r="BZ66">
            <v>10160</v>
          </cell>
          <cell r="CA66">
            <v>4.234251968503937</v>
          </cell>
          <cell r="CB66">
            <v>210000</v>
          </cell>
          <cell r="CC66">
            <v>3133</v>
          </cell>
          <cell r="CD66">
            <v>67.028407277369936</v>
          </cell>
          <cell r="CE66">
            <v>211943</v>
          </cell>
          <cell r="CF66">
            <v>2827</v>
          </cell>
          <cell r="CG66">
            <v>74.970993986558184</v>
          </cell>
          <cell r="CH66">
            <v>190550</v>
          </cell>
          <cell r="CI66">
            <v>10160</v>
          </cell>
          <cell r="CJ66">
            <v>18.754921259842519</v>
          </cell>
          <cell r="CK66">
            <v>3971500</v>
          </cell>
          <cell r="CL66">
            <v>10160</v>
          </cell>
          <cell r="CM66">
            <v>390.89566929133861</v>
          </cell>
          <cell r="CN66">
            <v>391</v>
          </cell>
          <cell r="CO66">
            <v>297.31668819055801</v>
          </cell>
          <cell r="CP66">
            <v>379.303488372093</v>
          </cell>
          <cell r="CQ66">
            <v>240</v>
          </cell>
          <cell r="CR66">
            <v>217</v>
          </cell>
          <cell r="CS66">
            <v>3707</v>
          </cell>
          <cell r="CT66">
            <v>217</v>
          </cell>
          <cell r="CU66">
            <v>17.082949308755762</v>
          </cell>
          <cell r="CV66">
            <v>13.5</v>
          </cell>
          <cell r="CW66">
            <v>0</v>
          </cell>
          <cell r="CX66">
            <v>142000</v>
          </cell>
          <cell r="CY66">
            <v>0</v>
          </cell>
          <cell r="CZ66">
            <v>585000</v>
          </cell>
          <cell r="DA66">
            <v>10160</v>
          </cell>
          <cell r="DB66">
            <v>57.578740157480318</v>
          </cell>
          <cell r="DC66">
            <v>539000</v>
          </cell>
          <cell r="DD66">
            <v>10160</v>
          </cell>
          <cell r="DE66">
            <v>53.051181102362207</v>
          </cell>
          <cell r="DF66">
            <v>19000</v>
          </cell>
          <cell r="DG66">
            <v>10160</v>
          </cell>
          <cell r="DH66">
            <v>1.8700787401574803</v>
          </cell>
          <cell r="DI66">
            <v>4719.8999999999996</v>
          </cell>
          <cell r="DJ66">
            <v>2.1525879785588677</v>
          </cell>
          <cell r="DK66">
            <v>-7.7578051087984863E-3</v>
          </cell>
          <cell r="DL66">
            <v>4.1100000000000003</v>
          </cell>
          <cell r="DM66">
            <v>1.34</v>
          </cell>
        </row>
        <row r="67">
          <cell r="B67" t="str">
            <v>Gilgandra Shire Council</v>
          </cell>
          <cell r="C67">
            <v>9</v>
          </cell>
          <cell r="D67">
            <v>331000</v>
          </cell>
          <cell r="E67">
            <v>1271</v>
          </cell>
          <cell r="F67">
            <v>260.42486231313927</v>
          </cell>
          <cell r="G67">
            <v>1563000</v>
          </cell>
          <cell r="H67">
            <v>800</v>
          </cell>
          <cell r="I67">
            <v>1953.75</v>
          </cell>
          <cell r="J67">
            <v>71000</v>
          </cell>
          <cell r="K67">
            <v>212</v>
          </cell>
          <cell r="L67">
            <v>334.90566037735852</v>
          </cell>
          <cell r="M67">
            <v>486000</v>
          </cell>
          <cell r="N67">
            <v>4683000</v>
          </cell>
          <cell r="O67">
            <v>0.10377962844330557</v>
          </cell>
          <cell r="P67">
            <v>133000</v>
          </cell>
          <cell r="Q67">
            <v>2547000</v>
          </cell>
          <cell r="R67">
            <v>5.221829603455045E-2</v>
          </cell>
          <cell r="S67">
            <v>86000</v>
          </cell>
          <cell r="T67">
            <v>1917000</v>
          </cell>
          <cell r="U67">
            <v>4.4861763171622326E-2</v>
          </cell>
          <cell r="V67">
            <v>2680000</v>
          </cell>
          <cell r="W67">
            <v>12997000</v>
          </cell>
          <cell r="X67">
            <v>0.20620143109948449</v>
          </cell>
          <cell r="Y67">
            <v>2003000</v>
          </cell>
          <cell r="Z67">
            <v>12997000</v>
          </cell>
          <cell r="AA67">
            <v>0.15411248749711473</v>
          </cell>
          <cell r="AB67">
            <v>150000</v>
          </cell>
          <cell r="AC67">
            <v>12997000</v>
          </cell>
          <cell r="AD67">
            <v>1.1541124874971147E-2</v>
          </cell>
          <cell r="AE67">
            <v>7300000</v>
          </cell>
          <cell r="AF67">
            <v>12997000</v>
          </cell>
          <cell r="AG67">
            <v>0.5616680772485958</v>
          </cell>
          <cell r="AH67">
            <v>468000</v>
          </cell>
          <cell r="AI67">
            <v>12997000</v>
          </cell>
          <cell r="AJ67">
            <v>3.6008309609909979E-2</v>
          </cell>
          <cell r="AK67">
            <v>396000</v>
          </cell>
          <cell r="AL67">
            <v>12997000</v>
          </cell>
          <cell r="AM67">
            <v>3.0468569669923829E-2</v>
          </cell>
          <cell r="AN67">
            <v>11163000</v>
          </cell>
          <cell r="AO67">
            <v>4802</v>
          </cell>
          <cell r="AP67">
            <v>2324.6563931695127</v>
          </cell>
          <cell r="AQ67">
            <v>6643000</v>
          </cell>
          <cell r="AR67">
            <v>13865000</v>
          </cell>
          <cell r="AS67">
            <v>0.47912008654886407</v>
          </cell>
          <cell r="AT67">
            <v>3394000</v>
          </cell>
          <cell r="AU67">
            <v>13865000</v>
          </cell>
          <cell r="AV67">
            <v>0.2447890371438875</v>
          </cell>
          <cell r="AW67">
            <v>77000</v>
          </cell>
          <cell r="AX67">
            <v>13865000</v>
          </cell>
          <cell r="AY67">
            <v>5.5535521096285612E-3</v>
          </cell>
          <cell r="AZ67">
            <v>2769000</v>
          </cell>
          <cell r="BA67">
            <v>13865000</v>
          </cell>
          <cell r="BB67">
            <v>0.19971150378651281</v>
          </cell>
          <cell r="BC67">
            <v>982000</v>
          </cell>
          <cell r="BD67">
            <v>13865000</v>
          </cell>
          <cell r="BE67">
            <v>7.0825820411107104E-2</v>
          </cell>
          <cell r="BF67">
            <v>12871000</v>
          </cell>
          <cell r="BG67">
            <v>4802</v>
          </cell>
          <cell r="BH67">
            <v>2680.3415243648478</v>
          </cell>
          <cell r="BI67">
            <v>1546000</v>
          </cell>
          <cell r="BJ67">
            <v>1609000</v>
          </cell>
          <cell r="BK67">
            <v>0.96084524549409567</v>
          </cell>
          <cell r="BL67">
            <v>295000</v>
          </cell>
          <cell r="BM67">
            <v>7195000</v>
          </cell>
          <cell r="BN67">
            <v>4.1000694927032663E-2</v>
          </cell>
          <cell r="BO67">
            <v>6269000</v>
          </cell>
          <cell r="BP67">
            <v>2340000</v>
          </cell>
          <cell r="BQ67">
            <v>2.6790598290598289</v>
          </cell>
          <cell r="BR67">
            <v>163</v>
          </cell>
          <cell r="BS67" t="str">
            <v>Not Received</v>
          </cell>
          <cell r="BT67" t="str">
            <v>Not Received</v>
          </cell>
          <cell r="BU67" t="str">
            <v>On Time</v>
          </cell>
          <cell r="BV67">
            <v>112000</v>
          </cell>
          <cell r="BW67">
            <v>4802</v>
          </cell>
          <cell r="BX67">
            <v>23.323615160349853</v>
          </cell>
          <cell r="BY67">
            <v>27664</v>
          </cell>
          <cell r="BZ67">
            <v>4802</v>
          </cell>
          <cell r="CA67">
            <v>5.7609329446064139</v>
          </cell>
          <cell r="CB67">
            <v>190000</v>
          </cell>
          <cell r="CC67">
            <v>993</v>
          </cell>
          <cell r="CD67">
            <v>191.33937562940585</v>
          </cell>
          <cell r="CE67">
            <v>281000</v>
          </cell>
          <cell r="CF67">
            <v>993</v>
          </cell>
          <cell r="CG67">
            <v>282.98086606243709</v>
          </cell>
          <cell r="CH67">
            <v>348000</v>
          </cell>
          <cell r="CI67">
            <v>4802</v>
          </cell>
          <cell r="CJ67">
            <v>72.469804248229906</v>
          </cell>
          <cell r="CK67">
            <v>828000</v>
          </cell>
          <cell r="CL67">
            <v>4802</v>
          </cell>
          <cell r="CM67">
            <v>172.42815493544356</v>
          </cell>
          <cell r="CN67">
            <v>321.19228800800897</v>
          </cell>
          <cell r="CO67">
            <v>489.04006046863202</v>
          </cell>
          <cell r="CP67">
            <v>172</v>
          </cell>
          <cell r="CQ67">
            <v>260</v>
          </cell>
          <cell r="CR67">
            <v>71</v>
          </cell>
          <cell r="CS67">
            <v>1363</v>
          </cell>
          <cell r="CT67">
            <v>71</v>
          </cell>
          <cell r="CU67">
            <v>19.197183098591548</v>
          </cell>
          <cell r="CV67">
            <v>19.5</v>
          </cell>
          <cell r="CW67">
            <v>0</v>
          </cell>
          <cell r="CX67">
            <v>33000</v>
          </cell>
          <cell r="CY67">
            <v>0</v>
          </cell>
          <cell r="CZ67">
            <v>255000</v>
          </cell>
          <cell r="DA67">
            <v>4802</v>
          </cell>
          <cell r="DB67">
            <v>53.102873802582259</v>
          </cell>
          <cell r="DC67">
            <v>316000</v>
          </cell>
          <cell r="DD67">
            <v>4802</v>
          </cell>
          <cell r="DE67">
            <v>65.805914202415664</v>
          </cell>
          <cell r="DF67">
            <v>4243000</v>
          </cell>
          <cell r="DG67">
            <v>4802</v>
          </cell>
          <cell r="DH67">
            <v>883.59017076218242</v>
          </cell>
          <cell r="DI67">
            <v>4836</v>
          </cell>
          <cell r="DJ67">
            <v>0.99296939619520264</v>
          </cell>
          <cell r="DK67">
            <v>-7.14859437751004E-3</v>
          </cell>
          <cell r="DL67">
            <v>9.4499999999999993</v>
          </cell>
          <cell r="DM67">
            <v>1.29</v>
          </cell>
        </row>
        <row r="68">
          <cell r="B68" t="str">
            <v>Glen Innes Municipal Council</v>
          </cell>
          <cell r="C68">
            <v>4</v>
          </cell>
          <cell r="D68">
            <v>1136000</v>
          </cell>
          <cell r="E68">
            <v>2451</v>
          </cell>
          <cell r="F68">
            <v>463.48429212566299</v>
          </cell>
          <cell r="G68">
            <v>107000</v>
          </cell>
          <cell r="H68">
            <v>113</v>
          </cell>
          <cell r="I68">
            <v>946.90265486725662</v>
          </cell>
          <cell r="J68">
            <v>368000</v>
          </cell>
          <cell r="K68">
            <v>266</v>
          </cell>
          <cell r="L68">
            <v>1383.4586466165413</v>
          </cell>
          <cell r="M68">
            <v>757000</v>
          </cell>
          <cell r="N68">
            <v>4540000</v>
          </cell>
          <cell r="O68">
            <v>0.16674008810572688</v>
          </cell>
          <cell r="P68">
            <v>38000</v>
          </cell>
          <cell r="Q68">
            <v>3095000</v>
          </cell>
          <cell r="R68">
            <v>1.2277867528271405E-2</v>
          </cell>
          <cell r="S68">
            <v>45000</v>
          </cell>
          <cell r="T68">
            <v>1362000</v>
          </cell>
          <cell r="U68">
            <v>3.3039647577092511E-2</v>
          </cell>
          <cell r="V68">
            <v>3133000</v>
          </cell>
          <cell r="W68">
            <v>9470000</v>
          </cell>
          <cell r="X68">
            <v>0.33083421330517421</v>
          </cell>
          <cell r="Y68">
            <v>1407000</v>
          </cell>
          <cell r="Z68">
            <v>9470000</v>
          </cell>
          <cell r="AA68">
            <v>0.14857444561774022</v>
          </cell>
          <cell r="AB68">
            <v>256000</v>
          </cell>
          <cell r="AC68">
            <v>9470000</v>
          </cell>
          <cell r="AD68">
            <v>2.703273495248152E-2</v>
          </cell>
          <cell r="AE68">
            <v>4336000</v>
          </cell>
          <cell r="AF68">
            <v>9470000</v>
          </cell>
          <cell r="AG68">
            <v>0.45786694825765578</v>
          </cell>
          <cell r="AH68">
            <v>84000</v>
          </cell>
          <cell r="AI68">
            <v>9470000</v>
          </cell>
          <cell r="AJ68">
            <v>8.8701161562829995E-3</v>
          </cell>
          <cell r="AK68">
            <v>254000</v>
          </cell>
          <cell r="AL68">
            <v>9470000</v>
          </cell>
          <cell r="AM68">
            <v>2.682154171066526E-2</v>
          </cell>
          <cell r="AN68">
            <v>7413000</v>
          </cell>
          <cell r="AO68">
            <v>6016</v>
          </cell>
          <cell r="AP68">
            <v>1232.2140957446809</v>
          </cell>
          <cell r="AQ68">
            <v>4127000</v>
          </cell>
          <cell r="AR68">
            <v>9764000</v>
          </cell>
          <cell r="AS68">
            <v>0.42267513314215488</v>
          </cell>
          <cell r="AT68">
            <v>3035000</v>
          </cell>
          <cell r="AU68">
            <v>9764000</v>
          </cell>
          <cell r="AV68">
            <v>0.31083572306431789</v>
          </cell>
          <cell r="AW68">
            <v>441000</v>
          </cell>
          <cell r="AX68">
            <v>9764000</v>
          </cell>
          <cell r="AY68">
            <v>4.5165915608357234E-2</v>
          </cell>
          <cell r="AZ68">
            <v>1555000</v>
          </cell>
          <cell r="BA68">
            <v>9764000</v>
          </cell>
          <cell r="BB68">
            <v>0.15925850061450225</v>
          </cell>
          <cell r="BC68">
            <v>606000</v>
          </cell>
          <cell r="BD68">
            <v>9764000</v>
          </cell>
          <cell r="BE68">
            <v>6.2064727570667756E-2</v>
          </cell>
          <cell r="BF68">
            <v>8401000</v>
          </cell>
          <cell r="BG68">
            <v>6016</v>
          </cell>
          <cell r="BH68">
            <v>1396.4428191489362</v>
          </cell>
          <cell r="BI68">
            <v>1367000</v>
          </cell>
          <cell r="BJ68">
            <v>1100000</v>
          </cell>
          <cell r="BK68">
            <v>1.2427272727272727</v>
          </cell>
          <cell r="BL68">
            <v>446000</v>
          </cell>
          <cell r="BM68">
            <v>6152000</v>
          </cell>
          <cell r="BN68">
            <v>7.2496749024707416E-2</v>
          </cell>
          <cell r="BO68">
            <v>570000</v>
          </cell>
          <cell r="BP68">
            <v>987000</v>
          </cell>
          <cell r="BQ68">
            <v>0.57750759878419455</v>
          </cell>
          <cell r="BR68">
            <v>69.010000000000005</v>
          </cell>
          <cell r="BS68" t="str">
            <v>On Time</v>
          </cell>
          <cell r="BT68" t="str">
            <v>On Time</v>
          </cell>
          <cell r="BU68" t="str">
            <v>On Time</v>
          </cell>
          <cell r="BV68">
            <v>229000</v>
          </cell>
          <cell r="BW68">
            <v>6016</v>
          </cell>
          <cell r="BX68">
            <v>38.065159574468083</v>
          </cell>
          <cell r="BY68">
            <v>43285</v>
          </cell>
          <cell r="BZ68">
            <v>6016</v>
          </cell>
          <cell r="CA68">
            <v>7.1949800531914896</v>
          </cell>
          <cell r="CB68">
            <v>489000</v>
          </cell>
          <cell r="CC68">
            <v>2954</v>
          </cell>
          <cell r="CD68">
            <v>165.53825321597833</v>
          </cell>
          <cell r="CE68">
            <v>491576</v>
          </cell>
          <cell r="CF68">
            <v>2874</v>
          </cell>
          <cell r="CG68">
            <v>171.04244954766875</v>
          </cell>
          <cell r="CH68">
            <v>714000</v>
          </cell>
          <cell r="CI68">
            <v>6016</v>
          </cell>
          <cell r="CJ68">
            <v>118.68351063829788</v>
          </cell>
          <cell r="CK68">
            <v>1600000</v>
          </cell>
          <cell r="CL68">
            <v>6016</v>
          </cell>
          <cell r="CM68">
            <v>265.95744680851061</v>
          </cell>
          <cell r="CN68">
            <v>361.87748005904598</v>
          </cell>
          <cell r="CO68">
            <v>466.059916571862</v>
          </cell>
          <cell r="CP68">
            <v>273.37323633347398</v>
          </cell>
          <cell r="CQ68">
            <v>174.308450170519</v>
          </cell>
          <cell r="CR68">
            <v>125</v>
          </cell>
          <cell r="CS68">
            <v>2534</v>
          </cell>
          <cell r="CT68">
            <v>125</v>
          </cell>
          <cell r="CU68">
            <v>20.271999999999998</v>
          </cell>
          <cell r="CV68">
            <v>23</v>
          </cell>
          <cell r="CW68">
            <v>0</v>
          </cell>
          <cell r="CX68">
            <v>138000</v>
          </cell>
          <cell r="CY68">
            <v>0</v>
          </cell>
          <cell r="CZ68">
            <v>105000</v>
          </cell>
          <cell r="DA68">
            <v>6016</v>
          </cell>
          <cell r="DB68">
            <v>17.45345744680851</v>
          </cell>
          <cell r="DC68">
            <v>294000</v>
          </cell>
          <cell r="DD68">
            <v>6016</v>
          </cell>
          <cell r="DE68">
            <v>48.869680851063826</v>
          </cell>
          <cell r="DF68">
            <v>3122000</v>
          </cell>
          <cell r="DG68">
            <v>6016</v>
          </cell>
          <cell r="DH68">
            <v>518.94946808510633</v>
          </cell>
          <cell r="DI68">
            <v>66.900000000000006</v>
          </cell>
          <cell r="DJ68">
            <v>89.925261584454404</v>
          </cell>
          <cell r="DK68">
            <v>-1.6864535768645359E-2</v>
          </cell>
          <cell r="DL68">
            <v>3.73</v>
          </cell>
          <cell r="DM68">
            <v>1.73</v>
          </cell>
        </row>
        <row r="69">
          <cell r="B69" t="str">
            <v>Gloucester Shire Council</v>
          </cell>
          <cell r="C69">
            <v>9</v>
          </cell>
          <cell r="D69">
            <v>710000</v>
          </cell>
          <cell r="E69">
            <v>1735</v>
          </cell>
          <cell r="F69">
            <v>409.22190201729109</v>
          </cell>
          <cell r="G69">
            <v>1354000</v>
          </cell>
          <cell r="H69">
            <v>700</v>
          </cell>
          <cell r="I69">
            <v>1934.2857142857142</v>
          </cell>
          <cell r="J69">
            <v>129000</v>
          </cell>
          <cell r="K69">
            <v>200</v>
          </cell>
          <cell r="L69">
            <v>645</v>
          </cell>
          <cell r="M69">
            <v>132000</v>
          </cell>
          <cell r="N69">
            <v>3855000</v>
          </cell>
          <cell r="O69">
            <v>3.4241245136186774E-2</v>
          </cell>
          <cell r="P69">
            <v>98000</v>
          </cell>
          <cell r="Q69">
            <v>3297000</v>
          </cell>
          <cell r="R69">
            <v>2.9723991507430998E-2</v>
          </cell>
          <cell r="S69">
            <v>-176000</v>
          </cell>
          <cell r="T69">
            <v>636000</v>
          </cell>
          <cell r="U69">
            <v>-0.27672955974842767</v>
          </cell>
          <cell r="V69">
            <v>3395000</v>
          </cell>
          <cell r="W69">
            <v>15055000</v>
          </cell>
          <cell r="X69">
            <v>0.22550647625373629</v>
          </cell>
          <cell r="Y69">
            <v>460000</v>
          </cell>
          <cell r="Z69">
            <v>15055000</v>
          </cell>
          <cell r="AA69">
            <v>3.0554633012288276E-2</v>
          </cell>
          <cell r="AB69">
            <v>250000</v>
          </cell>
          <cell r="AC69">
            <v>15055000</v>
          </cell>
          <cell r="AD69">
            <v>1.6605778811026237E-2</v>
          </cell>
          <cell r="AE69">
            <v>3164000</v>
          </cell>
          <cell r="AF69">
            <v>15055000</v>
          </cell>
          <cell r="AG69">
            <v>0.21016273663234805</v>
          </cell>
          <cell r="AH69">
            <v>7446000</v>
          </cell>
          <cell r="AI69">
            <v>15055000</v>
          </cell>
          <cell r="AJ69">
            <v>0.49458651610760546</v>
          </cell>
          <cell r="AK69">
            <v>340000</v>
          </cell>
          <cell r="AL69">
            <v>15055000</v>
          </cell>
          <cell r="AM69">
            <v>2.2583859182995682E-2</v>
          </cell>
          <cell r="AN69">
            <v>10885000</v>
          </cell>
          <cell r="AO69">
            <v>4877</v>
          </cell>
          <cell r="AP69">
            <v>2231.9048595448021</v>
          </cell>
          <cell r="AQ69">
            <v>3645000</v>
          </cell>
          <cell r="AR69">
            <v>12427000</v>
          </cell>
          <cell r="AS69">
            <v>0.29331294761406612</v>
          </cell>
          <cell r="AT69">
            <v>5515000</v>
          </cell>
          <cell r="AU69">
            <v>12427000</v>
          </cell>
          <cell r="AV69">
            <v>0.44379174378369679</v>
          </cell>
          <cell r="AW69">
            <v>92000</v>
          </cell>
          <cell r="AX69">
            <v>12427000</v>
          </cell>
          <cell r="AY69">
            <v>7.403234891767925E-3</v>
          </cell>
          <cell r="AZ69">
            <v>2553000</v>
          </cell>
          <cell r="BA69">
            <v>12427000</v>
          </cell>
          <cell r="BB69">
            <v>0.20543976824655991</v>
          </cell>
          <cell r="BC69">
            <v>622000</v>
          </cell>
          <cell r="BD69">
            <v>12427000</v>
          </cell>
          <cell r="BE69">
            <v>5.0052305463909229E-2</v>
          </cell>
          <cell r="BF69">
            <v>11259000</v>
          </cell>
          <cell r="BG69">
            <v>4877</v>
          </cell>
          <cell r="BH69">
            <v>2308.5913471396352</v>
          </cell>
          <cell r="BI69">
            <v>3242000</v>
          </cell>
          <cell r="BJ69">
            <v>2097000</v>
          </cell>
          <cell r="BK69">
            <v>1.5460181211254174</v>
          </cell>
          <cell r="BL69">
            <v>464000</v>
          </cell>
          <cell r="BM69">
            <v>5790000</v>
          </cell>
          <cell r="BN69">
            <v>8.0138169257340242E-2</v>
          </cell>
          <cell r="BO69">
            <v>4535000</v>
          </cell>
          <cell r="BP69">
            <v>2247000</v>
          </cell>
          <cell r="BQ69">
            <v>2.0182465509568313</v>
          </cell>
          <cell r="BR69">
            <v>94</v>
          </cell>
          <cell r="BS69" t="str">
            <v>On Time</v>
          </cell>
          <cell r="BT69" t="str">
            <v>On Time</v>
          </cell>
          <cell r="BU69" t="str">
            <v>On Time</v>
          </cell>
          <cell r="BV69">
            <v>128000</v>
          </cell>
          <cell r="BW69">
            <v>4877</v>
          </cell>
          <cell r="BX69">
            <v>26.245642813204839</v>
          </cell>
          <cell r="BY69">
            <v>55352</v>
          </cell>
          <cell r="BZ69">
            <v>4877</v>
          </cell>
          <cell r="CA69">
            <v>11.349600164035268</v>
          </cell>
          <cell r="CB69">
            <v>179000</v>
          </cell>
          <cell r="CC69">
            <v>1418</v>
          </cell>
          <cell r="CD69">
            <v>126.23413258110014</v>
          </cell>
          <cell r="CE69">
            <v>132986</v>
          </cell>
          <cell r="CF69">
            <v>1418</v>
          </cell>
          <cell r="CG69">
            <v>93.784203102961925</v>
          </cell>
          <cell r="CH69">
            <v>607000</v>
          </cell>
          <cell r="CI69">
            <v>4877</v>
          </cell>
          <cell r="CJ69">
            <v>124.46175927824483</v>
          </cell>
          <cell r="CK69">
            <v>2900000</v>
          </cell>
          <cell r="CL69">
            <v>4877</v>
          </cell>
          <cell r="CM69">
            <v>594.62784498667213</v>
          </cell>
          <cell r="CN69">
            <v>387.46516012849497</v>
          </cell>
          <cell r="CO69">
            <v>433.600557685605</v>
          </cell>
          <cell r="CP69">
            <v>319</v>
          </cell>
          <cell r="CQ69">
            <v>311.27819548872202</v>
          </cell>
          <cell r="CR69">
            <v>152</v>
          </cell>
          <cell r="CS69">
            <v>4293</v>
          </cell>
          <cell r="CT69">
            <v>152</v>
          </cell>
          <cell r="CU69">
            <v>28.243421052631579</v>
          </cell>
          <cell r="CV69">
            <v>24</v>
          </cell>
          <cell r="CW69">
            <v>0</v>
          </cell>
          <cell r="CX69">
            <v>169000</v>
          </cell>
          <cell r="CY69">
            <v>0</v>
          </cell>
          <cell r="CZ69">
            <v>250000</v>
          </cell>
          <cell r="DA69">
            <v>4877</v>
          </cell>
          <cell r="DB69">
            <v>51.2610211195407</v>
          </cell>
          <cell r="DC69">
            <v>386000</v>
          </cell>
          <cell r="DD69">
            <v>4877</v>
          </cell>
          <cell r="DE69">
            <v>79.147016608570837</v>
          </cell>
          <cell r="DF69">
            <v>152000</v>
          </cell>
          <cell r="DG69">
            <v>4877</v>
          </cell>
          <cell r="DH69">
            <v>31.166700840680747</v>
          </cell>
          <cell r="DI69">
            <v>2951.6</v>
          </cell>
          <cell r="DJ69">
            <v>1.6523241631657406</v>
          </cell>
          <cell r="DK69">
            <v>-9.3877551020408166E-4</v>
          </cell>
          <cell r="DL69">
            <v>2.0699999999999998</v>
          </cell>
          <cell r="DM69">
            <v>2.17</v>
          </cell>
        </row>
        <row r="70">
          <cell r="B70" t="str">
            <v>Gosford City Council</v>
          </cell>
          <cell r="C70">
            <v>7</v>
          </cell>
          <cell r="D70">
            <v>33717000</v>
          </cell>
          <cell r="E70">
            <v>63761</v>
          </cell>
          <cell r="F70">
            <v>528.80287322971719</v>
          </cell>
          <cell r="G70">
            <v>254000</v>
          </cell>
          <cell r="H70">
            <v>389</v>
          </cell>
          <cell r="I70">
            <v>652.95629820051408</v>
          </cell>
          <cell r="J70">
            <v>4915000</v>
          </cell>
          <cell r="K70">
            <v>2635</v>
          </cell>
          <cell r="L70">
            <v>1865.2751423149905</v>
          </cell>
          <cell r="M70">
            <v>12040000</v>
          </cell>
          <cell r="N70">
            <v>110342000</v>
          </cell>
          <cell r="O70">
            <v>0.10911529607946203</v>
          </cell>
          <cell r="P70">
            <v>4536000</v>
          </cell>
          <cell r="Q70">
            <v>79548000</v>
          </cell>
          <cell r="R70">
            <v>5.7022175290390706E-2</v>
          </cell>
          <cell r="S70">
            <v>2646000</v>
          </cell>
          <cell r="T70">
            <v>23612000</v>
          </cell>
          <cell r="U70">
            <v>0.11206166356090123</v>
          </cell>
          <cell r="V70">
            <v>84084000</v>
          </cell>
          <cell r="W70">
            <v>166241000</v>
          </cell>
          <cell r="X70">
            <v>0.50579580247953271</v>
          </cell>
          <cell r="Y70">
            <v>26258000</v>
          </cell>
          <cell r="Z70">
            <v>166241000</v>
          </cell>
          <cell r="AA70">
            <v>0.15795140789576578</v>
          </cell>
          <cell r="AB70">
            <v>5453000</v>
          </cell>
          <cell r="AC70">
            <v>166241000</v>
          </cell>
          <cell r="AD70">
            <v>3.2801775735227773E-2</v>
          </cell>
          <cell r="AE70">
            <v>21141000</v>
          </cell>
          <cell r="AF70">
            <v>166241000</v>
          </cell>
          <cell r="AG70">
            <v>0.12717079420840827</v>
          </cell>
          <cell r="AH70">
            <v>24946000</v>
          </cell>
          <cell r="AI70">
            <v>166241000</v>
          </cell>
          <cell r="AJ70">
            <v>0.15005925132789144</v>
          </cell>
          <cell r="AK70">
            <v>4359000</v>
          </cell>
          <cell r="AL70">
            <v>166241000</v>
          </cell>
          <cell r="AM70">
            <v>2.6220968353174008E-2</v>
          </cell>
          <cell r="AN70">
            <v>102593000</v>
          </cell>
          <cell r="AO70">
            <v>161204</v>
          </cell>
          <cell r="AP70">
            <v>636.41721049105479</v>
          </cell>
          <cell r="AQ70">
            <v>53499000</v>
          </cell>
          <cell r="AR70">
            <v>136845000</v>
          </cell>
          <cell r="AS70">
            <v>0.39094596075852239</v>
          </cell>
          <cell r="AT70">
            <v>37457000</v>
          </cell>
          <cell r="AU70">
            <v>136845000</v>
          </cell>
          <cell r="AV70">
            <v>0.27371844057144945</v>
          </cell>
          <cell r="AW70">
            <v>4677000</v>
          </cell>
          <cell r="AX70">
            <v>136845000</v>
          </cell>
          <cell r="AY70">
            <v>3.4177353940589718E-2</v>
          </cell>
          <cell r="AZ70">
            <v>27013000</v>
          </cell>
          <cell r="BA70">
            <v>136845000</v>
          </cell>
          <cell r="BB70">
            <v>0.19739851656984178</v>
          </cell>
          <cell r="BC70">
            <v>14199000</v>
          </cell>
          <cell r="BD70">
            <v>136845000</v>
          </cell>
          <cell r="BE70">
            <v>0.10375972815959662</v>
          </cell>
          <cell r="BF70">
            <v>102431000</v>
          </cell>
          <cell r="BG70">
            <v>161204</v>
          </cell>
          <cell r="BH70">
            <v>635.41227264832139</v>
          </cell>
          <cell r="BI70">
            <v>21941000</v>
          </cell>
          <cell r="BJ70">
            <v>16963000</v>
          </cell>
          <cell r="BK70">
            <v>1.2934622413488179</v>
          </cell>
          <cell r="BL70">
            <v>35890000</v>
          </cell>
          <cell r="BM70">
            <v>133799000</v>
          </cell>
          <cell r="BN70">
            <v>0.26823817816276652</v>
          </cell>
          <cell r="BO70">
            <v>29780000</v>
          </cell>
          <cell r="BP70">
            <v>17554000</v>
          </cell>
          <cell r="BQ70">
            <v>1.6964794348866354</v>
          </cell>
          <cell r="BR70">
            <v>952</v>
          </cell>
          <cell r="BS70" t="str">
            <v>On Time</v>
          </cell>
          <cell r="BT70" t="str">
            <v>On Time</v>
          </cell>
          <cell r="BU70" t="str">
            <v>On Time</v>
          </cell>
          <cell r="BV70">
            <v>3202000</v>
          </cell>
          <cell r="BW70">
            <v>161204</v>
          </cell>
          <cell r="BX70">
            <v>19.863030694027444</v>
          </cell>
          <cell r="BY70">
            <v>890000</v>
          </cell>
          <cell r="BZ70">
            <v>161204</v>
          </cell>
          <cell r="CA70">
            <v>5.5209548150169967</v>
          </cell>
          <cell r="CB70">
            <v>12229000</v>
          </cell>
          <cell r="CC70">
            <v>60409</v>
          </cell>
          <cell r="CD70">
            <v>202.43672300485028</v>
          </cell>
          <cell r="CE70">
            <v>10592153</v>
          </cell>
          <cell r="CF70">
            <v>63807</v>
          </cell>
          <cell r="CG70">
            <v>166.00299340197785</v>
          </cell>
          <cell r="CH70">
            <v>45364000</v>
          </cell>
          <cell r="CI70">
            <v>161204</v>
          </cell>
          <cell r="CJ70">
            <v>281.40740924542814</v>
          </cell>
          <cell r="CK70">
            <v>59844000</v>
          </cell>
          <cell r="CL70">
            <v>161204</v>
          </cell>
          <cell r="CM70">
            <v>371.23148308974964</v>
          </cell>
          <cell r="CN70">
            <v>197.025730623187</v>
          </cell>
          <cell r="CO70">
            <v>263.36334835665798</v>
          </cell>
          <cell r="CP70">
            <v>330.86186416741202</v>
          </cell>
          <cell r="CQ70">
            <v>310.88435374149702</v>
          </cell>
          <cell r="CR70">
            <v>4099</v>
          </cell>
          <cell r="CS70">
            <v>187734</v>
          </cell>
          <cell r="CT70">
            <v>4099</v>
          </cell>
          <cell r="CU70">
            <v>45.799951207611613</v>
          </cell>
          <cell r="CV70">
            <v>35</v>
          </cell>
          <cell r="CW70">
            <v>818000</v>
          </cell>
          <cell r="CX70">
            <v>6313000</v>
          </cell>
          <cell r="CY70">
            <v>0.12957389513701886</v>
          </cell>
          <cell r="CZ70">
            <v>1617000</v>
          </cell>
          <cell r="DA70">
            <v>161204</v>
          </cell>
          <cell r="DB70">
            <v>10.030768467283691</v>
          </cell>
          <cell r="DC70">
            <v>6326000</v>
          </cell>
          <cell r="DD70">
            <v>161204</v>
          </cell>
          <cell r="DE70">
            <v>39.242202426738793</v>
          </cell>
          <cell r="DF70">
            <v>6713000</v>
          </cell>
          <cell r="DG70">
            <v>161204</v>
          </cell>
          <cell r="DH70">
            <v>41.642887273268656</v>
          </cell>
          <cell r="DI70">
            <v>940.2</v>
          </cell>
          <cell r="DJ70">
            <v>171.45713677940861</v>
          </cell>
          <cell r="DK70">
            <v>1.5657525083612039E-2</v>
          </cell>
          <cell r="DL70">
            <v>1.0900000000000001</v>
          </cell>
          <cell r="DM70">
            <v>4.43</v>
          </cell>
        </row>
        <row r="71">
          <cell r="B71" t="str">
            <v>Goulburn City Council</v>
          </cell>
          <cell r="C71">
            <v>4</v>
          </cell>
          <cell r="D71">
            <v>4956000</v>
          </cell>
          <cell r="E71">
            <v>8005</v>
          </cell>
          <cell r="F71">
            <v>619.1130543410369</v>
          </cell>
          <cell r="G71">
            <v>71000</v>
          </cell>
          <cell r="H71">
            <v>35</v>
          </cell>
          <cell r="I71">
            <v>2028.5714285714287</v>
          </cell>
          <cell r="J71">
            <v>2012000</v>
          </cell>
          <cell r="K71">
            <v>598</v>
          </cell>
          <cell r="L71">
            <v>3364.5484949832776</v>
          </cell>
          <cell r="M71">
            <v>2019000</v>
          </cell>
          <cell r="N71">
            <v>18398000</v>
          </cell>
          <cell r="O71">
            <v>0.10974018915099468</v>
          </cell>
          <cell r="P71">
            <v>630000</v>
          </cell>
          <cell r="Q71">
            <v>13101000</v>
          </cell>
          <cell r="R71">
            <v>4.8087932218914588E-2</v>
          </cell>
          <cell r="S71">
            <v>234000</v>
          </cell>
          <cell r="T71">
            <v>4433000</v>
          </cell>
          <cell r="U71">
            <v>5.2785923753665691E-2</v>
          </cell>
          <cell r="V71">
            <v>13731000</v>
          </cell>
          <cell r="W71">
            <v>24849000</v>
          </cell>
          <cell r="X71">
            <v>0.55257756851382345</v>
          </cell>
          <cell r="Y71">
            <v>4667000</v>
          </cell>
          <cell r="Z71">
            <v>24849000</v>
          </cell>
          <cell r="AA71">
            <v>0.18781439896977745</v>
          </cell>
          <cell r="AB71">
            <v>503000</v>
          </cell>
          <cell r="AC71">
            <v>24849000</v>
          </cell>
          <cell r="AD71">
            <v>2.0242263270151717E-2</v>
          </cell>
          <cell r="AE71">
            <v>4483000</v>
          </cell>
          <cell r="AF71">
            <v>24849000</v>
          </cell>
          <cell r="AG71">
            <v>0.1804096744335788</v>
          </cell>
          <cell r="AH71">
            <v>1107000</v>
          </cell>
          <cell r="AI71">
            <v>24849000</v>
          </cell>
          <cell r="AJ71">
            <v>4.4549076421586384E-2</v>
          </cell>
          <cell r="AK71">
            <v>358000</v>
          </cell>
          <cell r="AL71">
            <v>24849000</v>
          </cell>
          <cell r="AM71">
            <v>1.4407018391082136E-2</v>
          </cell>
          <cell r="AN71">
            <v>13973000</v>
          </cell>
          <cell r="AO71">
            <v>21427</v>
          </cell>
          <cell r="AP71">
            <v>652.12115555140713</v>
          </cell>
          <cell r="AQ71">
            <v>8199000</v>
          </cell>
          <cell r="AR71">
            <v>19283000</v>
          </cell>
          <cell r="AS71">
            <v>0.42519317533578799</v>
          </cell>
          <cell r="AT71">
            <v>4429000</v>
          </cell>
          <cell r="AU71">
            <v>19283000</v>
          </cell>
          <cell r="AV71">
            <v>0.22968417777316807</v>
          </cell>
          <cell r="AW71">
            <v>963000</v>
          </cell>
          <cell r="AX71">
            <v>19283000</v>
          </cell>
          <cell r="AY71">
            <v>4.9940361976870816E-2</v>
          </cell>
          <cell r="AZ71">
            <v>3768000</v>
          </cell>
          <cell r="BA71">
            <v>19283000</v>
          </cell>
          <cell r="BB71">
            <v>0.19540527926152571</v>
          </cell>
          <cell r="BC71">
            <v>1924000</v>
          </cell>
          <cell r="BD71">
            <v>19283000</v>
          </cell>
          <cell r="BE71">
            <v>9.977700565264741E-2</v>
          </cell>
          <cell r="BF71">
            <v>12689000</v>
          </cell>
          <cell r="BG71">
            <v>21427</v>
          </cell>
          <cell r="BH71">
            <v>592.19676109581371</v>
          </cell>
          <cell r="BI71">
            <v>5756000</v>
          </cell>
          <cell r="BJ71">
            <v>3413000</v>
          </cell>
          <cell r="BK71">
            <v>1.686492821564606</v>
          </cell>
          <cell r="BL71">
            <v>2192000</v>
          </cell>
          <cell r="BM71">
            <v>21343000</v>
          </cell>
          <cell r="BN71">
            <v>0.10270346249355761</v>
          </cell>
          <cell r="BO71">
            <v>4410000</v>
          </cell>
          <cell r="BP71">
            <v>2493000</v>
          </cell>
          <cell r="BQ71">
            <v>1.7689530685920578</v>
          </cell>
          <cell r="BR71">
            <v>184</v>
          </cell>
          <cell r="BS71" t="str">
            <v>On Time</v>
          </cell>
          <cell r="BT71" t="str">
            <v>On Time</v>
          </cell>
          <cell r="BU71" t="str">
            <v>On Time</v>
          </cell>
          <cell r="BV71">
            <v>537000</v>
          </cell>
          <cell r="BW71">
            <v>21427</v>
          </cell>
          <cell r="BX71">
            <v>25.061837868110327</v>
          </cell>
          <cell r="BY71">
            <v>148263</v>
          </cell>
          <cell r="BZ71">
            <v>21427</v>
          </cell>
          <cell r="CA71">
            <v>6.9194474261445835</v>
          </cell>
          <cell r="CB71">
            <v>1097000</v>
          </cell>
          <cell r="CC71">
            <v>8160</v>
          </cell>
          <cell r="CD71">
            <v>134.43627450980392</v>
          </cell>
          <cell r="CE71">
            <v>856615</v>
          </cell>
          <cell r="CF71">
            <v>7599</v>
          </cell>
          <cell r="CG71">
            <v>112.72733254375575</v>
          </cell>
          <cell r="CH71">
            <v>4000000</v>
          </cell>
          <cell r="CI71">
            <v>21427</v>
          </cell>
          <cell r="CJ71">
            <v>186.68035655948103</v>
          </cell>
          <cell r="CK71">
            <v>8160000</v>
          </cell>
          <cell r="CL71">
            <v>21427</v>
          </cell>
          <cell r="CM71">
            <v>380.82792738134128</v>
          </cell>
          <cell r="CN71">
            <v>523.56030930849897</v>
          </cell>
          <cell r="CO71">
            <v>389.22714058471797</v>
          </cell>
          <cell r="CP71">
            <v>426.76979061152298</v>
          </cell>
          <cell r="CQ71">
            <v>348.58992140545502</v>
          </cell>
          <cell r="CR71">
            <v>262</v>
          </cell>
          <cell r="CS71">
            <v>10555</v>
          </cell>
          <cell r="CT71">
            <v>262</v>
          </cell>
          <cell r="CU71">
            <v>40.286259541984734</v>
          </cell>
          <cell r="CV71">
            <v>42</v>
          </cell>
          <cell r="CW71">
            <v>5000</v>
          </cell>
          <cell r="CX71">
            <v>732000</v>
          </cell>
          <cell r="CY71">
            <v>6.8306010928961746E-3</v>
          </cell>
          <cell r="CZ71">
            <v>38000</v>
          </cell>
          <cell r="DA71">
            <v>21427</v>
          </cell>
          <cell r="DB71">
            <v>1.7734633873150698</v>
          </cell>
          <cell r="DC71">
            <v>1766000</v>
          </cell>
          <cell r="DD71">
            <v>21427</v>
          </cell>
          <cell r="DE71">
            <v>82.419377421010878</v>
          </cell>
          <cell r="DF71">
            <v>396000</v>
          </cell>
          <cell r="DG71">
            <v>21427</v>
          </cell>
          <cell r="DH71">
            <v>18.481355299388621</v>
          </cell>
          <cell r="DI71">
            <v>54.5</v>
          </cell>
          <cell r="DJ71">
            <v>393.1559633027523</v>
          </cell>
          <cell r="DK71">
            <v>-7.1377137713771379E-3</v>
          </cell>
          <cell r="DL71">
            <v>1.56</v>
          </cell>
          <cell r="DM71">
            <v>2.84</v>
          </cell>
        </row>
        <row r="72">
          <cell r="B72" t="str">
            <v>Grafton City Council</v>
          </cell>
          <cell r="C72">
            <v>4</v>
          </cell>
          <cell r="D72">
            <v>4240000</v>
          </cell>
          <cell r="E72">
            <v>6405</v>
          </cell>
          <cell r="F72">
            <v>661.98282591725217</v>
          </cell>
          <cell r="G72">
            <v>131000</v>
          </cell>
          <cell r="H72">
            <v>102</v>
          </cell>
          <cell r="I72">
            <v>1284.313725490196</v>
          </cell>
          <cell r="J72">
            <v>1662000</v>
          </cell>
          <cell r="K72">
            <v>596</v>
          </cell>
          <cell r="L72">
            <v>2788.5906040268455</v>
          </cell>
          <cell r="M72">
            <v>1804000</v>
          </cell>
          <cell r="N72">
            <v>14087000</v>
          </cell>
          <cell r="O72">
            <v>0.12806133314403351</v>
          </cell>
          <cell r="P72">
            <v>296000</v>
          </cell>
          <cell r="Q72">
            <v>9915000</v>
          </cell>
          <cell r="R72">
            <v>2.9853756933938477E-2</v>
          </cell>
          <cell r="S72">
            <v>423000</v>
          </cell>
          <cell r="T72">
            <v>3453000</v>
          </cell>
          <cell r="U72">
            <v>0.12250217202432667</v>
          </cell>
          <cell r="V72">
            <v>10211000</v>
          </cell>
          <cell r="W72">
            <v>19808000</v>
          </cell>
          <cell r="X72">
            <v>0.51549878836833607</v>
          </cell>
          <cell r="Y72">
            <v>3876000</v>
          </cell>
          <cell r="Z72">
            <v>19808000</v>
          </cell>
          <cell r="AA72">
            <v>0.19567851373182552</v>
          </cell>
          <cell r="AB72">
            <v>548000</v>
          </cell>
          <cell r="AC72">
            <v>19808000</v>
          </cell>
          <cell r="AD72">
            <v>2.7665589660743135E-2</v>
          </cell>
          <cell r="AE72">
            <v>4326000</v>
          </cell>
          <cell r="AF72">
            <v>19808000</v>
          </cell>
          <cell r="AG72">
            <v>0.21839660743134087</v>
          </cell>
          <cell r="AH72">
            <v>342000</v>
          </cell>
          <cell r="AI72">
            <v>19808000</v>
          </cell>
          <cell r="AJ72">
            <v>1.7265751211631663E-2</v>
          </cell>
          <cell r="AK72">
            <v>505000</v>
          </cell>
          <cell r="AL72">
            <v>19808000</v>
          </cell>
          <cell r="AM72">
            <v>2.549474959612278E-2</v>
          </cell>
          <cell r="AN72">
            <v>16559000</v>
          </cell>
          <cell r="AO72">
            <v>17395</v>
          </cell>
          <cell r="AP72">
            <v>951.94021270480027</v>
          </cell>
          <cell r="AQ72">
            <v>6339000</v>
          </cell>
          <cell r="AR72">
            <v>18222000</v>
          </cell>
          <cell r="AS72">
            <v>0.34787619361211725</v>
          </cell>
          <cell r="AT72">
            <v>4340000</v>
          </cell>
          <cell r="AU72">
            <v>18222000</v>
          </cell>
          <cell r="AV72">
            <v>0.23817363626385687</v>
          </cell>
          <cell r="AW72">
            <v>474000</v>
          </cell>
          <cell r="AX72">
            <v>18222000</v>
          </cell>
          <cell r="AY72">
            <v>2.6012512347711559E-2</v>
          </cell>
          <cell r="AZ72">
            <v>4597000</v>
          </cell>
          <cell r="BA72">
            <v>18222000</v>
          </cell>
          <cell r="BB72">
            <v>0.25227746679837559</v>
          </cell>
          <cell r="BC72">
            <v>2472000</v>
          </cell>
          <cell r="BD72">
            <v>18222000</v>
          </cell>
          <cell r="BE72">
            <v>0.13566019097793874</v>
          </cell>
          <cell r="BF72">
            <v>13645000</v>
          </cell>
          <cell r="BG72">
            <v>17395</v>
          </cell>
          <cell r="BH72">
            <v>784.42081057775226</v>
          </cell>
          <cell r="BI72">
            <v>2764000</v>
          </cell>
          <cell r="BJ72">
            <v>2624000</v>
          </cell>
          <cell r="BK72">
            <v>1.0533536585365855</v>
          </cell>
          <cell r="BL72">
            <v>662000</v>
          </cell>
          <cell r="BM72">
            <v>17077000</v>
          </cell>
          <cell r="BN72">
            <v>3.876559114598583E-2</v>
          </cell>
          <cell r="BO72">
            <v>5316000</v>
          </cell>
          <cell r="BP72">
            <v>3822000</v>
          </cell>
          <cell r="BQ72">
            <v>1.390894819466248</v>
          </cell>
          <cell r="BR72">
            <v>140</v>
          </cell>
          <cell r="BS72" t="str">
            <v>On Time</v>
          </cell>
          <cell r="BT72" t="str">
            <v>On Time</v>
          </cell>
          <cell r="BU72" t="str">
            <v>On Time</v>
          </cell>
          <cell r="BV72">
            <v>367000</v>
          </cell>
          <cell r="BW72">
            <v>17395</v>
          </cell>
          <cell r="BX72">
            <v>21.098016671457316</v>
          </cell>
          <cell r="BY72">
            <v>160147</v>
          </cell>
          <cell r="BZ72">
            <v>17395</v>
          </cell>
          <cell r="CA72">
            <v>9.2064961195745898</v>
          </cell>
          <cell r="CB72">
            <v>792000</v>
          </cell>
          <cell r="CC72">
            <v>6605</v>
          </cell>
          <cell r="CD72">
            <v>119.90915972747918</v>
          </cell>
          <cell r="CE72">
            <v>757941</v>
          </cell>
          <cell r="CF72">
            <v>6605</v>
          </cell>
          <cell r="CG72">
            <v>114.75261165783498</v>
          </cell>
          <cell r="CH72">
            <v>2528000</v>
          </cell>
          <cell r="CI72">
            <v>17395</v>
          </cell>
          <cell r="CJ72">
            <v>145.32911756251798</v>
          </cell>
          <cell r="CK72">
            <v>4991100</v>
          </cell>
          <cell r="CL72">
            <v>17395</v>
          </cell>
          <cell r="CM72">
            <v>286.9272779534349</v>
          </cell>
          <cell r="CN72">
            <v>208.46148635745001</v>
          </cell>
          <cell r="CO72">
            <v>426.97128486848402</v>
          </cell>
          <cell r="CP72">
            <v>354.41418962675198</v>
          </cell>
          <cell r="CQ72">
            <v>379.04815544916897</v>
          </cell>
          <cell r="CR72">
            <v>338</v>
          </cell>
          <cell r="CS72">
            <v>10468</v>
          </cell>
          <cell r="CT72">
            <v>338</v>
          </cell>
          <cell r="CU72">
            <v>30.970414201183431</v>
          </cell>
          <cell r="CV72">
            <v>14</v>
          </cell>
          <cell r="CW72">
            <v>22000</v>
          </cell>
          <cell r="CX72">
            <v>600000</v>
          </cell>
          <cell r="CY72">
            <v>3.6666666666666667E-2</v>
          </cell>
          <cell r="CZ72">
            <v>605000</v>
          </cell>
          <cell r="DA72">
            <v>17395</v>
          </cell>
          <cell r="DB72">
            <v>34.780109226789307</v>
          </cell>
          <cell r="DC72">
            <v>1766000</v>
          </cell>
          <cell r="DD72">
            <v>17395</v>
          </cell>
          <cell r="DE72">
            <v>101.52342627191722</v>
          </cell>
          <cell r="DF72">
            <v>157000</v>
          </cell>
          <cell r="DG72">
            <v>17395</v>
          </cell>
          <cell r="DH72">
            <v>9.0255820638114397</v>
          </cell>
          <cell r="DI72">
            <v>82.7</v>
          </cell>
          <cell r="DJ72">
            <v>210.33857315598547</v>
          </cell>
          <cell r="DK72">
            <v>-8.7410665200659699E-3</v>
          </cell>
          <cell r="DL72">
            <v>3.77</v>
          </cell>
          <cell r="DM72">
            <v>1.46</v>
          </cell>
        </row>
        <row r="73">
          <cell r="B73" t="str">
            <v>Great Lakes Council</v>
          </cell>
          <cell r="C73">
            <v>4</v>
          </cell>
          <cell r="D73">
            <v>9974000</v>
          </cell>
          <cell r="E73">
            <v>18890</v>
          </cell>
          <cell r="F73">
            <v>528.00423504499736</v>
          </cell>
          <cell r="G73">
            <v>1704000</v>
          </cell>
          <cell r="H73">
            <v>4448</v>
          </cell>
          <cell r="I73">
            <v>383.0935251798561</v>
          </cell>
          <cell r="J73">
            <v>962000</v>
          </cell>
          <cell r="K73">
            <v>873</v>
          </cell>
          <cell r="L73">
            <v>1101.9473081328752</v>
          </cell>
          <cell r="M73">
            <v>1670000</v>
          </cell>
          <cell r="N73">
            <v>22380000</v>
          </cell>
          <cell r="O73">
            <v>7.4620196604110817E-2</v>
          </cell>
          <cell r="P73">
            <v>1112000</v>
          </cell>
          <cell r="Q73">
            <v>14023000</v>
          </cell>
          <cell r="R73">
            <v>7.9298295657134713E-2</v>
          </cell>
          <cell r="S73">
            <v>531000</v>
          </cell>
          <cell r="T73">
            <v>6714000</v>
          </cell>
          <cell r="U73">
            <v>7.9088471849865949E-2</v>
          </cell>
          <cell r="V73">
            <v>15135000</v>
          </cell>
          <cell r="W73">
            <v>37676000</v>
          </cell>
          <cell r="X73">
            <v>0.40171461938634673</v>
          </cell>
          <cell r="Y73">
            <v>7245000</v>
          </cell>
          <cell r="Z73">
            <v>37676000</v>
          </cell>
          <cell r="AA73">
            <v>0.19229748380932157</v>
          </cell>
          <cell r="AB73">
            <v>1003000</v>
          </cell>
          <cell r="AC73">
            <v>37676000</v>
          </cell>
          <cell r="AD73">
            <v>2.662172205117316E-2</v>
          </cell>
          <cell r="AE73">
            <v>6631000</v>
          </cell>
          <cell r="AF73">
            <v>37676000</v>
          </cell>
          <cell r="AG73">
            <v>0.17600063701029833</v>
          </cell>
          <cell r="AH73">
            <v>7406000</v>
          </cell>
          <cell r="AI73">
            <v>37676000</v>
          </cell>
          <cell r="AJ73">
            <v>0.19657076122730652</v>
          </cell>
          <cell r="AK73">
            <v>256000</v>
          </cell>
          <cell r="AL73">
            <v>37676000</v>
          </cell>
          <cell r="AM73">
            <v>6.7947765155536681E-3</v>
          </cell>
          <cell r="AN73">
            <v>31450000</v>
          </cell>
          <cell r="AO73">
            <v>32598</v>
          </cell>
          <cell r="AP73">
            <v>964.78311552856007</v>
          </cell>
          <cell r="AQ73">
            <v>10351000</v>
          </cell>
          <cell r="AR73">
            <v>35628000</v>
          </cell>
          <cell r="AS73">
            <v>0.29052992028741437</v>
          </cell>
          <cell r="AT73">
            <v>9482000</v>
          </cell>
          <cell r="AU73">
            <v>35628000</v>
          </cell>
          <cell r="AV73">
            <v>0.26613899180419892</v>
          </cell>
          <cell r="AW73">
            <v>592000</v>
          </cell>
          <cell r="AX73">
            <v>35628000</v>
          </cell>
          <cell r="AY73">
            <v>1.6616144605366565E-2</v>
          </cell>
          <cell r="AZ73">
            <v>9174000</v>
          </cell>
          <cell r="BA73">
            <v>35628000</v>
          </cell>
          <cell r="BB73">
            <v>0.25749410575951498</v>
          </cell>
          <cell r="BC73">
            <v>6029000</v>
          </cell>
          <cell r="BD73">
            <v>35628000</v>
          </cell>
          <cell r="BE73">
            <v>0.16922083754350511</v>
          </cell>
          <cell r="BF73">
            <v>35628000</v>
          </cell>
          <cell r="BG73">
            <v>32598</v>
          </cell>
          <cell r="BH73">
            <v>1092.9504877599852</v>
          </cell>
          <cell r="BI73">
            <v>15193000</v>
          </cell>
          <cell r="BJ73">
            <v>7324000</v>
          </cell>
          <cell r="BK73">
            <v>2.0744128891316223</v>
          </cell>
          <cell r="BL73">
            <v>2135000</v>
          </cell>
          <cell r="BM73">
            <v>28043000</v>
          </cell>
          <cell r="BN73">
            <v>7.6133081339371675E-2</v>
          </cell>
          <cell r="BO73">
            <v>11710000</v>
          </cell>
          <cell r="BP73">
            <v>9174000</v>
          </cell>
          <cell r="BQ73">
            <v>1.2764333987355569</v>
          </cell>
          <cell r="BR73">
            <v>255</v>
          </cell>
          <cell r="BS73" t="str">
            <v>On Time</v>
          </cell>
          <cell r="BT73" t="str">
            <v>On Time</v>
          </cell>
          <cell r="BU73" t="str">
            <v>&lt;=16</v>
          </cell>
          <cell r="BV73">
            <v>699000</v>
          </cell>
          <cell r="BW73">
            <v>32598</v>
          </cell>
          <cell r="BX73">
            <v>21.443033314927295</v>
          </cell>
          <cell r="BY73">
            <v>397025</v>
          </cell>
          <cell r="BZ73">
            <v>32598</v>
          </cell>
          <cell r="CA73">
            <v>12.179428185778269</v>
          </cell>
          <cell r="CB73">
            <v>2692000</v>
          </cell>
          <cell r="CC73">
            <v>16322</v>
          </cell>
          <cell r="CD73">
            <v>164.93076828819997</v>
          </cell>
          <cell r="CE73">
            <v>1642740</v>
          </cell>
          <cell r="CF73">
            <v>17405</v>
          </cell>
          <cell r="CG73">
            <v>94.383223211720775</v>
          </cell>
          <cell r="CH73">
            <v>2375130</v>
          </cell>
          <cell r="CI73">
            <v>32598</v>
          </cell>
          <cell r="CJ73">
            <v>72.861218479661332</v>
          </cell>
          <cell r="CK73">
            <v>9585100</v>
          </cell>
          <cell r="CL73">
            <v>32598</v>
          </cell>
          <cell r="CM73">
            <v>294.03951162648013</v>
          </cell>
          <cell r="CN73" t="str">
            <v>N/A</v>
          </cell>
          <cell r="CO73" t="str">
            <v>N/A</v>
          </cell>
          <cell r="CP73" t="str">
            <v>N/A</v>
          </cell>
          <cell r="CQ73" t="str">
            <v>N/A</v>
          </cell>
          <cell r="CR73">
            <v>1252</v>
          </cell>
          <cell r="CS73">
            <v>69767</v>
          </cell>
          <cell r="CT73">
            <v>1252</v>
          </cell>
          <cell r="CU73">
            <v>55.724440894568687</v>
          </cell>
          <cell r="CV73">
            <v>37</v>
          </cell>
          <cell r="CW73">
            <v>108000</v>
          </cell>
          <cell r="CX73">
            <v>1646000</v>
          </cell>
          <cell r="CY73">
            <v>6.561360874848117E-2</v>
          </cell>
          <cell r="CZ73">
            <v>668000</v>
          </cell>
          <cell r="DA73">
            <v>32598</v>
          </cell>
          <cell r="DB73">
            <v>20.492054727283882</v>
          </cell>
          <cell r="DC73">
            <v>3155000</v>
          </cell>
          <cell r="DD73">
            <v>32598</v>
          </cell>
          <cell r="DE73">
            <v>96.785078839192593</v>
          </cell>
          <cell r="DF73">
            <v>860000</v>
          </cell>
          <cell r="DG73">
            <v>32598</v>
          </cell>
          <cell r="DH73">
            <v>26.381986624946315</v>
          </cell>
          <cell r="DI73">
            <v>3375.8</v>
          </cell>
          <cell r="DJ73">
            <v>9.6563777474968884</v>
          </cell>
          <cell r="DK73">
            <v>2.4504132231404959E-2</v>
          </cell>
          <cell r="DL73">
            <v>2.87</v>
          </cell>
          <cell r="DM73">
            <v>2.4700000000000002</v>
          </cell>
        </row>
        <row r="74">
          <cell r="B74" t="str">
            <v>Greater Taree City Council</v>
          </cell>
          <cell r="C74">
            <v>4</v>
          </cell>
          <cell r="D74">
            <v>7702000</v>
          </cell>
          <cell r="E74">
            <v>17712</v>
          </cell>
          <cell r="F74">
            <v>434.84643179765129</v>
          </cell>
          <cell r="G74">
            <v>1460000</v>
          </cell>
          <cell r="H74">
            <v>1918</v>
          </cell>
          <cell r="I74">
            <v>761.20959332638165</v>
          </cell>
          <cell r="J74">
            <v>1982000</v>
          </cell>
          <cell r="K74">
            <v>1157</v>
          </cell>
          <cell r="L74">
            <v>1713.0509939498704</v>
          </cell>
          <cell r="M74">
            <v>1117000</v>
          </cell>
          <cell r="N74">
            <v>16118000</v>
          </cell>
          <cell r="O74">
            <v>6.9301402159076805E-2</v>
          </cell>
          <cell r="P74">
            <v>639000</v>
          </cell>
          <cell r="Q74">
            <v>12408000</v>
          </cell>
          <cell r="R74">
            <v>5.1499032882011603E-2</v>
          </cell>
          <cell r="S74">
            <v>405000</v>
          </cell>
          <cell r="T74">
            <v>2666000</v>
          </cell>
          <cell r="U74">
            <v>0.15191297824456115</v>
          </cell>
          <cell r="V74">
            <v>13047000</v>
          </cell>
          <cell r="W74">
            <v>28421000</v>
          </cell>
          <cell r="X74">
            <v>0.45906196122585413</v>
          </cell>
          <cell r="Y74">
            <v>3071000</v>
          </cell>
          <cell r="Z74">
            <v>28421000</v>
          </cell>
          <cell r="AA74">
            <v>0.10805390380352556</v>
          </cell>
          <cell r="AB74">
            <v>340000</v>
          </cell>
          <cell r="AC74">
            <v>28421000</v>
          </cell>
          <cell r="AD74">
            <v>1.1962985116639105E-2</v>
          </cell>
          <cell r="AE74">
            <v>7954000</v>
          </cell>
          <cell r="AF74">
            <v>28421000</v>
          </cell>
          <cell r="AG74">
            <v>0.27986348122866894</v>
          </cell>
          <cell r="AH74">
            <v>2764000</v>
          </cell>
          <cell r="AI74">
            <v>28421000</v>
          </cell>
          <cell r="AJ74">
            <v>9.7252031948207307E-2</v>
          </cell>
          <cell r="AK74">
            <v>1245000</v>
          </cell>
          <cell r="AL74">
            <v>28421000</v>
          </cell>
          <cell r="AM74">
            <v>4.3805636677104957E-2</v>
          </cell>
          <cell r="AN74">
            <v>25290000</v>
          </cell>
          <cell r="AO74">
            <v>44849</v>
          </cell>
          <cell r="AP74">
            <v>563.89217150884076</v>
          </cell>
          <cell r="AQ74">
            <v>9763000</v>
          </cell>
          <cell r="AR74">
            <v>31002000</v>
          </cell>
          <cell r="AS74">
            <v>0.31491516676343462</v>
          </cell>
          <cell r="AT74">
            <v>6767000</v>
          </cell>
          <cell r="AU74">
            <v>31002000</v>
          </cell>
          <cell r="AV74">
            <v>0.21827624024256501</v>
          </cell>
          <cell r="AW74">
            <v>817000</v>
          </cell>
          <cell r="AX74">
            <v>31002000</v>
          </cell>
          <cell r="AY74">
            <v>2.6353138507193084E-2</v>
          </cell>
          <cell r="AZ74">
            <v>10559000</v>
          </cell>
          <cell r="BA74">
            <v>31002000</v>
          </cell>
          <cell r="BB74">
            <v>0.34059092961744403</v>
          </cell>
          <cell r="BC74">
            <v>3096000</v>
          </cell>
          <cell r="BD74">
            <v>31002000</v>
          </cell>
          <cell r="BE74">
            <v>9.9864524869363272E-2</v>
          </cell>
          <cell r="BF74">
            <v>31002000</v>
          </cell>
          <cell r="BG74">
            <v>44849</v>
          </cell>
          <cell r="BH74">
            <v>691.2528707440523</v>
          </cell>
          <cell r="BI74">
            <v>5150000</v>
          </cell>
          <cell r="BJ74">
            <v>4742000</v>
          </cell>
          <cell r="BK74">
            <v>1.0860396457191059</v>
          </cell>
          <cell r="BL74">
            <v>2623000</v>
          </cell>
          <cell r="BM74">
            <v>22691000</v>
          </cell>
          <cell r="BN74">
            <v>0.11559649200123397</v>
          </cell>
          <cell r="BO74">
            <v>6057000</v>
          </cell>
          <cell r="BP74">
            <v>10559000</v>
          </cell>
          <cell r="BQ74">
            <v>0.57363386684345108</v>
          </cell>
          <cell r="BR74">
            <v>222</v>
          </cell>
          <cell r="BS74" t="str">
            <v>On Time</v>
          </cell>
          <cell r="BT74" t="str">
            <v>On Time</v>
          </cell>
          <cell r="BU74" t="str">
            <v>On Time</v>
          </cell>
          <cell r="BV74">
            <v>682000</v>
          </cell>
          <cell r="BW74">
            <v>44849</v>
          </cell>
          <cell r="BX74">
            <v>15.206582086557114</v>
          </cell>
          <cell r="BY74">
            <v>360654</v>
          </cell>
          <cell r="BZ74">
            <v>44849</v>
          </cell>
          <cell r="CA74">
            <v>8.041517090682067</v>
          </cell>
          <cell r="CB74">
            <v>1743000</v>
          </cell>
          <cell r="CC74">
            <v>17555</v>
          </cell>
          <cell r="CD74">
            <v>99.287952150384513</v>
          </cell>
          <cell r="CE74">
            <v>2215577</v>
          </cell>
          <cell r="CF74">
            <v>17555</v>
          </cell>
          <cell r="CG74">
            <v>126.20774708060382</v>
          </cell>
          <cell r="CH74">
            <v>7946450</v>
          </cell>
          <cell r="CI74">
            <v>44849</v>
          </cell>
          <cell r="CJ74">
            <v>177.1823229057504</v>
          </cell>
          <cell r="CK74">
            <v>10758420</v>
          </cell>
          <cell r="CL74">
            <v>44849</v>
          </cell>
          <cell r="CM74">
            <v>239.88093380008473</v>
          </cell>
          <cell r="CN74" t="str">
            <v>N/A</v>
          </cell>
          <cell r="CO74" t="str">
            <v>N/A</v>
          </cell>
          <cell r="CP74" t="str">
            <v>N/A</v>
          </cell>
          <cell r="CQ74" t="str">
            <v>N/A</v>
          </cell>
          <cell r="CR74">
            <v>1050</v>
          </cell>
          <cell r="CS74">
            <v>38708</v>
          </cell>
          <cell r="CT74">
            <v>1050</v>
          </cell>
          <cell r="CU74">
            <v>36.864761904761906</v>
          </cell>
          <cell r="CV74">
            <v>22</v>
          </cell>
          <cell r="CW74">
            <v>12000</v>
          </cell>
          <cell r="CX74">
            <v>1334000</v>
          </cell>
          <cell r="CY74">
            <v>8.9955022488755615E-3</v>
          </cell>
          <cell r="CZ74">
            <v>1116000</v>
          </cell>
          <cell r="DA74">
            <v>44849</v>
          </cell>
          <cell r="DB74">
            <v>24.883497959820733</v>
          </cell>
          <cell r="DC74">
            <v>3123000</v>
          </cell>
          <cell r="DD74">
            <v>44849</v>
          </cell>
          <cell r="DE74">
            <v>69.633659613369304</v>
          </cell>
          <cell r="DF74">
            <v>423000</v>
          </cell>
          <cell r="DG74">
            <v>44849</v>
          </cell>
          <cell r="DH74">
            <v>9.431648420254632</v>
          </cell>
          <cell r="DI74">
            <v>3730.4</v>
          </cell>
          <cell r="DJ74">
            <v>12.022571306026164</v>
          </cell>
          <cell r="DK74">
            <v>8.4639498432601879E-4</v>
          </cell>
          <cell r="DL74">
            <v>1.98</v>
          </cell>
          <cell r="DM74">
            <v>3.32</v>
          </cell>
        </row>
        <row r="75">
          <cell r="B75" t="str">
            <v>Griffith City Council</v>
          </cell>
          <cell r="C75">
            <v>4</v>
          </cell>
          <cell r="D75">
            <v>3852000</v>
          </cell>
          <cell r="E75">
            <v>6859</v>
          </cell>
          <cell r="F75">
            <v>561.59790056859606</v>
          </cell>
          <cell r="G75">
            <v>2840000</v>
          </cell>
          <cell r="H75">
            <v>1326</v>
          </cell>
          <cell r="I75">
            <v>2141.7797888386121</v>
          </cell>
          <cell r="J75">
            <v>1236000</v>
          </cell>
          <cell r="K75">
            <v>948</v>
          </cell>
          <cell r="L75">
            <v>1303.7974683544303</v>
          </cell>
          <cell r="M75">
            <v>1547000</v>
          </cell>
          <cell r="N75">
            <v>21001000</v>
          </cell>
          <cell r="O75">
            <v>7.3663158897195366E-2</v>
          </cell>
          <cell r="P75">
            <v>423000</v>
          </cell>
          <cell r="Q75">
            <v>13838000</v>
          </cell>
          <cell r="R75">
            <v>3.0568001156236452E-2</v>
          </cell>
          <cell r="S75">
            <v>252000</v>
          </cell>
          <cell r="T75">
            <v>6488000</v>
          </cell>
          <cell r="U75">
            <v>3.8840937114673242E-2</v>
          </cell>
          <cell r="V75">
            <v>14261000</v>
          </cell>
          <cell r="W75">
            <v>29063000</v>
          </cell>
          <cell r="X75">
            <v>0.49069263324501944</v>
          </cell>
          <cell r="Y75">
            <v>6740000</v>
          </cell>
          <cell r="Z75">
            <v>29063000</v>
          </cell>
          <cell r="AA75">
            <v>0.23190998864535664</v>
          </cell>
          <cell r="AB75">
            <v>609000</v>
          </cell>
          <cell r="AC75">
            <v>29063000</v>
          </cell>
          <cell r="AD75">
            <v>2.0954478202525547E-2</v>
          </cell>
          <cell r="AE75">
            <v>4058000</v>
          </cell>
          <cell r="AF75">
            <v>29063000</v>
          </cell>
          <cell r="AG75">
            <v>0.13962770532980079</v>
          </cell>
          <cell r="AH75">
            <v>3038000</v>
          </cell>
          <cell r="AI75">
            <v>29063000</v>
          </cell>
          <cell r="AJ75">
            <v>0.10453153494133434</v>
          </cell>
          <cell r="AK75">
            <v>357000</v>
          </cell>
          <cell r="AL75">
            <v>29063000</v>
          </cell>
          <cell r="AM75">
            <v>1.2283659635963251E-2</v>
          </cell>
          <cell r="AN75">
            <v>17842000</v>
          </cell>
          <cell r="AO75">
            <v>24752</v>
          </cell>
          <cell r="AP75">
            <v>720.83063994828706</v>
          </cell>
          <cell r="AQ75">
            <v>9958000</v>
          </cell>
          <cell r="AR75">
            <v>25844000</v>
          </cell>
          <cell r="AS75">
            <v>0.38531187122736421</v>
          </cell>
          <cell r="AT75">
            <v>9012000</v>
          </cell>
          <cell r="AU75">
            <v>25844000</v>
          </cell>
          <cell r="AV75">
            <v>0.34870763039777125</v>
          </cell>
          <cell r="AW75">
            <v>0</v>
          </cell>
          <cell r="AX75">
            <v>25844000</v>
          </cell>
          <cell r="AY75">
            <v>0</v>
          </cell>
          <cell r="AZ75">
            <v>4413000</v>
          </cell>
          <cell r="BA75">
            <v>25844000</v>
          </cell>
          <cell r="BB75">
            <v>0.17075530103699119</v>
          </cell>
          <cell r="BC75">
            <v>2461000</v>
          </cell>
          <cell r="BD75">
            <v>25844000</v>
          </cell>
          <cell r="BE75">
            <v>9.5225197337873393E-2</v>
          </cell>
          <cell r="BF75">
            <v>17694000</v>
          </cell>
          <cell r="BG75">
            <v>24752</v>
          </cell>
          <cell r="BH75">
            <v>714.85132514544284</v>
          </cell>
          <cell r="BI75">
            <v>5782000</v>
          </cell>
          <cell r="BJ75">
            <v>3620000</v>
          </cell>
          <cell r="BK75">
            <v>1.5972375690607734</v>
          </cell>
          <cell r="BL75">
            <v>53000</v>
          </cell>
          <cell r="BM75">
            <v>24720000</v>
          </cell>
          <cell r="BN75">
            <v>2.1440129449838189E-3</v>
          </cell>
          <cell r="BO75">
            <v>3255000</v>
          </cell>
          <cell r="BP75">
            <v>2484000</v>
          </cell>
          <cell r="BQ75">
            <v>1.3103864734299517</v>
          </cell>
          <cell r="BR75">
            <v>213</v>
          </cell>
          <cell r="BS75" t="str">
            <v>On Time</v>
          </cell>
          <cell r="BT75" t="str">
            <v>On Time</v>
          </cell>
          <cell r="BU75" t="str">
            <v>&lt;=2</v>
          </cell>
          <cell r="BV75">
            <v>510000</v>
          </cell>
          <cell r="BW75">
            <v>24752</v>
          </cell>
          <cell r="BX75">
            <v>20.604395604395606</v>
          </cell>
          <cell r="BY75">
            <v>152207</v>
          </cell>
          <cell r="BZ75">
            <v>24752</v>
          </cell>
          <cell r="CA75">
            <v>6.1492808661926306</v>
          </cell>
          <cell r="CB75">
            <v>923000</v>
          </cell>
          <cell r="CC75">
            <v>6659</v>
          </cell>
          <cell r="CD75">
            <v>138.60940081093258</v>
          </cell>
          <cell r="CE75">
            <v>260310</v>
          </cell>
          <cell r="CF75">
            <v>6659</v>
          </cell>
          <cell r="CG75">
            <v>39.091455173449468</v>
          </cell>
          <cell r="CH75">
            <v>2308680</v>
          </cell>
          <cell r="CI75">
            <v>24752</v>
          </cell>
          <cell r="CJ75">
            <v>93.272462831286362</v>
          </cell>
          <cell r="CK75">
            <v>8409140</v>
          </cell>
          <cell r="CL75">
            <v>24752</v>
          </cell>
          <cell r="CM75">
            <v>339.73577892695539</v>
          </cell>
          <cell r="CN75">
            <v>506.33384793977899</v>
          </cell>
          <cell r="CO75">
            <v>555.68627450980398</v>
          </cell>
          <cell r="CP75">
            <v>416.85267857142901</v>
          </cell>
          <cell r="CQ75">
            <v>513.49480968858097</v>
          </cell>
          <cell r="CR75">
            <v>392</v>
          </cell>
          <cell r="CS75">
            <v>15204</v>
          </cell>
          <cell r="CT75">
            <v>392</v>
          </cell>
          <cell r="CU75">
            <v>38.785714285714285</v>
          </cell>
          <cell r="CV75">
            <v>31</v>
          </cell>
          <cell r="CW75">
            <v>1000</v>
          </cell>
          <cell r="CX75">
            <v>1039000</v>
          </cell>
          <cell r="CY75">
            <v>9.6246390760346492E-4</v>
          </cell>
          <cell r="CZ75">
            <v>352000</v>
          </cell>
          <cell r="DA75">
            <v>24752</v>
          </cell>
          <cell r="DB75">
            <v>14.221073044602456</v>
          </cell>
          <cell r="DC75">
            <v>1876000</v>
          </cell>
          <cell r="DD75">
            <v>24752</v>
          </cell>
          <cell r="DE75">
            <v>75.791855203619903</v>
          </cell>
          <cell r="DF75">
            <v>79000</v>
          </cell>
          <cell r="DG75">
            <v>24752</v>
          </cell>
          <cell r="DH75">
            <v>3.1916612798965742</v>
          </cell>
          <cell r="DI75">
            <v>1640.4</v>
          </cell>
          <cell r="DJ75">
            <v>15.089002682272616</v>
          </cell>
          <cell r="DK75">
            <v>2.4609800362976407E-2</v>
          </cell>
          <cell r="DL75">
            <v>3.32</v>
          </cell>
          <cell r="DM75">
            <v>13.11</v>
          </cell>
        </row>
        <row r="76">
          <cell r="B76" t="str">
            <v>Gundagai Shire Council</v>
          </cell>
          <cell r="C76">
            <v>9</v>
          </cell>
          <cell r="D76">
            <v>139000</v>
          </cell>
          <cell r="E76">
            <v>1181</v>
          </cell>
          <cell r="F76">
            <v>117.69686706181203</v>
          </cell>
          <cell r="G76">
            <v>1188000</v>
          </cell>
          <cell r="H76">
            <v>854</v>
          </cell>
          <cell r="I76">
            <v>1391.1007025761123</v>
          </cell>
          <cell r="J76">
            <v>50000</v>
          </cell>
          <cell r="K76">
            <v>145</v>
          </cell>
          <cell r="L76">
            <v>344.82758620689657</v>
          </cell>
          <cell r="M76">
            <v>332000</v>
          </cell>
          <cell r="N76">
            <v>2524000</v>
          </cell>
          <cell r="O76">
            <v>0.13153724247226625</v>
          </cell>
          <cell r="P76">
            <v>64000</v>
          </cell>
          <cell r="Q76">
            <v>2089000</v>
          </cell>
          <cell r="R76">
            <v>3.0636668262326472E-2</v>
          </cell>
          <cell r="S76">
            <v>40000</v>
          </cell>
          <cell r="T76">
            <v>331000</v>
          </cell>
          <cell r="U76">
            <v>0.12084592145015106</v>
          </cell>
          <cell r="V76">
            <v>2153000</v>
          </cell>
          <cell r="W76">
            <v>6004000</v>
          </cell>
          <cell r="X76">
            <v>0.35859427048634246</v>
          </cell>
          <cell r="Y76">
            <v>371000</v>
          </cell>
          <cell r="Z76">
            <v>6004000</v>
          </cell>
          <cell r="AA76">
            <v>6.1792138574283811E-2</v>
          </cell>
          <cell r="AB76">
            <v>123000</v>
          </cell>
          <cell r="AC76">
            <v>6004000</v>
          </cell>
          <cell r="AD76">
            <v>2.0486342438374418E-2</v>
          </cell>
          <cell r="AE76">
            <v>1752000</v>
          </cell>
          <cell r="AF76">
            <v>6004000</v>
          </cell>
          <cell r="AG76">
            <v>0.29180546302465021</v>
          </cell>
          <cell r="AH76">
            <v>1407000</v>
          </cell>
          <cell r="AI76">
            <v>6004000</v>
          </cell>
          <cell r="AJ76">
            <v>0.23434377081945371</v>
          </cell>
          <cell r="AK76">
            <v>198000</v>
          </cell>
          <cell r="AL76">
            <v>6004000</v>
          </cell>
          <cell r="AM76">
            <v>3.2978014656895406E-2</v>
          </cell>
          <cell r="AN76">
            <v>4108000</v>
          </cell>
          <cell r="AO76">
            <v>3824</v>
          </cell>
          <cell r="AP76">
            <v>1074.2677824267782</v>
          </cell>
          <cell r="AQ76">
            <v>2211000</v>
          </cell>
          <cell r="AR76">
            <v>5522000</v>
          </cell>
          <cell r="AS76">
            <v>0.40039840637450197</v>
          </cell>
          <cell r="AT76">
            <v>1174000</v>
          </cell>
          <cell r="AU76">
            <v>5522000</v>
          </cell>
          <cell r="AV76">
            <v>0.2126041289387903</v>
          </cell>
          <cell r="AW76">
            <v>21000</v>
          </cell>
          <cell r="AX76">
            <v>5522000</v>
          </cell>
          <cell r="AY76">
            <v>3.8029699384281059E-3</v>
          </cell>
          <cell r="AZ76">
            <v>1504000</v>
          </cell>
          <cell r="BA76">
            <v>5522000</v>
          </cell>
          <cell r="BB76">
            <v>0.27236508511408908</v>
          </cell>
          <cell r="BC76">
            <v>612000</v>
          </cell>
          <cell r="BD76">
            <v>5522000</v>
          </cell>
          <cell r="BE76">
            <v>0.11082940963419051</v>
          </cell>
          <cell r="BF76">
            <v>4905000</v>
          </cell>
          <cell r="BG76">
            <v>3824</v>
          </cell>
          <cell r="BH76">
            <v>1282.6882845188284</v>
          </cell>
          <cell r="BI76">
            <v>1892000</v>
          </cell>
          <cell r="BJ76">
            <v>1006000</v>
          </cell>
          <cell r="BK76">
            <v>1.8807157057654076</v>
          </cell>
          <cell r="BL76">
            <v>101000</v>
          </cell>
          <cell r="BM76">
            <v>4032000</v>
          </cell>
          <cell r="BN76">
            <v>2.5049603174603176E-2</v>
          </cell>
          <cell r="BO76">
            <v>1716000</v>
          </cell>
          <cell r="BP76">
            <v>1423000</v>
          </cell>
          <cell r="BQ76">
            <v>1.2059030217849613</v>
          </cell>
          <cell r="BR76">
            <v>55</v>
          </cell>
          <cell r="BS76" t="str">
            <v>On Time</v>
          </cell>
          <cell r="BT76" t="str">
            <v>Not Received</v>
          </cell>
          <cell r="BU76" t="str">
            <v>On Time</v>
          </cell>
          <cell r="BV76">
            <v>81000</v>
          </cell>
          <cell r="BW76">
            <v>3824</v>
          </cell>
          <cell r="BX76">
            <v>21.182008368200837</v>
          </cell>
          <cell r="BY76">
            <v>9817</v>
          </cell>
          <cell r="BZ76">
            <v>3824</v>
          </cell>
          <cell r="CA76">
            <v>2.5672071129707112</v>
          </cell>
          <cell r="CB76">
            <v>171000</v>
          </cell>
          <cell r="CC76">
            <v>895</v>
          </cell>
          <cell r="CD76">
            <v>191.06145251396649</v>
          </cell>
          <cell r="CE76">
            <v>80000</v>
          </cell>
          <cell r="CF76">
            <v>895</v>
          </cell>
          <cell r="CG76">
            <v>89.385474860335194</v>
          </cell>
          <cell r="CH76">
            <v>200000</v>
          </cell>
          <cell r="CI76">
            <v>3824</v>
          </cell>
          <cell r="CJ76">
            <v>52.30125523012552</v>
          </cell>
          <cell r="CK76">
            <v>2500000</v>
          </cell>
          <cell r="CL76">
            <v>3824</v>
          </cell>
          <cell r="CM76">
            <v>653.76569037656907</v>
          </cell>
          <cell r="CN76">
            <v>387</v>
          </cell>
          <cell r="CO76">
            <v>392.15686274509801</v>
          </cell>
          <cell r="CP76">
            <v>200.058277180841</v>
          </cell>
          <cell r="CQ76">
            <v>236.58155289213099</v>
          </cell>
          <cell r="CR76">
            <v>83</v>
          </cell>
          <cell r="CS76">
            <v>250</v>
          </cell>
          <cell r="CT76">
            <v>83</v>
          </cell>
          <cell r="CU76">
            <v>3.0120481927710845</v>
          </cell>
          <cell r="CV76">
            <v>3</v>
          </cell>
          <cell r="CW76">
            <v>0</v>
          </cell>
          <cell r="CX76">
            <v>25000</v>
          </cell>
          <cell r="CY76">
            <v>0</v>
          </cell>
          <cell r="CZ76">
            <v>152000</v>
          </cell>
          <cell r="DA76">
            <v>3824</v>
          </cell>
          <cell r="DB76">
            <v>39.7489539748954</v>
          </cell>
          <cell r="DC76">
            <v>152000</v>
          </cell>
          <cell r="DD76">
            <v>3824</v>
          </cell>
          <cell r="DE76">
            <v>39.7489539748954</v>
          </cell>
          <cell r="DF76">
            <v>1000</v>
          </cell>
          <cell r="DG76">
            <v>3824</v>
          </cell>
          <cell r="DH76">
            <v>0.2615062761506276</v>
          </cell>
          <cell r="DI76">
            <v>2457.6999999999998</v>
          </cell>
          <cell r="DJ76">
            <v>1.5559262725312284</v>
          </cell>
          <cell r="DK76">
            <v>-1.3506493506493507E-3</v>
          </cell>
          <cell r="DL76">
            <v>1.41</v>
          </cell>
          <cell r="DM76">
            <v>0.92</v>
          </cell>
        </row>
        <row r="77">
          <cell r="B77" t="str">
            <v>Gunnedah Shire Council</v>
          </cell>
          <cell r="C77">
            <v>11</v>
          </cell>
          <cell r="D77">
            <v>1769000</v>
          </cell>
          <cell r="E77">
            <v>4012</v>
          </cell>
          <cell r="F77">
            <v>440.92721834496513</v>
          </cell>
          <cell r="G77">
            <v>2853000</v>
          </cell>
          <cell r="H77">
            <v>1127</v>
          </cell>
          <cell r="I77">
            <v>2531.4995563442767</v>
          </cell>
          <cell r="J77">
            <v>1215000</v>
          </cell>
          <cell r="K77">
            <v>519</v>
          </cell>
          <cell r="L77">
            <v>2341.0404624277458</v>
          </cell>
          <cell r="M77">
            <v>1870000</v>
          </cell>
          <cell r="N77">
            <v>14049000</v>
          </cell>
          <cell r="O77">
            <v>0.13310555911452773</v>
          </cell>
          <cell r="P77">
            <v>320000</v>
          </cell>
          <cell r="Q77">
            <v>8070000</v>
          </cell>
          <cell r="R77">
            <v>3.9653035935563817E-2</v>
          </cell>
          <cell r="S77">
            <v>1817000</v>
          </cell>
          <cell r="T77">
            <v>3842000</v>
          </cell>
          <cell r="U77">
            <v>0.47293076522644456</v>
          </cell>
          <cell r="V77">
            <v>8390000</v>
          </cell>
          <cell r="W77">
            <v>22982000</v>
          </cell>
          <cell r="X77">
            <v>0.36506831433295622</v>
          </cell>
          <cell r="Y77">
            <v>5659000</v>
          </cell>
          <cell r="Z77">
            <v>22982000</v>
          </cell>
          <cell r="AA77">
            <v>0.24623618484030982</v>
          </cell>
          <cell r="AB77">
            <v>659000</v>
          </cell>
          <cell r="AC77">
            <v>22982000</v>
          </cell>
          <cell r="AD77">
            <v>2.8674614916021236E-2</v>
          </cell>
          <cell r="AE77">
            <v>6137000</v>
          </cell>
          <cell r="AF77">
            <v>22982000</v>
          </cell>
          <cell r="AG77">
            <v>0.26703507092507178</v>
          </cell>
          <cell r="AH77">
            <v>1983000</v>
          </cell>
          <cell r="AI77">
            <v>22982000</v>
          </cell>
          <cell r="AJ77">
            <v>8.6284918631972851E-2</v>
          </cell>
          <cell r="AK77">
            <v>154000</v>
          </cell>
          <cell r="AL77">
            <v>22982000</v>
          </cell>
          <cell r="AM77">
            <v>6.7008963536680883E-3</v>
          </cell>
          <cell r="AN77">
            <v>19187000</v>
          </cell>
          <cell r="AO77">
            <v>12632</v>
          </cell>
          <cell r="AP77">
            <v>1518.9202026599114</v>
          </cell>
          <cell r="AQ77">
            <v>6975000</v>
          </cell>
          <cell r="AR77">
            <v>23550000</v>
          </cell>
          <cell r="AS77">
            <v>0.29617834394904458</v>
          </cell>
          <cell r="AT77">
            <v>7099000</v>
          </cell>
          <cell r="AU77">
            <v>23550000</v>
          </cell>
          <cell r="AV77">
            <v>0.30144373673036096</v>
          </cell>
          <cell r="AW77">
            <v>417000</v>
          </cell>
          <cell r="AX77">
            <v>23550000</v>
          </cell>
          <cell r="AY77">
            <v>1.770700636942675E-2</v>
          </cell>
          <cell r="AZ77">
            <v>8044000</v>
          </cell>
          <cell r="BA77">
            <v>23550000</v>
          </cell>
          <cell r="BB77">
            <v>0.34157112526539279</v>
          </cell>
          <cell r="BC77">
            <v>1015000</v>
          </cell>
          <cell r="BD77">
            <v>23550000</v>
          </cell>
          <cell r="BE77">
            <v>4.3099787685774944E-2</v>
          </cell>
          <cell r="BF77">
            <v>21606000</v>
          </cell>
          <cell r="BG77">
            <v>12632</v>
          </cell>
          <cell r="BH77">
            <v>1710.4179860671311</v>
          </cell>
          <cell r="BI77">
            <v>7010000</v>
          </cell>
          <cell r="BJ77">
            <v>4074000</v>
          </cell>
          <cell r="BK77">
            <v>1.7206676485027002</v>
          </cell>
          <cell r="BL77">
            <v>1794000</v>
          </cell>
          <cell r="BM77">
            <v>17853000</v>
          </cell>
          <cell r="BN77">
            <v>0.10048731305662914</v>
          </cell>
          <cell r="BO77">
            <v>3378000</v>
          </cell>
          <cell r="BP77">
            <v>7426000</v>
          </cell>
          <cell r="BQ77">
            <v>0.45488823054134125</v>
          </cell>
          <cell r="BR77">
            <v>152</v>
          </cell>
          <cell r="BS77" t="str">
            <v>&lt;=2</v>
          </cell>
          <cell r="BT77" t="str">
            <v>&lt;=2</v>
          </cell>
          <cell r="BU77" t="str">
            <v>On Time</v>
          </cell>
          <cell r="BV77">
            <v>287000</v>
          </cell>
          <cell r="BW77">
            <v>12632</v>
          </cell>
          <cell r="BX77">
            <v>22.720075997466751</v>
          </cell>
          <cell r="BY77">
            <v>66312</v>
          </cell>
          <cell r="BZ77">
            <v>12632</v>
          </cell>
          <cell r="CA77">
            <v>5.2495250158328055</v>
          </cell>
          <cell r="CB77">
            <v>608000</v>
          </cell>
          <cell r="CC77">
            <v>3442</v>
          </cell>
          <cell r="CD77">
            <v>176.64148750726321</v>
          </cell>
          <cell r="CE77">
            <v>249000</v>
          </cell>
          <cell r="CF77">
            <v>3419</v>
          </cell>
          <cell r="CG77">
            <v>72.82831237203861</v>
          </cell>
          <cell r="CH77">
            <v>821962</v>
          </cell>
          <cell r="CI77">
            <v>12632</v>
          </cell>
          <cell r="CJ77">
            <v>65.069822672577587</v>
          </cell>
          <cell r="CK77">
            <v>4551000</v>
          </cell>
          <cell r="CL77">
            <v>12632</v>
          </cell>
          <cell r="CM77">
            <v>360.27549081697276</v>
          </cell>
          <cell r="CN77">
            <v>371.9387912871</v>
          </cell>
          <cell r="CO77">
            <v>261.67471819645698</v>
          </cell>
          <cell r="CP77">
            <v>220.794521832935</v>
          </cell>
          <cell r="CQ77">
            <v>185.005393743258</v>
          </cell>
          <cell r="CR77">
            <v>196</v>
          </cell>
          <cell r="CS77">
            <v>2306</v>
          </cell>
          <cell r="CT77">
            <v>196</v>
          </cell>
          <cell r="CU77">
            <v>11.76530612244898</v>
          </cell>
          <cell r="CV77">
            <v>11</v>
          </cell>
          <cell r="CW77">
            <v>0</v>
          </cell>
          <cell r="CX77">
            <v>232000</v>
          </cell>
          <cell r="CY77">
            <v>0</v>
          </cell>
          <cell r="CZ77">
            <v>481000</v>
          </cell>
          <cell r="DA77">
            <v>12632</v>
          </cell>
          <cell r="DB77">
            <v>38.077897403419882</v>
          </cell>
          <cell r="DC77">
            <v>760000</v>
          </cell>
          <cell r="DD77">
            <v>12632</v>
          </cell>
          <cell r="DE77">
            <v>60.164661177960731</v>
          </cell>
          <cell r="DF77">
            <v>2342000</v>
          </cell>
          <cell r="DG77">
            <v>12632</v>
          </cell>
          <cell r="DH77">
            <v>185.40215326155794</v>
          </cell>
          <cell r="DI77">
            <v>5021.2</v>
          </cell>
          <cell r="DJ77">
            <v>2.5157332908468097</v>
          </cell>
          <cell r="DK77">
            <v>-1.2023809523809523E-2</v>
          </cell>
          <cell r="DL77">
            <v>7.83</v>
          </cell>
          <cell r="DM77">
            <v>1.49</v>
          </cell>
        </row>
        <row r="78">
          <cell r="B78" t="str">
            <v>Gunning Shire Council</v>
          </cell>
          <cell r="C78">
            <v>9</v>
          </cell>
          <cell r="D78">
            <v>187000</v>
          </cell>
          <cell r="E78">
            <v>626</v>
          </cell>
          <cell r="F78">
            <v>298.72204472843453</v>
          </cell>
          <cell r="G78">
            <v>793000</v>
          </cell>
          <cell r="H78">
            <v>921</v>
          </cell>
          <cell r="I78">
            <v>861.0206297502715</v>
          </cell>
          <cell r="J78">
            <v>20000</v>
          </cell>
          <cell r="K78">
            <v>62</v>
          </cell>
          <cell r="L78">
            <v>322.58064516129031</v>
          </cell>
          <cell r="M78">
            <v>70000</v>
          </cell>
          <cell r="N78">
            <v>1658000</v>
          </cell>
          <cell r="O78">
            <v>4.2219541616405308E-2</v>
          </cell>
          <cell r="P78">
            <v>74000</v>
          </cell>
          <cell r="Q78">
            <v>1170000</v>
          </cell>
          <cell r="R78">
            <v>6.3247863247863245E-2</v>
          </cell>
          <cell r="S78">
            <v>183000</v>
          </cell>
          <cell r="T78">
            <v>231000</v>
          </cell>
          <cell r="U78">
            <v>0.79220779220779225</v>
          </cell>
          <cell r="V78">
            <v>1244000</v>
          </cell>
          <cell r="W78">
            <v>4668000</v>
          </cell>
          <cell r="X78">
            <v>0.26649528706083975</v>
          </cell>
          <cell r="Y78">
            <v>414000</v>
          </cell>
          <cell r="Z78">
            <v>4668000</v>
          </cell>
          <cell r="AA78">
            <v>8.8688946015424167E-2</v>
          </cell>
          <cell r="AB78">
            <v>86000</v>
          </cell>
          <cell r="AC78">
            <v>4668000</v>
          </cell>
          <cell r="AD78">
            <v>1.8423307626392459E-2</v>
          </cell>
          <cell r="AE78">
            <v>2044000</v>
          </cell>
          <cell r="AF78">
            <v>4668000</v>
          </cell>
          <cell r="AG78">
            <v>0.43787489288774634</v>
          </cell>
          <cell r="AH78">
            <v>829000</v>
          </cell>
          <cell r="AI78">
            <v>4668000</v>
          </cell>
          <cell r="AJ78">
            <v>0.17759211653813195</v>
          </cell>
          <cell r="AK78">
            <v>51000</v>
          </cell>
          <cell r="AL78">
            <v>4668000</v>
          </cell>
          <cell r="AM78">
            <v>1.0925449871465296E-2</v>
          </cell>
          <cell r="AN78">
            <v>3610000</v>
          </cell>
          <cell r="AO78">
            <v>2308</v>
          </cell>
          <cell r="AP78">
            <v>1564.1247833622183</v>
          </cell>
          <cell r="AQ78">
            <v>1046000</v>
          </cell>
          <cell r="AR78">
            <v>3796000</v>
          </cell>
          <cell r="AS78">
            <v>0.27555321390937831</v>
          </cell>
          <cell r="AT78">
            <v>984000</v>
          </cell>
          <cell r="AU78">
            <v>3796000</v>
          </cell>
          <cell r="AV78">
            <v>0.25922023182297155</v>
          </cell>
          <cell r="AW78">
            <v>5000</v>
          </cell>
          <cell r="AX78">
            <v>3796000</v>
          </cell>
          <cell r="AY78">
            <v>1.3171759747102212E-3</v>
          </cell>
          <cell r="AZ78">
            <v>1075000</v>
          </cell>
          <cell r="BA78">
            <v>3796000</v>
          </cell>
          <cell r="BB78">
            <v>0.28319283456269756</v>
          </cell>
          <cell r="BC78">
            <v>686000</v>
          </cell>
          <cell r="BD78">
            <v>3796000</v>
          </cell>
          <cell r="BE78">
            <v>0.18071654373024237</v>
          </cell>
          <cell r="BF78">
            <v>3641000</v>
          </cell>
          <cell r="BG78">
            <v>2308</v>
          </cell>
          <cell r="BH78">
            <v>1577.5563258232235</v>
          </cell>
          <cell r="BI78">
            <v>1031000</v>
          </cell>
          <cell r="BJ78">
            <v>203000</v>
          </cell>
          <cell r="BK78">
            <v>5.0788177339901477</v>
          </cell>
          <cell r="BL78">
            <v>115000</v>
          </cell>
          <cell r="BM78">
            <v>2693000</v>
          </cell>
          <cell r="BN78">
            <v>4.2703304864463422E-2</v>
          </cell>
          <cell r="BO78">
            <v>13870000</v>
          </cell>
          <cell r="BP78">
            <v>1034000</v>
          </cell>
          <cell r="BQ78">
            <v>13.413926499032883</v>
          </cell>
          <cell r="BR78">
            <v>34</v>
          </cell>
          <cell r="BS78" t="str">
            <v>On Time</v>
          </cell>
          <cell r="BT78" t="str">
            <v>On Time</v>
          </cell>
          <cell r="BU78" t="str">
            <v>On Time</v>
          </cell>
          <cell r="BV78">
            <v>64000</v>
          </cell>
          <cell r="BW78">
            <v>2308</v>
          </cell>
          <cell r="BX78">
            <v>27.729636048526864</v>
          </cell>
          <cell r="BY78">
            <v>9250</v>
          </cell>
          <cell r="BZ78">
            <v>2308</v>
          </cell>
          <cell r="CA78">
            <v>4.0077989601386479</v>
          </cell>
          <cell r="CB78">
            <v>48000</v>
          </cell>
          <cell r="CC78">
            <v>299</v>
          </cell>
          <cell r="CD78">
            <v>160.53511705685619</v>
          </cell>
          <cell r="CE78">
            <v>75000</v>
          </cell>
          <cell r="CF78">
            <v>275</v>
          </cell>
          <cell r="CG78">
            <v>272.72727272727275</v>
          </cell>
          <cell r="CH78">
            <v>34000</v>
          </cell>
          <cell r="CI78">
            <v>2308</v>
          </cell>
          <cell r="CJ78">
            <v>14.731369150779896</v>
          </cell>
          <cell r="CK78">
            <v>389000</v>
          </cell>
          <cell r="CL78">
            <v>2308</v>
          </cell>
          <cell r="CM78">
            <v>168.54419410745234</v>
          </cell>
          <cell r="CN78">
            <v>363.579917535775</v>
          </cell>
          <cell r="CO78">
            <v>198.49624060150401</v>
          </cell>
          <cell r="CP78">
            <v>480.355819125278</v>
          </cell>
          <cell r="CQ78">
            <v>393.59267734553799</v>
          </cell>
          <cell r="CR78">
            <v>61</v>
          </cell>
          <cell r="CS78">
            <v>1973</v>
          </cell>
          <cell r="CT78">
            <v>61</v>
          </cell>
          <cell r="CU78">
            <v>32.344262295081968</v>
          </cell>
          <cell r="CV78">
            <v>20</v>
          </cell>
          <cell r="CW78">
            <v>0</v>
          </cell>
          <cell r="CX78">
            <v>167000</v>
          </cell>
          <cell r="CY78">
            <v>0</v>
          </cell>
          <cell r="CZ78">
            <v>205000</v>
          </cell>
          <cell r="DA78">
            <v>2308</v>
          </cell>
          <cell r="DB78">
            <v>88.821490467937608</v>
          </cell>
          <cell r="DC78">
            <v>75000</v>
          </cell>
          <cell r="DD78">
            <v>2308</v>
          </cell>
          <cell r="DE78">
            <v>32.495667244367418</v>
          </cell>
          <cell r="DF78">
            <v>9000</v>
          </cell>
          <cell r="DG78">
            <v>2308</v>
          </cell>
          <cell r="DH78">
            <v>3.8994800693240901</v>
          </cell>
          <cell r="DI78">
            <v>2210</v>
          </cell>
          <cell r="DJ78">
            <v>1.044343891402715</v>
          </cell>
          <cell r="DK78">
            <v>-2.735042735042735E-3</v>
          </cell>
          <cell r="DL78">
            <v>1.37</v>
          </cell>
          <cell r="DM78">
            <v>2.5299999999999998</v>
          </cell>
        </row>
        <row r="79">
          <cell r="B79" t="str">
            <v>Guyra Shire Council</v>
          </cell>
          <cell r="C79">
            <v>9</v>
          </cell>
          <cell r="D79">
            <v>298000</v>
          </cell>
          <cell r="E79">
            <v>1256</v>
          </cell>
          <cell r="F79">
            <v>237.26114649681529</v>
          </cell>
          <cell r="G79">
            <v>1061000</v>
          </cell>
          <cell r="H79">
            <v>848</v>
          </cell>
          <cell r="I79">
            <v>1251.1792452830189</v>
          </cell>
          <cell r="J79">
            <v>47000</v>
          </cell>
          <cell r="K79">
            <v>147</v>
          </cell>
          <cell r="L79">
            <v>319.72789115646259</v>
          </cell>
          <cell r="M79">
            <v>313000</v>
          </cell>
          <cell r="N79">
            <v>2653000</v>
          </cell>
          <cell r="O79">
            <v>0.11797964568413118</v>
          </cell>
          <cell r="P79">
            <v>110000</v>
          </cell>
          <cell r="Q79">
            <v>2092000</v>
          </cell>
          <cell r="R79">
            <v>5.2581261950286805E-2</v>
          </cell>
          <cell r="S79">
            <v>-10000</v>
          </cell>
          <cell r="T79">
            <v>461000</v>
          </cell>
          <cell r="U79">
            <v>-2.1691973969631236E-2</v>
          </cell>
          <cell r="V79">
            <v>2202000</v>
          </cell>
          <cell r="W79">
            <v>6933000</v>
          </cell>
          <cell r="X79">
            <v>0.31761142362613587</v>
          </cell>
          <cell r="Y79">
            <v>451000</v>
          </cell>
          <cell r="Z79">
            <v>6933000</v>
          </cell>
          <cell r="AA79">
            <v>6.50512043848262E-2</v>
          </cell>
          <cell r="AB79">
            <v>261000</v>
          </cell>
          <cell r="AC79">
            <v>6933000</v>
          </cell>
          <cell r="AD79">
            <v>3.7646040675032452E-2</v>
          </cell>
          <cell r="AE79">
            <v>3061000</v>
          </cell>
          <cell r="AF79">
            <v>6933000</v>
          </cell>
          <cell r="AG79">
            <v>0.44151161113515075</v>
          </cell>
          <cell r="AH79">
            <v>602000</v>
          </cell>
          <cell r="AI79">
            <v>6933000</v>
          </cell>
          <cell r="AJ79">
            <v>8.6831097648925423E-2</v>
          </cell>
          <cell r="AK79">
            <v>356000</v>
          </cell>
          <cell r="AL79">
            <v>6933000</v>
          </cell>
          <cell r="AM79">
            <v>5.1348622529929326E-2</v>
          </cell>
          <cell r="AN79">
            <v>5814000</v>
          </cell>
          <cell r="AO79">
            <v>4446</v>
          </cell>
          <cell r="AP79">
            <v>1307.6923076923076</v>
          </cell>
          <cell r="AQ79">
            <v>2206000</v>
          </cell>
          <cell r="AR79">
            <v>8182000</v>
          </cell>
          <cell r="AS79">
            <v>0.26961623075042779</v>
          </cell>
          <cell r="AT79">
            <v>1856000</v>
          </cell>
          <cell r="AU79">
            <v>8182000</v>
          </cell>
          <cell r="AV79">
            <v>0.22683940356880958</v>
          </cell>
          <cell r="AW79">
            <v>135000</v>
          </cell>
          <cell r="AX79">
            <v>8182000</v>
          </cell>
          <cell r="AY79">
            <v>1.6499633341481301E-2</v>
          </cell>
          <cell r="AZ79">
            <v>2879000</v>
          </cell>
          <cell r="BA79">
            <v>8182000</v>
          </cell>
          <cell r="BB79">
            <v>0.35186995844536789</v>
          </cell>
          <cell r="BC79">
            <v>1106000</v>
          </cell>
          <cell r="BD79">
            <v>8182000</v>
          </cell>
          <cell r="BE79">
            <v>0.13517477389391347</v>
          </cell>
          <cell r="BF79">
            <v>7375000</v>
          </cell>
          <cell r="BG79">
            <v>4446</v>
          </cell>
          <cell r="BH79">
            <v>1658.7944219523167</v>
          </cell>
          <cell r="BI79">
            <v>3438000</v>
          </cell>
          <cell r="BJ79">
            <v>493000</v>
          </cell>
          <cell r="BK79">
            <v>6.9736308316430025</v>
          </cell>
          <cell r="BL79">
            <v>254000</v>
          </cell>
          <cell r="BM79">
            <v>4872000</v>
          </cell>
          <cell r="BN79">
            <v>5.2134646962233168E-2</v>
          </cell>
          <cell r="BO79">
            <v>108000</v>
          </cell>
          <cell r="BP79">
            <v>2599000</v>
          </cell>
          <cell r="BQ79">
            <v>4.1554444016929586E-2</v>
          </cell>
          <cell r="BR79">
            <v>49</v>
          </cell>
          <cell r="BS79" t="str">
            <v>On Time</v>
          </cell>
          <cell r="BT79" t="str">
            <v>Not Received</v>
          </cell>
          <cell r="BU79" t="str">
            <v>On Time</v>
          </cell>
          <cell r="BV79">
            <v>94000</v>
          </cell>
          <cell r="BW79">
            <v>4446</v>
          </cell>
          <cell r="BX79">
            <v>21.142600089968511</v>
          </cell>
          <cell r="BY79">
            <v>13450</v>
          </cell>
          <cell r="BZ79">
            <v>4446</v>
          </cell>
          <cell r="CA79">
            <v>3.0251911830859197</v>
          </cell>
          <cell r="CB79">
            <v>210000</v>
          </cell>
          <cell r="CC79">
            <v>1183</v>
          </cell>
          <cell r="CD79">
            <v>177.51479289940829</v>
          </cell>
          <cell r="CE79">
            <v>88132</v>
          </cell>
          <cell r="CF79">
            <v>1183</v>
          </cell>
          <cell r="CG79">
            <v>74.498732037193577</v>
          </cell>
          <cell r="CH79">
            <v>554227</v>
          </cell>
          <cell r="CI79">
            <v>4446</v>
          </cell>
          <cell r="CJ79">
            <v>124.657444894287</v>
          </cell>
          <cell r="CK79">
            <v>470000</v>
          </cell>
          <cell r="CL79">
            <v>4446</v>
          </cell>
          <cell r="CM79">
            <v>105.71300044984255</v>
          </cell>
          <cell r="CN79">
            <v>363.45039584133798</v>
          </cell>
          <cell r="CO79">
            <v>347.90365744870599</v>
          </cell>
          <cell r="CP79">
            <v>449.22688647385002</v>
          </cell>
          <cell r="CQ79">
            <v>416.951469583049</v>
          </cell>
          <cell r="CR79">
            <v>16</v>
          </cell>
          <cell r="CS79">
            <v>463</v>
          </cell>
          <cell r="CT79">
            <v>16</v>
          </cell>
          <cell r="CU79">
            <v>28.9375</v>
          </cell>
          <cell r="CV79">
            <v>17</v>
          </cell>
          <cell r="CW79">
            <v>0</v>
          </cell>
          <cell r="CX79">
            <v>52000</v>
          </cell>
          <cell r="CY79">
            <v>0</v>
          </cell>
          <cell r="CZ79">
            <v>94000</v>
          </cell>
          <cell r="DA79">
            <v>4446</v>
          </cell>
          <cell r="DB79">
            <v>21.142600089968511</v>
          </cell>
          <cell r="DC79">
            <v>156000</v>
          </cell>
          <cell r="DD79">
            <v>4446</v>
          </cell>
          <cell r="DE79">
            <v>35.087719298245617</v>
          </cell>
          <cell r="DF79">
            <v>666000</v>
          </cell>
          <cell r="DG79">
            <v>4446</v>
          </cell>
          <cell r="DH79">
            <v>149.79757085020242</v>
          </cell>
          <cell r="DI79">
            <v>4407.6000000000004</v>
          </cell>
          <cell r="DJ79">
            <v>1.0087122243397766</v>
          </cell>
          <cell r="DK79">
            <v>-1.7786885245901638E-2</v>
          </cell>
          <cell r="DL79">
            <v>7.84</v>
          </cell>
          <cell r="DM79">
            <v>0.96</v>
          </cell>
        </row>
        <row r="80">
          <cell r="B80" t="str">
            <v>Harden Shire Council</v>
          </cell>
          <cell r="C80">
            <v>9</v>
          </cell>
          <cell r="D80">
            <v>309000</v>
          </cell>
          <cell r="E80">
            <v>1160</v>
          </cell>
          <cell r="F80">
            <v>266.37931034482756</v>
          </cell>
          <cell r="G80">
            <v>1235000</v>
          </cell>
          <cell r="H80">
            <v>890</v>
          </cell>
          <cell r="I80">
            <v>1387.6404494382023</v>
          </cell>
          <cell r="J80">
            <v>95000</v>
          </cell>
          <cell r="K80">
            <v>188</v>
          </cell>
          <cell r="L80">
            <v>505.31914893617022</v>
          </cell>
          <cell r="M80">
            <v>388000</v>
          </cell>
          <cell r="N80">
            <v>3957000</v>
          </cell>
          <cell r="O80">
            <v>9.8054081374778876E-2</v>
          </cell>
          <cell r="P80">
            <v>94000</v>
          </cell>
          <cell r="Q80">
            <v>2474000</v>
          </cell>
          <cell r="R80">
            <v>3.7995149555375911E-2</v>
          </cell>
          <cell r="S80">
            <v>-4000</v>
          </cell>
          <cell r="T80">
            <v>1393000</v>
          </cell>
          <cell r="U80">
            <v>-2.871500358937545E-3</v>
          </cell>
          <cell r="V80">
            <v>2568000</v>
          </cell>
          <cell r="W80">
            <v>8292000</v>
          </cell>
          <cell r="X80">
            <v>0.30969609261939218</v>
          </cell>
          <cell r="Y80">
            <v>1389000</v>
          </cell>
          <cell r="Z80">
            <v>8292000</v>
          </cell>
          <cell r="AA80">
            <v>0.16751085383502171</v>
          </cell>
          <cell r="AB80">
            <v>118000</v>
          </cell>
          <cell r="AC80">
            <v>8292000</v>
          </cell>
          <cell r="AD80">
            <v>1.4230583695127834E-2</v>
          </cell>
          <cell r="AE80">
            <v>3596000</v>
          </cell>
          <cell r="AF80">
            <v>8292000</v>
          </cell>
          <cell r="AG80">
            <v>0.43367100820067533</v>
          </cell>
          <cell r="AH80">
            <v>473000</v>
          </cell>
          <cell r="AI80">
            <v>8292000</v>
          </cell>
          <cell r="AJ80">
            <v>5.7042932947419196E-2</v>
          </cell>
          <cell r="AK80">
            <v>148000</v>
          </cell>
          <cell r="AL80">
            <v>8292000</v>
          </cell>
          <cell r="AM80">
            <v>1.7848528702363725E-2</v>
          </cell>
          <cell r="AN80">
            <v>7598000</v>
          </cell>
          <cell r="AO80">
            <v>3886</v>
          </cell>
          <cell r="AP80">
            <v>1955.2238805970148</v>
          </cell>
          <cell r="AQ80">
            <v>2595000</v>
          </cell>
          <cell r="AR80">
            <v>9231000</v>
          </cell>
          <cell r="AS80">
            <v>0.28111797205069872</v>
          </cell>
          <cell r="AT80">
            <v>3277000</v>
          </cell>
          <cell r="AU80">
            <v>9231000</v>
          </cell>
          <cell r="AV80">
            <v>0.35499945834687469</v>
          </cell>
          <cell r="AW80">
            <v>72000</v>
          </cell>
          <cell r="AX80">
            <v>9231000</v>
          </cell>
          <cell r="AY80">
            <v>7.7998050048748782E-3</v>
          </cell>
          <cell r="AZ80">
            <v>1761000</v>
          </cell>
          <cell r="BA80">
            <v>9231000</v>
          </cell>
          <cell r="BB80">
            <v>0.19077023074423138</v>
          </cell>
          <cell r="BC80">
            <v>1526000</v>
          </cell>
          <cell r="BD80">
            <v>9231000</v>
          </cell>
          <cell r="BE80">
            <v>0.16531253385332034</v>
          </cell>
          <cell r="BF80">
            <v>7630000</v>
          </cell>
          <cell r="BG80">
            <v>3886</v>
          </cell>
          <cell r="BH80">
            <v>1963.4585692228513</v>
          </cell>
          <cell r="BI80">
            <v>2309000</v>
          </cell>
          <cell r="BJ80">
            <v>1272000</v>
          </cell>
          <cell r="BK80">
            <v>1.8152515723270439</v>
          </cell>
          <cell r="BL80">
            <v>205000</v>
          </cell>
          <cell r="BM80">
            <v>5921000</v>
          </cell>
          <cell r="BN80">
            <v>3.4622529978044249E-2</v>
          </cell>
          <cell r="BO80">
            <v>-214140000</v>
          </cell>
          <cell r="BP80">
            <v>1393000</v>
          </cell>
          <cell r="BQ80">
            <v>-153.72577171572146</v>
          </cell>
          <cell r="BR80">
            <v>57</v>
          </cell>
          <cell r="BS80" t="str">
            <v>On Time</v>
          </cell>
          <cell r="BT80" t="str">
            <v>On Time</v>
          </cell>
          <cell r="BU80" t="str">
            <v>On Time</v>
          </cell>
          <cell r="BV80">
            <v>73000</v>
          </cell>
          <cell r="BW80">
            <v>3886</v>
          </cell>
          <cell r="BX80">
            <v>18.78538342768914</v>
          </cell>
          <cell r="BY80">
            <v>11322</v>
          </cell>
          <cell r="BZ80">
            <v>3886</v>
          </cell>
          <cell r="CA80">
            <v>2.9135357694287185</v>
          </cell>
          <cell r="CB80">
            <v>111000</v>
          </cell>
          <cell r="CC80">
            <v>887</v>
          </cell>
          <cell r="CD80">
            <v>125.14092446448703</v>
          </cell>
          <cell r="CE80">
            <v>127344</v>
          </cell>
          <cell r="CF80">
            <v>887</v>
          </cell>
          <cell r="CG80">
            <v>143.56708004509582</v>
          </cell>
          <cell r="CH80">
            <v>135000</v>
          </cell>
          <cell r="CI80">
            <v>3886</v>
          </cell>
          <cell r="CJ80">
            <v>34.740092640247042</v>
          </cell>
          <cell r="CK80">
            <v>565000</v>
          </cell>
          <cell r="CL80">
            <v>3886</v>
          </cell>
          <cell r="CM80">
            <v>145.39372104992279</v>
          </cell>
          <cell r="CN80">
            <v>516.65743305632498</v>
          </cell>
          <cell r="CO80">
            <v>591.33632122199901</v>
          </cell>
          <cell r="CP80">
            <v>232.30524115648299</v>
          </cell>
          <cell r="CQ80">
            <v>345.45068027210903</v>
          </cell>
          <cell r="CR80">
            <v>53</v>
          </cell>
          <cell r="CS80">
            <v>1042</v>
          </cell>
          <cell r="CT80">
            <v>53</v>
          </cell>
          <cell r="CU80">
            <v>19.660377358490567</v>
          </cell>
          <cell r="CV80">
            <v>10</v>
          </cell>
          <cell r="CW80">
            <v>0</v>
          </cell>
          <cell r="CX80">
            <v>53000</v>
          </cell>
          <cell r="CY80">
            <v>0</v>
          </cell>
          <cell r="CZ80">
            <v>131000</v>
          </cell>
          <cell r="DA80">
            <v>3886</v>
          </cell>
          <cell r="DB80">
            <v>33.710756562017501</v>
          </cell>
          <cell r="DC80">
            <v>288000</v>
          </cell>
          <cell r="DD80">
            <v>3886</v>
          </cell>
          <cell r="DE80">
            <v>74.112197632527014</v>
          </cell>
          <cell r="DF80">
            <v>4000</v>
          </cell>
          <cell r="DG80">
            <v>3886</v>
          </cell>
          <cell r="DH80">
            <v>1.029336078229542</v>
          </cell>
          <cell r="DI80">
            <v>1869</v>
          </cell>
          <cell r="DJ80">
            <v>2.0791867308721241</v>
          </cell>
          <cell r="DK80">
            <v>-1.4952380952380953E-2</v>
          </cell>
          <cell r="DL80">
            <v>2.27</v>
          </cell>
          <cell r="DM80">
            <v>2.19</v>
          </cell>
        </row>
        <row r="81">
          <cell r="B81" t="str">
            <v>Hastings Council</v>
          </cell>
          <cell r="C81">
            <v>4</v>
          </cell>
          <cell r="D81">
            <v>11269000</v>
          </cell>
          <cell r="E81">
            <v>26013</v>
          </cell>
          <cell r="F81">
            <v>433.20647368623378</v>
          </cell>
          <cell r="G81">
            <v>1345000</v>
          </cell>
          <cell r="H81">
            <v>1494</v>
          </cell>
          <cell r="I81">
            <v>900.26773761713525</v>
          </cell>
          <cell r="J81">
            <v>3559000</v>
          </cell>
          <cell r="K81">
            <v>1746</v>
          </cell>
          <cell r="L81">
            <v>2038.3734249713632</v>
          </cell>
          <cell r="M81">
            <v>3201000</v>
          </cell>
          <cell r="N81">
            <v>48351000</v>
          </cell>
          <cell r="O81">
            <v>6.6203387727244531E-2</v>
          </cell>
          <cell r="P81">
            <v>2591000</v>
          </cell>
          <cell r="Q81">
            <v>32914000</v>
          </cell>
          <cell r="R81">
            <v>7.872030139150514E-2</v>
          </cell>
          <cell r="S81">
            <v>1754000</v>
          </cell>
          <cell r="T81">
            <v>11092000</v>
          </cell>
          <cell r="U81">
            <v>0.15813198701767039</v>
          </cell>
          <cell r="V81">
            <v>35505000</v>
          </cell>
          <cell r="W81">
            <v>90166000</v>
          </cell>
          <cell r="X81">
            <v>0.39377370627509262</v>
          </cell>
          <cell r="Y81">
            <v>12846000</v>
          </cell>
          <cell r="Z81">
            <v>90166000</v>
          </cell>
          <cell r="AA81">
            <v>0.14247055431093761</v>
          </cell>
          <cell r="AB81">
            <v>3756000</v>
          </cell>
          <cell r="AC81">
            <v>90166000</v>
          </cell>
          <cell r="AD81">
            <v>4.1656500232903758E-2</v>
          </cell>
          <cell r="AE81">
            <v>16201000</v>
          </cell>
          <cell r="AF81">
            <v>90166000</v>
          </cell>
          <cell r="AG81">
            <v>0.17967970188319321</v>
          </cell>
          <cell r="AH81">
            <v>20643000</v>
          </cell>
          <cell r="AI81">
            <v>90166000</v>
          </cell>
          <cell r="AJ81">
            <v>0.22894439145575937</v>
          </cell>
          <cell r="AK81">
            <v>1215000</v>
          </cell>
          <cell r="AL81">
            <v>90166000</v>
          </cell>
          <cell r="AM81">
            <v>1.3475145842113435E-2</v>
          </cell>
          <cell r="AN81">
            <v>38320000</v>
          </cell>
          <cell r="AO81">
            <v>65481</v>
          </cell>
          <cell r="AP81">
            <v>585.20792290893542</v>
          </cell>
          <cell r="AQ81">
            <v>16932000</v>
          </cell>
          <cell r="AR81">
            <v>58751000</v>
          </cell>
          <cell r="AS81">
            <v>0.28819934979830131</v>
          </cell>
          <cell r="AT81">
            <v>19153000</v>
          </cell>
          <cell r="AU81">
            <v>58751000</v>
          </cell>
          <cell r="AV81">
            <v>0.32600296165171655</v>
          </cell>
          <cell r="AW81">
            <v>1953000</v>
          </cell>
          <cell r="AX81">
            <v>58751000</v>
          </cell>
          <cell r="AY81">
            <v>3.3241987370427738E-2</v>
          </cell>
          <cell r="AZ81">
            <v>17218000</v>
          </cell>
          <cell r="BA81">
            <v>58751000</v>
          </cell>
          <cell r="BB81">
            <v>0.29306735204507156</v>
          </cell>
          <cell r="BC81">
            <v>3495000</v>
          </cell>
          <cell r="BD81">
            <v>58751000</v>
          </cell>
          <cell r="BE81">
            <v>5.9488349134482817E-2</v>
          </cell>
          <cell r="BF81">
            <v>42001000</v>
          </cell>
          <cell r="BG81">
            <v>65481</v>
          </cell>
          <cell r="BH81">
            <v>641.42270276874206</v>
          </cell>
          <cell r="BI81">
            <v>10993000</v>
          </cell>
          <cell r="BJ81">
            <v>7955000</v>
          </cell>
          <cell r="BK81">
            <v>1.3818981772470145</v>
          </cell>
          <cell r="BL81">
            <v>5686000</v>
          </cell>
          <cell r="BM81">
            <v>59971000</v>
          </cell>
          <cell r="BN81">
            <v>9.4812492704807322E-2</v>
          </cell>
          <cell r="BO81">
            <v>16013000</v>
          </cell>
          <cell r="BP81">
            <v>11739000</v>
          </cell>
          <cell r="BQ81">
            <v>1.3640855268762246</v>
          </cell>
          <cell r="BR81">
            <v>391</v>
          </cell>
          <cell r="BS81" t="str">
            <v>On Time</v>
          </cell>
          <cell r="BT81" t="str">
            <v>&lt;=2</v>
          </cell>
          <cell r="BU81" t="str">
            <v>On Time</v>
          </cell>
          <cell r="BV81">
            <v>1712000</v>
          </cell>
          <cell r="BW81">
            <v>65481</v>
          </cell>
          <cell r="BX81">
            <v>26.144988622653898</v>
          </cell>
          <cell r="BY81">
            <v>704777</v>
          </cell>
          <cell r="BZ81">
            <v>65481</v>
          </cell>
          <cell r="CA81">
            <v>10.763076312212704</v>
          </cell>
          <cell r="CB81">
            <v>5266000</v>
          </cell>
          <cell r="CC81">
            <v>22820</v>
          </cell>
          <cell r="CD81">
            <v>230.76248904469765</v>
          </cell>
          <cell r="CE81">
            <v>2914244</v>
          </cell>
          <cell r="CF81">
            <v>22820</v>
          </cell>
          <cell r="CG81">
            <v>127.7056967572305</v>
          </cell>
          <cell r="CH81">
            <v>12961000</v>
          </cell>
          <cell r="CI81">
            <v>65481</v>
          </cell>
          <cell r="CJ81">
            <v>197.93527893587452</v>
          </cell>
          <cell r="CK81">
            <v>17700000</v>
          </cell>
          <cell r="CL81">
            <v>65481</v>
          </cell>
          <cell r="CM81">
            <v>270.30741741879325</v>
          </cell>
          <cell r="CN81">
            <v>357.60692756726797</v>
          </cell>
          <cell r="CO81">
            <v>341.24554413923198</v>
          </cell>
          <cell r="CP81">
            <v>452.36316869041298</v>
          </cell>
          <cell r="CQ81">
            <v>365.76735957540899</v>
          </cell>
          <cell r="CR81">
            <v>692</v>
          </cell>
          <cell r="CS81">
            <v>30062</v>
          </cell>
          <cell r="CT81">
            <v>692</v>
          </cell>
          <cell r="CU81">
            <v>43.442196531791907</v>
          </cell>
          <cell r="CV81">
            <v>32</v>
          </cell>
          <cell r="CW81">
            <v>45000</v>
          </cell>
          <cell r="CX81">
            <v>2694000</v>
          </cell>
          <cell r="CY81">
            <v>1.670378619153675E-2</v>
          </cell>
          <cell r="CZ81">
            <v>1356000</v>
          </cell>
          <cell r="DA81">
            <v>65481</v>
          </cell>
          <cell r="DB81">
            <v>20.708297063270262</v>
          </cell>
          <cell r="DC81">
            <v>3204000</v>
          </cell>
          <cell r="DD81">
            <v>65481</v>
          </cell>
          <cell r="DE81">
            <v>48.930224034452742</v>
          </cell>
          <cell r="DF81">
            <v>688000</v>
          </cell>
          <cell r="DG81">
            <v>65481</v>
          </cell>
          <cell r="DH81">
            <v>10.506864586673997</v>
          </cell>
          <cell r="DI81">
            <v>3687.4</v>
          </cell>
          <cell r="DJ81">
            <v>17.758040896024298</v>
          </cell>
          <cell r="DK81">
            <v>3.2037562012756912E-2</v>
          </cell>
          <cell r="DL81">
            <v>1.68</v>
          </cell>
          <cell r="DM81">
            <v>2.73</v>
          </cell>
        </row>
        <row r="82">
          <cell r="B82" t="str">
            <v>Hawkesbury City Council</v>
          </cell>
          <cell r="C82">
            <v>6</v>
          </cell>
          <cell r="D82">
            <v>13531000</v>
          </cell>
          <cell r="E82">
            <v>21209</v>
          </cell>
          <cell r="F82">
            <v>637.98387477014478</v>
          </cell>
          <cell r="G82">
            <v>1043000</v>
          </cell>
          <cell r="H82">
            <v>737</v>
          </cell>
          <cell r="I82">
            <v>1415.1967435549525</v>
          </cell>
          <cell r="J82">
            <v>1517000</v>
          </cell>
          <cell r="K82">
            <v>1314</v>
          </cell>
          <cell r="L82">
            <v>1154.490106544901</v>
          </cell>
          <cell r="M82">
            <v>979000</v>
          </cell>
          <cell r="N82">
            <v>32806000</v>
          </cell>
          <cell r="O82">
            <v>2.9842102054502224E-2</v>
          </cell>
          <cell r="P82">
            <v>1439000</v>
          </cell>
          <cell r="Q82">
            <v>24176000</v>
          </cell>
          <cell r="R82">
            <v>5.9521839841164791E-2</v>
          </cell>
          <cell r="S82">
            <v>279000</v>
          </cell>
          <cell r="T82">
            <v>6912000</v>
          </cell>
          <cell r="U82">
            <v>4.0364583333333336E-2</v>
          </cell>
          <cell r="V82">
            <v>25615000</v>
          </cell>
          <cell r="W82">
            <v>53602000</v>
          </cell>
          <cell r="X82">
            <v>0.47787395992686837</v>
          </cell>
          <cell r="Y82">
            <v>7191000</v>
          </cell>
          <cell r="Z82">
            <v>53602000</v>
          </cell>
          <cell r="AA82">
            <v>0.13415544196112086</v>
          </cell>
          <cell r="AB82">
            <v>1840000</v>
          </cell>
          <cell r="AC82">
            <v>53602000</v>
          </cell>
          <cell r="AD82">
            <v>3.4327077347860155E-2</v>
          </cell>
          <cell r="AE82">
            <v>14816000</v>
          </cell>
          <cell r="AF82">
            <v>53602000</v>
          </cell>
          <cell r="AG82">
            <v>0.27640759673146525</v>
          </cell>
          <cell r="AH82">
            <v>1994000</v>
          </cell>
          <cell r="AI82">
            <v>53602000</v>
          </cell>
          <cell r="AJ82">
            <v>3.720010447371367E-2</v>
          </cell>
          <cell r="AK82">
            <v>2146000</v>
          </cell>
          <cell r="AL82">
            <v>53602000</v>
          </cell>
          <cell r="AM82">
            <v>4.0035819558971682E-2</v>
          </cell>
          <cell r="AN82">
            <v>49154000</v>
          </cell>
          <cell r="AO82">
            <v>63548</v>
          </cell>
          <cell r="AP82">
            <v>773.49405174041669</v>
          </cell>
          <cell r="AQ82">
            <v>16247000</v>
          </cell>
          <cell r="AR82">
            <v>48589000</v>
          </cell>
          <cell r="AS82">
            <v>0.33437609335446294</v>
          </cell>
          <cell r="AT82">
            <v>17374000</v>
          </cell>
          <cell r="AU82">
            <v>48589000</v>
          </cell>
          <cell r="AV82">
            <v>0.35757064356129986</v>
          </cell>
          <cell r="AW82">
            <v>309000</v>
          </cell>
          <cell r="AX82">
            <v>48589000</v>
          </cell>
          <cell r="AY82">
            <v>6.3594640762312457E-3</v>
          </cell>
          <cell r="AZ82">
            <v>5693000</v>
          </cell>
          <cell r="BA82">
            <v>48589000</v>
          </cell>
          <cell r="BB82">
            <v>0.11716643684784622</v>
          </cell>
          <cell r="BC82">
            <v>8966000</v>
          </cell>
          <cell r="BD82">
            <v>48589000</v>
          </cell>
          <cell r="BE82">
            <v>0.18452736216015972</v>
          </cell>
          <cell r="BF82">
            <v>45428000</v>
          </cell>
          <cell r="BG82">
            <v>63548</v>
          </cell>
          <cell r="BH82">
            <v>714.86120727638945</v>
          </cell>
          <cell r="BI82">
            <v>17628000</v>
          </cell>
          <cell r="BJ82">
            <v>9127000</v>
          </cell>
          <cell r="BK82">
            <v>1.9314122931960118</v>
          </cell>
          <cell r="BL82">
            <v>548000</v>
          </cell>
          <cell r="BM82">
            <v>41213000</v>
          </cell>
          <cell r="BN82">
            <v>1.3296775289350448E-2</v>
          </cell>
          <cell r="BO82">
            <v>10287000</v>
          </cell>
          <cell r="BP82">
            <v>5056000</v>
          </cell>
          <cell r="BQ82">
            <v>2.034612341772152</v>
          </cell>
          <cell r="BR82">
            <v>324</v>
          </cell>
          <cell r="BS82" t="str">
            <v>On Time</v>
          </cell>
          <cell r="BT82" t="str">
            <v>On Time</v>
          </cell>
          <cell r="BU82" t="str">
            <v>&lt;=2</v>
          </cell>
          <cell r="BV82">
            <v>1635000</v>
          </cell>
          <cell r="BW82">
            <v>63548</v>
          </cell>
          <cell r="BX82">
            <v>25.728583118272802</v>
          </cell>
          <cell r="BY82">
            <v>276236</v>
          </cell>
          <cell r="BZ82">
            <v>63548</v>
          </cell>
          <cell r="CA82">
            <v>4.3468873922074653</v>
          </cell>
          <cell r="CB82">
            <v>4826000</v>
          </cell>
          <cell r="CC82">
            <v>20136</v>
          </cell>
          <cell r="CD82">
            <v>239.67024235200637</v>
          </cell>
          <cell r="CE82">
            <v>1682000</v>
          </cell>
          <cell r="CF82">
            <v>19939</v>
          </cell>
          <cell r="CG82">
            <v>84.35728973368775</v>
          </cell>
          <cell r="CH82">
            <v>5417750</v>
          </cell>
          <cell r="CI82">
            <v>63548</v>
          </cell>
          <cell r="CJ82">
            <v>85.254453326619242</v>
          </cell>
          <cell r="CK82">
            <v>13450000</v>
          </cell>
          <cell r="CL82">
            <v>63548</v>
          </cell>
          <cell r="CM82">
            <v>211.65103543777931</v>
          </cell>
          <cell r="CN82" t="str">
            <v>N/A</v>
          </cell>
          <cell r="CO82" t="str">
            <v>N/A</v>
          </cell>
          <cell r="CP82">
            <v>329</v>
          </cell>
          <cell r="CQ82">
            <v>442.40177909562601</v>
          </cell>
          <cell r="CR82">
            <v>1549</v>
          </cell>
          <cell r="CS82">
            <v>90903</v>
          </cell>
          <cell r="CT82">
            <v>1549</v>
          </cell>
          <cell r="CU82">
            <v>58.684958037443515</v>
          </cell>
          <cell r="CV82">
            <v>36</v>
          </cell>
          <cell r="CW82">
            <v>233000</v>
          </cell>
          <cell r="CX82">
            <v>1916000</v>
          </cell>
          <cell r="CY82">
            <v>0.12160751565762004</v>
          </cell>
          <cell r="CZ82">
            <v>966000</v>
          </cell>
          <cell r="DA82">
            <v>63548</v>
          </cell>
          <cell r="DB82">
            <v>15.20110782400705</v>
          </cell>
          <cell r="DC82">
            <v>1949000</v>
          </cell>
          <cell r="DD82">
            <v>63548</v>
          </cell>
          <cell r="DE82">
            <v>30.669729967898281</v>
          </cell>
          <cell r="DF82">
            <v>5606000</v>
          </cell>
          <cell r="DG82">
            <v>63548</v>
          </cell>
          <cell r="DH82">
            <v>88.216781015924965</v>
          </cell>
          <cell r="DI82">
            <v>2775.7</v>
          </cell>
          <cell r="DJ82">
            <v>22.894405014951186</v>
          </cell>
          <cell r="DK82">
            <v>2.1228894691035682E-2</v>
          </cell>
          <cell r="DL82">
            <v>1.35</v>
          </cell>
          <cell r="DM82">
            <v>6.37</v>
          </cell>
        </row>
        <row r="83">
          <cell r="B83" t="str">
            <v>Hay Shire Council</v>
          </cell>
          <cell r="C83">
            <v>9</v>
          </cell>
          <cell r="D83">
            <v>308000</v>
          </cell>
          <cell r="E83">
            <v>1235</v>
          </cell>
          <cell r="F83">
            <v>249.39271255060729</v>
          </cell>
          <cell r="G83">
            <v>927000</v>
          </cell>
          <cell r="H83">
            <v>390</v>
          </cell>
          <cell r="I83">
            <v>2376.9230769230771</v>
          </cell>
          <cell r="J83">
            <v>166000</v>
          </cell>
          <cell r="K83">
            <v>202</v>
          </cell>
          <cell r="L83">
            <v>821.78217821782175</v>
          </cell>
          <cell r="M83">
            <v>338000</v>
          </cell>
          <cell r="N83">
            <v>2923000</v>
          </cell>
          <cell r="O83">
            <v>0.11563462196373589</v>
          </cell>
          <cell r="P83">
            <v>37000</v>
          </cell>
          <cell r="Q83">
            <v>2331000</v>
          </cell>
          <cell r="R83">
            <v>1.5873015873015872E-2</v>
          </cell>
          <cell r="S83">
            <v>76000</v>
          </cell>
          <cell r="T83">
            <v>479000</v>
          </cell>
          <cell r="U83">
            <v>0.15866388308977036</v>
          </cell>
          <cell r="V83">
            <v>2368000</v>
          </cell>
          <cell r="W83">
            <v>6408000</v>
          </cell>
          <cell r="X83">
            <v>0.36953807740324596</v>
          </cell>
          <cell r="Y83">
            <v>555000</v>
          </cell>
          <cell r="Z83">
            <v>6408000</v>
          </cell>
          <cell r="AA83">
            <v>8.6610486891385771E-2</v>
          </cell>
          <cell r="AB83">
            <v>268000</v>
          </cell>
          <cell r="AC83">
            <v>6408000</v>
          </cell>
          <cell r="AD83">
            <v>4.1822721598002495E-2</v>
          </cell>
          <cell r="AE83">
            <v>2564000</v>
          </cell>
          <cell r="AF83">
            <v>6408000</v>
          </cell>
          <cell r="AG83">
            <v>0.40012484394506864</v>
          </cell>
          <cell r="AH83">
            <v>649000</v>
          </cell>
          <cell r="AI83">
            <v>6408000</v>
          </cell>
          <cell r="AJ83">
            <v>0.10127965043695381</v>
          </cell>
          <cell r="AK83">
            <v>4000</v>
          </cell>
          <cell r="AL83">
            <v>6408000</v>
          </cell>
          <cell r="AM83">
            <v>6.2421972534332086E-4</v>
          </cell>
          <cell r="AN83">
            <v>4542000</v>
          </cell>
          <cell r="AO83">
            <v>3571</v>
          </cell>
          <cell r="AP83">
            <v>1271.9126295155418</v>
          </cell>
          <cell r="AQ83">
            <v>1940000</v>
          </cell>
          <cell r="AR83">
            <v>6226000</v>
          </cell>
          <cell r="AS83">
            <v>0.31159653067780274</v>
          </cell>
          <cell r="AT83">
            <v>1942000</v>
          </cell>
          <cell r="AU83">
            <v>6226000</v>
          </cell>
          <cell r="AV83">
            <v>0.311917764214584</v>
          </cell>
          <cell r="AW83">
            <v>1000</v>
          </cell>
          <cell r="AX83">
            <v>6226000</v>
          </cell>
          <cell r="AY83">
            <v>1.6061676839061999E-4</v>
          </cell>
          <cell r="AZ83">
            <v>1767000</v>
          </cell>
          <cell r="BA83">
            <v>6226000</v>
          </cell>
          <cell r="BB83">
            <v>0.28380982974622548</v>
          </cell>
          <cell r="BC83">
            <v>576000</v>
          </cell>
          <cell r="BD83">
            <v>6226000</v>
          </cell>
          <cell r="BE83">
            <v>9.2515258592997113E-2</v>
          </cell>
          <cell r="BF83">
            <v>5113000</v>
          </cell>
          <cell r="BG83">
            <v>3571</v>
          </cell>
          <cell r="BH83">
            <v>1431.8118174180902</v>
          </cell>
          <cell r="BI83">
            <v>3459000</v>
          </cell>
          <cell r="BJ83">
            <v>662000</v>
          </cell>
          <cell r="BK83">
            <v>5.2250755287009065</v>
          </cell>
          <cell r="BL83">
            <v>6000</v>
          </cell>
          <cell r="BM83">
            <v>4678000</v>
          </cell>
          <cell r="BN83">
            <v>1.2825994014536127E-3</v>
          </cell>
          <cell r="BO83">
            <v>992000</v>
          </cell>
          <cell r="BP83">
            <v>1457000</v>
          </cell>
          <cell r="BQ83">
            <v>0.68085106382978722</v>
          </cell>
          <cell r="BR83">
            <v>47</v>
          </cell>
          <cell r="BS83" t="str">
            <v>On Time</v>
          </cell>
          <cell r="BT83" t="str">
            <v>Not Received</v>
          </cell>
          <cell r="BU83" t="str">
            <v>On Time</v>
          </cell>
          <cell r="BV83">
            <v>91000</v>
          </cell>
          <cell r="BW83">
            <v>3571</v>
          </cell>
          <cell r="BX83">
            <v>25.483057966956036</v>
          </cell>
          <cell r="BY83">
            <v>24041</v>
          </cell>
          <cell r="BZ83">
            <v>3571</v>
          </cell>
          <cell r="CA83">
            <v>6.7322878745449453</v>
          </cell>
          <cell r="CB83">
            <v>90000</v>
          </cell>
          <cell r="CC83">
            <v>1064</v>
          </cell>
          <cell r="CD83">
            <v>84.58646616541354</v>
          </cell>
          <cell r="CE83">
            <v>61597</v>
          </cell>
          <cell r="CF83">
            <v>1064</v>
          </cell>
          <cell r="CG83">
            <v>57.891917293233085</v>
          </cell>
          <cell r="CH83">
            <v>0</v>
          </cell>
          <cell r="CI83">
            <v>3571</v>
          </cell>
          <cell r="CJ83" t="str">
            <v>N/A</v>
          </cell>
          <cell r="CK83">
            <v>1200000</v>
          </cell>
          <cell r="CL83">
            <v>3571</v>
          </cell>
          <cell r="CM83">
            <v>336.04032483898067</v>
          </cell>
          <cell r="CN83">
            <v>329.39091915836099</v>
          </cell>
          <cell r="CO83">
            <v>439.80382850814698</v>
          </cell>
          <cell r="CP83">
            <v>354</v>
          </cell>
          <cell r="CQ83">
            <v>460</v>
          </cell>
          <cell r="CR83">
            <v>74</v>
          </cell>
          <cell r="CS83">
            <v>3700</v>
          </cell>
          <cell r="CT83">
            <v>74</v>
          </cell>
          <cell r="CU83">
            <v>50</v>
          </cell>
          <cell r="CV83">
            <v>45</v>
          </cell>
          <cell r="CW83">
            <v>0</v>
          </cell>
          <cell r="CX83">
            <v>71000</v>
          </cell>
          <cell r="CY83">
            <v>0</v>
          </cell>
          <cell r="CZ83">
            <v>157000</v>
          </cell>
          <cell r="DA83">
            <v>3571</v>
          </cell>
          <cell r="DB83">
            <v>43.965275833099973</v>
          </cell>
          <cell r="DC83">
            <v>492000</v>
          </cell>
          <cell r="DD83">
            <v>3571</v>
          </cell>
          <cell r="DE83">
            <v>137.77653318398208</v>
          </cell>
          <cell r="DF83">
            <v>302000</v>
          </cell>
          <cell r="DG83">
            <v>3571</v>
          </cell>
          <cell r="DH83">
            <v>84.570148417810131</v>
          </cell>
          <cell r="DI83">
            <v>11328.3</v>
          </cell>
          <cell r="DJ83">
            <v>0.31522823371556191</v>
          </cell>
          <cell r="DK83">
            <v>-1.5927835051546393E-2</v>
          </cell>
          <cell r="DL83">
            <v>2.79</v>
          </cell>
          <cell r="DM83">
            <v>2.36</v>
          </cell>
        </row>
        <row r="84">
          <cell r="B84" t="str">
            <v>Holbrook Shire Council</v>
          </cell>
          <cell r="C84">
            <v>9</v>
          </cell>
          <cell r="D84">
            <v>222000</v>
          </cell>
          <cell r="E84">
            <v>707</v>
          </cell>
          <cell r="F84">
            <v>314.00282885431398</v>
          </cell>
          <cell r="G84">
            <v>1029000</v>
          </cell>
          <cell r="H84">
            <v>786</v>
          </cell>
          <cell r="I84">
            <v>1309.1603053435115</v>
          </cell>
          <cell r="J84">
            <v>74000</v>
          </cell>
          <cell r="K84">
            <v>158</v>
          </cell>
          <cell r="L84">
            <v>468.35443037974682</v>
          </cell>
          <cell r="M84">
            <v>113000</v>
          </cell>
          <cell r="N84">
            <v>2190000</v>
          </cell>
          <cell r="O84">
            <v>5.1598173515981734E-2</v>
          </cell>
          <cell r="P84">
            <v>83000</v>
          </cell>
          <cell r="Q84">
            <v>1584000</v>
          </cell>
          <cell r="R84">
            <v>5.2398989898989896E-2</v>
          </cell>
          <cell r="S84">
            <v>81000</v>
          </cell>
          <cell r="T84">
            <v>442000</v>
          </cell>
          <cell r="U84">
            <v>0.18325791855203619</v>
          </cell>
          <cell r="V84">
            <v>1667000</v>
          </cell>
          <cell r="W84">
            <v>5407000</v>
          </cell>
          <cell r="X84">
            <v>0.30830405030516</v>
          </cell>
          <cell r="Y84">
            <v>523000</v>
          </cell>
          <cell r="Z84">
            <v>5407000</v>
          </cell>
          <cell r="AA84">
            <v>9.6726465692620681E-2</v>
          </cell>
          <cell r="AB84">
            <v>80000</v>
          </cell>
          <cell r="AC84">
            <v>5407000</v>
          </cell>
          <cell r="AD84">
            <v>1.4795635287590161E-2</v>
          </cell>
          <cell r="AE84">
            <v>2551000</v>
          </cell>
          <cell r="AF84">
            <v>5407000</v>
          </cell>
          <cell r="AG84">
            <v>0.47179582023303124</v>
          </cell>
          <cell r="AH84">
            <v>525000</v>
          </cell>
          <cell r="AI84">
            <v>5407000</v>
          </cell>
          <cell r="AJ84">
            <v>9.709635657481043E-2</v>
          </cell>
          <cell r="AK84">
            <v>61000</v>
          </cell>
          <cell r="AL84">
            <v>5407000</v>
          </cell>
          <cell r="AM84">
            <v>1.1281671906787498E-2</v>
          </cell>
          <cell r="AN84">
            <v>4074000</v>
          </cell>
          <cell r="AO84">
            <v>2513</v>
          </cell>
          <cell r="AP84">
            <v>1621.1699164345405</v>
          </cell>
          <cell r="AQ84">
            <v>2034000</v>
          </cell>
          <cell r="AR84">
            <v>4598000</v>
          </cell>
          <cell r="AS84">
            <v>0.44236624619399739</v>
          </cell>
          <cell r="AT84">
            <v>1065000</v>
          </cell>
          <cell r="AU84">
            <v>4598000</v>
          </cell>
          <cell r="AV84">
            <v>0.23162244454110484</v>
          </cell>
          <cell r="AW84">
            <v>98000</v>
          </cell>
          <cell r="AX84">
            <v>4598000</v>
          </cell>
          <cell r="AY84">
            <v>2.1313614615050023E-2</v>
          </cell>
          <cell r="AZ84">
            <v>996000</v>
          </cell>
          <cell r="BA84">
            <v>4598000</v>
          </cell>
          <cell r="BB84">
            <v>0.21661591996520227</v>
          </cell>
          <cell r="BC84">
            <v>405000</v>
          </cell>
          <cell r="BD84">
            <v>4598000</v>
          </cell>
          <cell r="BE84">
            <v>8.8081774684645495E-2</v>
          </cell>
          <cell r="BF84">
            <v>4340000</v>
          </cell>
          <cell r="BG84">
            <v>2513</v>
          </cell>
          <cell r="BH84">
            <v>1727.0194986072424</v>
          </cell>
          <cell r="BI84">
            <v>1447000</v>
          </cell>
          <cell r="BJ84">
            <v>795000</v>
          </cell>
          <cell r="BK84">
            <v>1.8201257861635221</v>
          </cell>
          <cell r="BL84">
            <v>170000</v>
          </cell>
          <cell r="BM84">
            <v>2919000</v>
          </cell>
          <cell r="BN84">
            <v>5.8239122987324428E-2</v>
          </cell>
          <cell r="BO84">
            <v>708000</v>
          </cell>
          <cell r="BP84">
            <v>921000</v>
          </cell>
          <cell r="BQ84">
            <v>0.76872964169381108</v>
          </cell>
          <cell r="BR84">
            <v>57</v>
          </cell>
          <cell r="BS84" t="str">
            <v>On Time</v>
          </cell>
          <cell r="BT84" t="str">
            <v>On Time</v>
          </cell>
          <cell r="BU84" t="str">
            <v>On Time</v>
          </cell>
          <cell r="BV84">
            <v>79000</v>
          </cell>
          <cell r="BW84">
            <v>2513</v>
          </cell>
          <cell r="BX84">
            <v>31.436530043772382</v>
          </cell>
          <cell r="BY84">
            <v>21282</v>
          </cell>
          <cell r="BZ84">
            <v>2513</v>
          </cell>
          <cell r="CA84">
            <v>8.4687624353362523</v>
          </cell>
          <cell r="CB84">
            <v>90000</v>
          </cell>
          <cell r="CC84">
            <v>691</v>
          </cell>
          <cell r="CD84">
            <v>130.24602026049203</v>
          </cell>
          <cell r="CE84">
            <v>37000</v>
          </cell>
          <cell r="CF84">
            <v>600</v>
          </cell>
          <cell r="CG84">
            <v>61.666666666666664</v>
          </cell>
          <cell r="CH84">
            <v>0</v>
          </cell>
          <cell r="CI84">
            <v>2513</v>
          </cell>
          <cell r="CJ84" t="str">
            <v>N/A</v>
          </cell>
          <cell r="CK84">
            <v>0</v>
          </cell>
          <cell r="CL84">
            <v>2513</v>
          </cell>
          <cell r="CM84" t="str">
            <v>N/A</v>
          </cell>
          <cell r="CN84" t="str">
            <v>N/A</v>
          </cell>
          <cell r="CO84" t="str">
            <v>N/A</v>
          </cell>
          <cell r="CP84">
            <v>379.249559304961</v>
          </cell>
          <cell r="CQ84">
            <v>372.23493516399702</v>
          </cell>
          <cell r="CR84">
            <v>59</v>
          </cell>
          <cell r="CS84">
            <v>244</v>
          </cell>
          <cell r="CT84">
            <v>59</v>
          </cell>
          <cell r="CU84">
            <v>4.1355932203389827</v>
          </cell>
          <cell r="CV84">
            <v>28</v>
          </cell>
          <cell r="CW84">
            <v>0</v>
          </cell>
          <cell r="CX84">
            <v>47000</v>
          </cell>
          <cell r="CY84">
            <v>0</v>
          </cell>
          <cell r="CZ84">
            <v>121000</v>
          </cell>
          <cell r="DA84">
            <v>2513</v>
          </cell>
          <cell r="DB84">
            <v>48.149621965777953</v>
          </cell>
          <cell r="DC84">
            <v>275000</v>
          </cell>
          <cell r="DD84">
            <v>2513</v>
          </cell>
          <cell r="DE84">
            <v>109.43095901313171</v>
          </cell>
          <cell r="DF84">
            <v>488000</v>
          </cell>
          <cell r="DG84">
            <v>2513</v>
          </cell>
          <cell r="DH84">
            <v>194.19021090330281</v>
          </cell>
          <cell r="DI84">
            <v>2601.8000000000002</v>
          </cell>
          <cell r="DJ84">
            <v>0.96586978245829802</v>
          </cell>
          <cell r="DK84">
            <v>-6.6923076923076927E-3</v>
          </cell>
          <cell r="DL84">
            <v>0.81</v>
          </cell>
          <cell r="DM84">
            <v>1.82</v>
          </cell>
        </row>
        <row r="85">
          <cell r="B85" t="str">
            <v>Holroyd City Council</v>
          </cell>
          <cell r="C85">
            <v>3</v>
          </cell>
          <cell r="D85">
            <v>14779000</v>
          </cell>
          <cell r="E85">
            <v>29713</v>
          </cell>
          <cell r="F85">
            <v>497.39171406455085</v>
          </cell>
          <cell r="G85">
            <v>0</v>
          </cell>
          <cell r="H85">
            <v>0</v>
          </cell>
          <cell r="I85" t="str">
            <v>N/A</v>
          </cell>
          <cell r="J85">
            <v>6624000</v>
          </cell>
          <cell r="K85">
            <v>1705</v>
          </cell>
          <cell r="L85">
            <v>3885.0439882697947</v>
          </cell>
          <cell r="M85">
            <v>1283000</v>
          </cell>
          <cell r="N85">
            <v>34307000</v>
          </cell>
          <cell r="O85">
            <v>3.7397615646952515E-2</v>
          </cell>
          <cell r="P85">
            <v>1429000</v>
          </cell>
          <cell r="Q85">
            <v>26868000</v>
          </cell>
          <cell r="R85">
            <v>5.3185946106892958E-2</v>
          </cell>
          <cell r="S85">
            <v>-1878000</v>
          </cell>
          <cell r="T85">
            <v>7888000</v>
          </cell>
          <cell r="U85">
            <v>-0.23808316430020285</v>
          </cell>
          <cell r="V85">
            <v>28297000</v>
          </cell>
          <cell r="W85">
            <v>46912000</v>
          </cell>
          <cell r="X85">
            <v>0.60319321282401095</v>
          </cell>
          <cell r="Y85">
            <v>6010000</v>
          </cell>
          <cell r="Z85">
            <v>46912000</v>
          </cell>
          <cell r="AA85">
            <v>0.12811221009549795</v>
          </cell>
          <cell r="AB85">
            <v>1025000</v>
          </cell>
          <cell r="AC85">
            <v>46912000</v>
          </cell>
          <cell r="AD85">
            <v>2.1849420190995908E-2</v>
          </cell>
          <cell r="AE85">
            <v>7160000</v>
          </cell>
          <cell r="AF85">
            <v>46912000</v>
          </cell>
          <cell r="AG85">
            <v>0.15262619372442018</v>
          </cell>
          <cell r="AH85">
            <v>2176000</v>
          </cell>
          <cell r="AI85">
            <v>46912000</v>
          </cell>
          <cell r="AJ85">
            <v>4.6384720327421552E-2</v>
          </cell>
          <cell r="AK85">
            <v>2244000</v>
          </cell>
          <cell r="AL85">
            <v>46912000</v>
          </cell>
          <cell r="AM85">
            <v>4.783424283765348E-2</v>
          </cell>
          <cell r="AN85">
            <v>45216000</v>
          </cell>
          <cell r="AO85">
            <v>89295</v>
          </cell>
          <cell r="AP85">
            <v>506.36653788006049</v>
          </cell>
          <cell r="AQ85">
            <v>18302000</v>
          </cell>
          <cell r="AR85">
            <v>46531000</v>
          </cell>
          <cell r="AS85">
            <v>0.39332917839719755</v>
          </cell>
          <cell r="AT85">
            <v>11247000</v>
          </cell>
          <cell r="AU85">
            <v>46531000</v>
          </cell>
          <cell r="AV85">
            <v>0.24170982785669767</v>
          </cell>
          <cell r="AW85">
            <v>690000</v>
          </cell>
          <cell r="AX85">
            <v>46531000</v>
          </cell>
          <cell r="AY85">
            <v>1.4828823794889428E-2</v>
          </cell>
          <cell r="AZ85">
            <v>8415000</v>
          </cell>
          <cell r="BA85">
            <v>46531000</v>
          </cell>
          <cell r="BB85">
            <v>0.18084717715071671</v>
          </cell>
          <cell r="BC85">
            <v>7877000</v>
          </cell>
          <cell r="BD85">
            <v>46531000</v>
          </cell>
          <cell r="BE85">
            <v>0.16928499280049858</v>
          </cell>
          <cell r="BF85">
            <v>46531000</v>
          </cell>
          <cell r="BG85">
            <v>89295</v>
          </cell>
          <cell r="BH85">
            <v>521.09300632734198</v>
          </cell>
          <cell r="BI85">
            <v>18102000</v>
          </cell>
          <cell r="BJ85">
            <v>11778000</v>
          </cell>
          <cell r="BK85">
            <v>1.5369332654100867</v>
          </cell>
          <cell r="BL85">
            <v>2571000</v>
          </cell>
          <cell r="BM85">
            <v>41890000</v>
          </cell>
          <cell r="BN85">
            <v>6.1375029840057292E-2</v>
          </cell>
          <cell r="BO85">
            <v>3840000</v>
          </cell>
          <cell r="BP85">
            <v>8415000</v>
          </cell>
          <cell r="BQ85">
            <v>0.45632798573975042</v>
          </cell>
          <cell r="BR85">
            <v>343</v>
          </cell>
          <cell r="BS85" t="str">
            <v>On Time</v>
          </cell>
          <cell r="BT85" t="str">
            <v>On Time</v>
          </cell>
          <cell r="BU85" t="str">
            <v>On Time</v>
          </cell>
          <cell r="BV85">
            <v>2613000</v>
          </cell>
          <cell r="BW85">
            <v>89295</v>
          </cell>
          <cell r="BX85">
            <v>29.262556694103814</v>
          </cell>
          <cell r="BY85">
            <v>535422</v>
          </cell>
          <cell r="BZ85">
            <v>89295</v>
          </cell>
          <cell r="CA85">
            <v>5.9961028053082481</v>
          </cell>
          <cell r="CB85">
            <v>5256000</v>
          </cell>
          <cell r="CC85">
            <v>29887</v>
          </cell>
          <cell r="CD85">
            <v>175.86241509686485</v>
          </cell>
          <cell r="CE85">
            <v>4228169</v>
          </cell>
          <cell r="CF85">
            <v>32716</v>
          </cell>
          <cell r="CG85">
            <v>129.23856828463138</v>
          </cell>
          <cell r="CH85">
            <v>4935890</v>
          </cell>
          <cell r="CI85">
            <v>89295</v>
          </cell>
          <cell r="CJ85">
            <v>55.276219273195586</v>
          </cell>
          <cell r="CK85">
            <v>28961220</v>
          </cell>
          <cell r="CL85">
            <v>89295</v>
          </cell>
          <cell r="CM85">
            <v>324.33193347891819</v>
          </cell>
          <cell r="CN85" t="str">
            <v>N/A</v>
          </cell>
          <cell r="CO85" t="str">
            <v>N/A</v>
          </cell>
          <cell r="CP85" t="str">
            <v>N/A</v>
          </cell>
          <cell r="CQ85" t="str">
            <v>N/A</v>
          </cell>
          <cell r="CR85">
            <v>1085</v>
          </cell>
          <cell r="CS85">
            <v>106330</v>
          </cell>
          <cell r="CT85">
            <v>1085</v>
          </cell>
          <cell r="CU85">
            <v>98</v>
          </cell>
          <cell r="CV85">
            <v>63</v>
          </cell>
          <cell r="CW85">
            <v>268000</v>
          </cell>
          <cell r="CX85">
            <v>3957000</v>
          </cell>
          <cell r="CY85">
            <v>6.7728076825878197E-2</v>
          </cell>
          <cell r="CZ85">
            <v>1004000</v>
          </cell>
          <cell r="DA85">
            <v>89295</v>
          </cell>
          <cell r="DB85">
            <v>11.243630662411109</v>
          </cell>
          <cell r="DC85">
            <v>5787000</v>
          </cell>
          <cell r="DD85">
            <v>89295</v>
          </cell>
          <cell r="DE85">
            <v>64.807660003359643</v>
          </cell>
          <cell r="DF85">
            <v>7314000</v>
          </cell>
          <cell r="DG85">
            <v>89295</v>
          </cell>
          <cell r="DH85">
            <v>81.908281538719976</v>
          </cell>
          <cell r="DI85">
            <v>40.299999999999997</v>
          </cell>
          <cell r="DJ85">
            <v>2215.7568238213403</v>
          </cell>
          <cell r="DK85">
            <v>1.7527405602923263E-2</v>
          </cell>
          <cell r="DL85">
            <v>0.78</v>
          </cell>
          <cell r="DM85">
            <v>26.16</v>
          </cell>
        </row>
        <row r="86">
          <cell r="B86" t="str">
            <v>Hornsby, The Council of the Shire of</v>
          </cell>
          <cell r="C86">
            <v>7</v>
          </cell>
          <cell r="D86">
            <v>32281000</v>
          </cell>
          <cell r="E86">
            <v>49546</v>
          </cell>
          <cell r="F86">
            <v>651.5359463932507</v>
          </cell>
          <cell r="G86">
            <v>408000</v>
          </cell>
          <cell r="H86">
            <v>352</v>
          </cell>
          <cell r="I86">
            <v>1159.090909090909</v>
          </cell>
          <cell r="J86">
            <v>4503000</v>
          </cell>
          <cell r="K86">
            <v>2062</v>
          </cell>
          <cell r="L86">
            <v>2183.8021338506305</v>
          </cell>
          <cell r="M86">
            <v>1948000</v>
          </cell>
          <cell r="N86">
            <v>63688000</v>
          </cell>
          <cell r="O86">
            <v>3.0586609722396685E-2</v>
          </cell>
          <cell r="P86">
            <v>2594000</v>
          </cell>
          <cell r="Q86">
            <v>48475000</v>
          </cell>
          <cell r="R86">
            <v>5.3512119649303767E-2</v>
          </cell>
          <cell r="S86">
            <v>3256000</v>
          </cell>
          <cell r="T86">
            <v>9363000</v>
          </cell>
          <cell r="U86">
            <v>0.34775178895653103</v>
          </cell>
          <cell r="V86">
            <v>51069000</v>
          </cell>
          <cell r="W86">
            <v>96321000</v>
          </cell>
          <cell r="X86">
            <v>0.53019590743451583</v>
          </cell>
          <cell r="Y86">
            <v>12619000</v>
          </cell>
          <cell r="Z86">
            <v>96321000</v>
          </cell>
          <cell r="AA86">
            <v>0.13100985247246189</v>
          </cell>
          <cell r="AB86">
            <v>1313000</v>
          </cell>
          <cell r="AC86">
            <v>96321000</v>
          </cell>
          <cell r="AD86">
            <v>1.3631502995193156E-2</v>
          </cell>
          <cell r="AE86">
            <v>9400000</v>
          </cell>
          <cell r="AF86">
            <v>96321000</v>
          </cell>
          <cell r="AG86">
            <v>9.7590348937407215E-2</v>
          </cell>
          <cell r="AH86">
            <v>20077000</v>
          </cell>
          <cell r="AI86">
            <v>96321000</v>
          </cell>
          <cell r="AJ86">
            <v>0.20843845059748134</v>
          </cell>
          <cell r="AK86">
            <v>1843000</v>
          </cell>
          <cell r="AL86">
            <v>96321000</v>
          </cell>
          <cell r="AM86">
            <v>1.9133937562940583E-2</v>
          </cell>
          <cell r="AN86">
            <v>78717000</v>
          </cell>
          <cell r="AO86">
            <v>153754</v>
          </cell>
          <cell r="AP86">
            <v>511.96716833383198</v>
          </cell>
          <cell r="AQ86">
            <v>29036000</v>
          </cell>
          <cell r="AR86">
            <v>79234000</v>
          </cell>
          <cell r="AS86">
            <v>0.36645884342580204</v>
          </cell>
          <cell r="AT86">
            <v>25186000</v>
          </cell>
          <cell r="AU86">
            <v>79234000</v>
          </cell>
          <cell r="AV86">
            <v>0.317868591766161</v>
          </cell>
          <cell r="AW86">
            <v>533000</v>
          </cell>
          <cell r="AX86">
            <v>79234000</v>
          </cell>
          <cell r="AY86">
            <v>6.7269101648282301E-3</v>
          </cell>
          <cell r="AZ86">
            <v>11218000</v>
          </cell>
          <cell r="BA86">
            <v>79234000</v>
          </cell>
          <cell r="BB86">
            <v>0.14158063457606582</v>
          </cell>
          <cell r="BC86">
            <v>13261000</v>
          </cell>
          <cell r="BD86">
            <v>79234000</v>
          </cell>
          <cell r="BE86">
            <v>0.16736502006714291</v>
          </cell>
          <cell r="BF86">
            <v>79225000</v>
          </cell>
          <cell r="BG86">
            <v>153754</v>
          </cell>
          <cell r="BH86">
            <v>515.27114741730293</v>
          </cell>
          <cell r="BI86">
            <v>13180000</v>
          </cell>
          <cell r="BJ86">
            <v>11549000</v>
          </cell>
          <cell r="BK86">
            <v>1.1412243484284355</v>
          </cell>
          <cell r="BL86">
            <v>2746000</v>
          </cell>
          <cell r="BM86">
            <v>71387000</v>
          </cell>
          <cell r="BN86">
            <v>3.8466387437488619E-2</v>
          </cell>
          <cell r="BO86">
            <v>24260000</v>
          </cell>
          <cell r="BP86">
            <v>11212000</v>
          </cell>
          <cell r="BQ86">
            <v>2.1637531216553691</v>
          </cell>
          <cell r="BR86">
            <v>583</v>
          </cell>
          <cell r="BS86" t="str">
            <v>On Time</v>
          </cell>
          <cell r="BT86" t="str">
            <v>On Time</v>
          </cell>
          <cell r="BU86" t="str">
            <v>On Time</v>
          </cell>
          <cell r="BV86">
            <v>3809000</v>
          </cell>
          <cell r="BW86">
            <v>153754</v>
          </cell>
          <cell r="BX86">
            <v>24.773339230198889</v>
          </cell>
          <cell r="BY86">
            <v>1157417</v>
          </cell>
          <cell r="BZ86">
            <v>153754</v>
          </cell>
          <cell r="CA86">
            <v>7.5277196040428214</v>
          </cell>
          <cell r="CB86">
            <v>11947000</v>
          </cell>
          <cell r="CC86">
            <v>47530</v>
          </cell>
          <cell r="CD86">
            <v>251.35703766042499</v>
          </cell>
          <cell r="CE86">
            <v>4009417</v>
          </cell>
          <cell r="CF86">
            <v>47530</v>
          </cell>
          <cell r="CG86">
            <v>84.355501788344199</v>
          </cell>
          <cell r="CH86">
            <v>18656000</v>
          </cell>
          <cell r="CI86">
            <v>153754</v>
          </cell>
          <cell r="CJ86">
            <v>121.33668067172236</v>
          </cell>
          <cell r="CK86">
            <v>50254000</v>
          </cell>
          <cell r="CL86">
            <v>153754</v>
          </cell>
          <cell r="CM86">
            <v>326.84678122195197</v>
          </cell>
          <cell r="CN86" t="str">
            <v>N/A</v>
          </cell>
          <cell r="CO86" t="str">
            <v>N/A</v>
          </cell>
          <cell r="CP86" t="str">
            <v>N/A</v>
          </cell>
          <cell r="CQ86" t="str">
            <v>N/A</v>
          </cell>
          <cell r="CR86">
            <v>2824</v>
          </cell>
          <cell r="CS86">
            <v>130130</v>
          </cell>
          <cell r="CT86">
            <v>2824</v>
          </cell>
          <cell r="CU86">
            <v>46.080028328611895</v>
          </cell>
          <cell r="CV86">
            <v>36</v>
          </cell>
          <cell r="CW86">
            <v>671000</v>
          </cell>
          <cell r="CX86">
            <v>8013000</v>
          </cell>
          <cell r="CY86">
            <v>8.3738924248096841E-2</v>
          </cell>
          <cell r="CZ86">
            <v>4727000</v>
          </cell>
          <cell r="DA86">
            <v>153754</v>
          </cell>
          <cell r="DB86">
            <v>30.743915605447665</v>
          </cell>
          <cell r="DC86">
            <v>6346000</v>
          </cell>
          <cell r="DD86">
            <v>153754</v>
          </cell>
          <cell r="DE86">
            <v>41.273722960053071</v>
          </cell>
          <cell r="DF86">
            <v>3912000</v>
          </cell>
          <cell r="DG86">
            <v>153754</v>
          </cell>
          <cell r="DH86">
            <v>25.443240501060135</v>
          </cell>
          <cell r="DI86">
            <v>462.4</v>
          </cell>
          <cell r="DJ86">
            <v>332.51297577854672</v>
          </cell>
          <cell r="DK86">
            <v>1.2440759930915372E-2</v>
          </cell>
          <cell r="DL86">
            <v>0.26</v>
          </cell>
          <cell r="DM86">
            <v>16.829999999999998</v>
          </cell>
        </row>
        <row r="87">
          <cell r="B87" t="str">
            <v>Hume Shire Council</v>
          </cell>
          <cell r="C87">
            <v>10</v>
          </cell>
          <cell r="D87">
            <v>700000</v>
          </cell>
          <cell r="E87">
            <v>2317</v>
          </cell>
          <cell r="F87">
            <v>302.11480362537765</v>
          </cell>
          <cell r="G87">
            <v>1074000</v>
          </cell>
          <cell r="H87">
            <v>777</v>
          </cell>
          <cell r="I87">
            <v>1382.2393822393822</v>
          </cell>
          <cell r="J87">
            <v>62000</v>
          </cell>
          <cell r="K87">
            <v>150</v>
          </cell>
          <cell r="L87">
            <v>413.33333333333331</v>
          </cell>
          <cell r="M87">
            <v>512000</v>
          </cell>
          <cell r="N87">
            <v>4453000</v>
          </cell>
          <cell r="O87">
            <v>0.11497866606781945</v>
          </cell>
          <cell r="P87">
            <v>263000</v>
          </cell>
          <cell r="Q87">
            <v>3009000</v>
          </cell>
          <cell r="R87">
            <v>8.7404453306746427E-2</v>
          </cell>
          <cell r="S87">
            <v>374000</v>
          </cell>
          <cell r="T87">
            <v>807000</v>
          </cell>
          <cell r="U87">
            <v>0.46344485749690212</v>
          </cell>
          <cell r="V87">
            <v>3272000</v>
          </cell>
          <cell r="W87">
            <v>10817000</v>
          </cell>
          <cell r="X87">
            <v>0.30248682629194784</v>
          </cell>
          <cell r="Y87">
            <v>1181000</v>
          </cell>
          <cell r="Z87">
            <v>10817000</v>
          </cell>
          <cell r="AA87">
            <v>0.10917999445317556</v>
          </cell>
          <cell r="AB87">
            <v>198000</v>
          </cell>
          <cell r="AC87">
            <v>10817000</v>
          </cell>
          <cell r="AD87">
            <v>1.830452066192105E-2</v>
          </cell>
          <cell r="AE87">
            <v>4633000</v>
          </cell>
          <cell r="AF87">
            <v>10817000</v>
          </cell>
          <cell r="AG87">
            <v>0.42830729407414253</v>
          </cell>
          <cell r="AH87">
            <v>1302000</v>
          </cell>
          <cell r="AI87">
            <v>10817000</v>
          </cell>
          <cell r="AJ87">
            <v>0.12036609041323842</v>
          </cell>
          <cell r="AK87">
            <v>231000</v>
          </cell>
          <cell r="AL87">
            <v>10817000</v>
          </cell>
          <cell r="AM87">
            <v>2.135527410557456E-2</v>
          </cell>
          <cell r="AN87">
            <v>7683000</v>
          </cell>
          <cell r="AO87">
            <v>7805</v>
          </cell>
          <cell r="AP87">
            <v>984.36899423446505</v>
          </cell>
          <cell r="AQ87">
            <v>3401000</v>
          </cell>
          <cell r="AR87">
            <v>9674000</v>
          </cell>
          <cell r="AS87">
            <v>0.35156088484597892</v>
          </cell>
          <cell r="AT87">
            <v>2908000</v>
          </cell>
          <cell r="AU87">
            <v>9674000</v>
          </cell>
          <cell r="AV87">
            <v>0.30059954517262766</v>
          </cell>
          <cell r="AW87">
            <v>79000</v>
          </cell>
          <cell r="AX87">
            <v>9674000</v>
          </cell>
          <cell r="AY87">
            <v>8.1662187306181522E-3</v>
          </cell>
          <cell r="AZ87">
            <v>2210000</v>
          </cell>
          <cell r="BA87">
            <v>9674000</v>
          </cell>
          <cell r="BB87">
            <v>0.22844738474260906</v>
          </cell>
          <cell r="BC87">
            <v>1076000</v>
          </cell>
          <cell r="BD87">
            <v>9674000</v>
          </cell>
          <cell r="BE87">
            <v>0.11122596650816621</v>
          </cell>
          <cell r="BF87">
            <v>8360000</v>
          </cell>
          <cell r="BG87">
            <v>7805</v>
          </cell>
          <cell r="BH87">
            <v>1071.1082639333761</v>
          </cell>
          <cell r="BI87">
            <v>3880000</v>
          </cell>
          <cell r="BJ87">
            <v>884000</v>
          </cell>
          <cell r="BK87">
            <v>4.3891402714932131</v>
          </cell>
          <cell r="BL87">
            <v>155000</v>
          </cell>
          <cell r="BM87">
            <v>6392000</v>
          </cell>
          <cell r="BN87">
            <v>2.4249061326658324E-2</v>
          </cell>
          <cell r="BO87">
            <v>3035000</v>
          </cell>
          <cell r="BP87">
            <v>1899000</v>
          </cell>
          <cell r="BQ87">
            <v>1.5982095839915744</v>
          </cell>
          <cell r="BR87">
            <v>68.099999999999994</v>
          </cell>
          <cell r="BS87" t="str">
            <v>On Time</v>
          </cell>
          <cell r="BT87" t="str">
            <v>On Time</v>
          </cell>
          <cell r="BU87" t="str">
            <v>On Time</v>
          </cell>
          <cell r="BV87">
            <v>87000</v>
          </cell>
          <cell r="BW87">
            <v>7805</v>
          </cell>
          <cell r="BX87">
            <v>11.146700832799487</v>
          </cell>
          <cell r="BY87">
            <v>13538</v>
          </cell>
          <cell r="BZ87">
            <v>7805</v>
          </cell>
          <cell r="CA87">
            <v>1.7345291479820628</v>
          </cell>
          <cell r="CB87">
            <v>213000</v>
          </cell>
          <cell r="CC87">
            <v>1454</v>
          </cell>
          <cell r="CD87">
            <v>146.49243466299862</v>
          </cell>
          <cell r="CE87">
            <v>215795</v>
          </cell>
          <cell r="CF87">
            <v>1454</v>
          </cell>
          <cell r="CG87">
            <v>148.41471801925721</v>
          </cell>
          <cell r="CH87">
            <v>323000</v>
          </cell>
          <cell r="CI87">
            <v>7805</v>
          </cell>
          <cell r="CJ87">
            <v>41.383728379244076</v>
          </cell>
          <cell r="CK87">
            <v>715000</v>
          </cell>
          <cell r="CL87">
            <v>7805</v>
          </cell>
          <cell r="CM87">
            <v>91.60794362588085</v>
          </cell>
          <cell r="CN87">
            <v>542.012046332046</v>
          </cell>
          <cell r="CO87">
            <v>508.121137633057</v>
          </cell>
          <cell r="CP87">
            <v>279.89546899408799</v>
          </cell>
          <cell r="CQ87">
            <v>328.74493927125502</v>
          </cell>
          <cell r="CR87">
            <v>331</v>
          </cell>
          <cell r="CS87">
            <v>7553</v>
          </cell>
          <cell r="CT87">
            <v>331</v>
          </cell>
          <cell r="CU87">
            <v>22.818731117824772</v>
          </cell>
          <cell r="CV87">
            <v>14</v>
          </cell>
          <cell r="CW87">
            <v>0</v>
          </cell>
          <cell r="CX87">
            <v>253000</v>
          </cell>
          <cell r="CY87">
            <v>0</v>
          </cell>
          <cell r="CZ87">
            <v>123000</v>
          </cell>
          <cell r="DA87">
            <v>7805</v>
          </cell>
          <cell r="DB87">
            <v>15.759128763613068</v>
          </cell>
          <cell r="DC87">
            <v>278000</v>
          </cell>
          <cell r="DD87">
            <v>7805</v>
          </cell>
          <cell r="DE87">
            <v>35.618193465727096</v>
          </cell>
          <cell r="DF87">
            <v>1797000</v>
          </cell>
          <cell r="DG87">
            <v>7805</v>
          </cell>
          <cell r="DH87">
            <v>230.23702754644458</v>
          </cell>
          <cell r="DI87">
            <v>1924.4</v>
          </cell>
          <cell r="DJ87">
            <v>4.0558096029931408</v>
          </cell>
          <cell r="DK87">
            <v>1.8934081346423562E-2</v>
          </cell>
          <cell r="DL87">
            <v>1.1000000000000001</v>
          </cell>
          <cell r="DM87">
            <v>3.05</v>
          </cell>
        </row>
        <row r="88">
          <cell r="B88" t="str">
            <v>Hunters Hill, The Council of the Municipality of</v>
          </cell>
          <cell r="C88">
            <v>2</v>
          </cell>
          <cell r="D88">
            <v>4103000</v>
          </cell>
          <cell r="E88">
            <v>4041</v>
          </cell>
          <cell r="F88">
            <v>1015.3427369463004</v>
          </cell>
          <cell r="G88">
            <v>0</v>
          </cell>
          <cell r="H88">
            <v>0</v>
          </cell>
          <cell r="I88" t="str">
            <v>N/A</v>
          </cell>
          <cell r="J88">
            <v>127000</v>
          </cell>
          <cell r="K88">
            <v>192</v>
          </cell>
          <cell r="L88">
            <v>661.45833333333337</v>
          </cell>
          <cell r="M88">
            <v>619000</v>
          </cell>
          <cell r="N88">
            <v>5853000</v>
          </cell>
          <cell r="O88">
            <v>0.10575773107807962</v>
          </cell>
          <cell r="P88">
            <v>108000</v>
          </cell>
          <cell r="Q88">
            <v>5038000</v>
          </cell>
          <cell r="R88">
            <v>2.1437078205637158E-2</v>
          </cell>
          <cell r="S88">
            <v>-17000</v>
          </cell>
          <cell r="T88">
            <v>724000</v>
          </cell>
          <cell r="U88">
            <v>-2.3480662983425413E-2</v>
          </cell>
          <cell r="V88">
            <v>5146000</v>
          </cell>
          <cell r="W88">
            <v>7678000</v>
          </cell>
          <cell r="X88">
            <v>0.67022662151601975</v>
          </cell>
          <cell r="Y88">
            <v>707000</v>
          </cell>
          <cell r="Z88">
            <v>7678000</v>
          </cell>
          <cell r="AA88">
            <v>9.2081271164365722E-2</v>
          </cell>
          <cell r="AB88">
            <v>204000</v>
          </cell>
          <cell r="AC88">
            <v>7678000</v>
          </cell>
          <cell r="AD88">
            <v>2.6569419119562385E-2</v>
          </cell>
          <cell r="AE88">
            <v>682000</v>
          </cell>
          <cell r="AF88">
            <v>7678000</v>
          </cell>
          <cell r="AG88">
            <v>8.882521489971347E-2</v>
          </cell>
          <cell r="AH88">
            <v>506000</v>
          </cell>
          <cell r="AI88">
            <v>7678000</v>
          </cell>
          <cell r="AJ88">
            <v>6.5902578796561598E-2</v>
          </cell>
          <cell r="AK88">
            <v>433000</v>
          </cell>
          <cell r="AL88">
            <v>7678000</v>
          </cell>
          <cell r="AM88">
            <v>5.6394894503777028E-2</v>
          </cell>
          <cell r="AN88">
            <v>7093000</v>
          </cell>
          <cell r="AO88">
            <v>13457</v>
          </cell>
          <cell r="AP88">
            <v>527.08627480121868</v>
          </cell>
          <cell r="AQ88">
            <v>2799000</v>
          </cell>
          <cell r="AR88">
            <v>7768000</v>
          </cell>
          <cell r="AS88">
            <v>0.3603244078269825</v>
          </cell>
          <cell r="AT88">
            <v>2129000</v>
          </cell>
          <cell r="AU88">
            <v>7768000</v>
          </cell>
          <cell r="AV88">
            <v>0.27407312049433574</v>
          </cell>
          <cell r="AW88">
            <v>0</v>
          </cell>
          <cell r="AX88">
            <v>7768000</v>
          </cell>
          <cell r="AY88">
            <v>0</v>
          </cell>
          <cell r="AZ88">
            <v>1063000</v>
          </cell>
          <cell r="BA88">
            <v>7768000</v>
          </cell>
          <cell r="BB88">
            <v>0.13684346035015449</v>
          </cell>
          <cell r="BC88">
            <v>1777000</v>
          </cell>
          <cell r="BD88">
            <v>7768000</v>
          </cell>
          <cell r="BE88">
            <v>0.2287590113285273</v>
          </cell>
          <cell r="BF88">
            <v>7768000</v>
          </cell>
          <cell r="BG88">
            <v>13457</v>
          </cell>
          <cell r="BH88">
            <v>577.24604295162374</v>
          </cell>
          <cell r="BI88">
            <v>4338000</v>
          </cell>
          <cell r="BJ88">
            <v>1358000</v>
          </cell>
          <cell r="BK88">
            <v>3.1944035346097204</v>
          </cell>
          <cell r="BL88">
            <v>0</v>
          </cell>
          <cell r="BM88">
            <v>6787000</v>
          </cell>
          <cell r="BN88">
            <v>0</v>
          </cell>
          <cell r="BO88">
            <v>1124000</v>
          </cell>
          <cell r="BP88">
            <v>1063000</v>
          </cell>
          <cell r="BQ88">
            <v>1.0573847601128881</v>
          </cell>
          <cell r="BR88">
            <v>56</v>
          </cell>
          <cell r="BS88" t="str">
            <v>Not Received</v>
          </cell>
          <cell r="BT88" t="str">
            <v>Not Received</v>
          </cell>
          <cell r="BU88" t="str">
            <v>On Time</v>
          </cell>
          <cell r="BV88">
            <v>429000</v>
          </cell>
          <cell r="BW88">
            <v>13457</v>
          </cell>
          <cell r="BX88">
            <v>31.879319313368509</v>
          </cell>
          <cell r="BY88">
            <v>121574</v>
          </cell>
          <cell r="BZ88">
            <v>13457</v>
          </cell>
          <cell r="CA88">
            <v>9.0342572638775351</v>
          </cell>
          <cell r="CB88">
            <v>922000</v>
          </cell>
          <cell r="CC88">
            <v>3940</v>
          </cell>
          <cell r="CD88">
            <v>234.01015228426397</v>
          </cell>
          <cell r="CE88">
            <v>696846</v>
          </cell>
          <cell r="CF88">
            <v>3940</v>
          </cell>
          <cell r="CG88">
            <v>176.86446700507614</v>
          </cell>
          <cell r="CH88">
            <v>1642600</v>
          </cell>
          <cell r="CI88">
            <v>13457</v>
          </cell>
          <cell r="CJ88">
            <v>122.06286690941518</v>
          </cell>
          <cell r="CK88">
            <v>2831360</v>
          </cell>
          <cell r="CL88">
            <v>13457</v>
          </cell>
          <cell r="CM88">
            <v>210.40053503752694</v>
          </cell>
          <cell r="CN88" t="str">
            <v>N/A</v>
          </cell>
          <cell r="CO88" t="str">
            <v>N/A</v>
          </cell>
          <cell r="CP88" t="str">
            <v>N/A</v>
          </cell>
          <cell r="CQ88" t="str">
            <v>N/A</v>
          </cell>
          <cell r="CR88">
            <v>196</v>
          </cell>
          <cell r="CS88">
            <v>19339</v>
          </cell>
          <cell r="CT88">
            <v>196</v>
          </cell>
          <cell r="CU88">
            <v>98.66836734693878</v>
          </cell>
          <cell r="CV88">
            <v>79</v>
          </cell>
          <cell r="CW88">
            <v>219000</v>
          </cell>
          <cell r="CX88">
            <v>693000</v>
          </cell>
          <cell r="CY88">
            <v>0.31601731601731603</v>
          </cell>
          <cell r="CZ88">
            <v>88000</v>
          </cell>
          <cell r="DA88">
            <v>13457</v>
          </cell>
          <cell r="DB88">
            <v>6.5393475514602066</v>
          </cell>
          <cell r="DC88">
            <v>549000</v>
          </cell>
          <cell r="DD88">
            <v>13457</v>
          </cell>
          <cell r="DE88">
            <v>40.796611428996059</v>
          </cell>
          <cell r="DF88">
            <v>288000</v>
          </cell>
          <cell r="DG88">
            <v>13457</v>
          </cell>
          <cell r="DH88">
            <v>21.401501077506129</v>
          </cell>
          <cell r="DI88">
            <v>5.8</v>
          </cell>
          <cell r="DJ88">
            <v>2320.1724137931037</v>
          </cell>
          <cell r="DK88">
            <v>6.2375478927203069E-3</v>
          </cell>
          <cell r="DL88">
            <v>0.3</v>
          </cell>
          <cell r="DM88">
            <v>12.47</v>
          </cell>
        </row>
        <row r="89">
          <cell r="B89" t="str">
            <v>Hurstville City Council</v>
          </cell>
          <cell r="C89">
            <v>3</v>
          </cell>
          <cell r="D89">
            <v>15230000</v>
          </cell>
          <cell r="E89">
            <v>26727</v>
          </cell>
          <cell r="F89">
            <v>569.83574662326487</v>
          </cell>
          <cell r="G89">
            <v>0</v>
          </cell>
          <cell r="H89">
            <v>0</v>
          </cell>
          <cell r="I89" t="str">
            <v>N/A</v>
          </cell>
          <cell r="J89">
            <v>3385000</v>
          </cell>
          <cell r="K89">
            <v>1881</v>
          </cell>
          <cell r="L89">
            <v>1799.5746943115364</v>
          </cell>
          <cell r="M89">
            <v>473000</v>
          </cell>
          <cell r="N89">
            <v>30118000</v>
          </cell>
          <cell r="O89">
            <v>1.5704894083272462E-2</v>
          </cell>
          <cell r="P89">
            <v>1063000</v>
          </cell>
          <cell r="Q89">
            <v>24177000</v>
          </cell>
          <cell r="R89">
            <v>4.3967407039748524E-2</v>
          </cell>
          <cell r="S89">
            <v>110000</v>
          </cell>
          <cell r="T89">
            <v>4768000</v>
          </cell>
          <cell r="U89">
            <v>2.307046979865772E-2</v>
          </cell>
          <cell r="V89">
            <v>25240000</v>
          </cell>
          <cell r="W89">
            <v>39924000</v>
          </cell>
          <cell r="X89">
            <v>0.63220118224626787</v>
          </cell>
          <cell r="Y89">
            <v>4878000</v>
          </cell>
          <cell r="Z89">
            <v>39924000</v>
          </cell>
          <cell r="AA89">
            <v>0.12218214607754734</v>
          </cell>
          <cell r="AB89">
            <v>2373000</v>
          </cell>
          <cell r="AC89">
            <v>39924000</v>
          </cell>
          <cell r="AD89">
            <v>5.9437932070934778E-2</v>
          </cell>
          <cell r="AE89">
            <v>4715000</v>
          </cell>
          <cell r="AF89">
            <v>39924000</v>
          </cell>
          <cell r="AG89">
            <v>0.11809938883879371</v>
          </cell>
          <cell r="AH89">
            <v>2113000</v>
          </cell>
          <cell r="AI89">
            <v>39924000</v>
          </cell>
          <cell r="AJ89">
            <v>5.2925558561266406E-2</v>
          </cell>
          <cell r="AK89">
            <v>605000</v>
          </cell>
          <cell r="AL89">
            <v>39924000</v>
          </cell>
          <cell r="AM89">
            <v>1.5153792205189861E-2</v>
          </cell>
          <cell r="AN89">
            <v>39112000</v>
          </cell>
          <cell r="AO89">
            <v>74165</v>
          </cell>
          <cell r="AP89">
            <v>527.36465987999725</v>
          </cell>
          <cell r="AQ89">
            <v>15551000</v>
          </cell>
          <cell r="AR89">
            <v>40225000</v>
          </cell>
          <cell r="AS89">
            <v>0.38660037290242388</v>
          </cell>
          <cell r="AT89">
            <v>10510000</v>
          </cell>
          <cell r="AU89">
            <v>40225000</v>
          </cell>
          <cell r="AV89">
            <v>0.26128029832193911</v>
          </cell>
          <cell r="AW89">
            <v>2000</v>
          </cell>
          <cell r="AX89">
            <v>40225000</v>
          </cell>
          <cell r="AY89">
            <v>4.9720323182100681E-5</v>
          </cell>
          <cell r="AZ89">
            <v>8400000</v>
          </cell>
          <cell r="BA89">
            <v>40225000</v>
          </cell>
          <cell r="BB89">
            <v>0.20882535736482288</v>
          </cell>
          <cell r="BC89">
            <v>5762000</v>
          </cell>
          <cell r="BD89">
            <v>40225000</v>
          </cell>
          <cell r="BE89">
            <v>0.14324425108763206</v>
          </cell>
          <cell r="BF89">
            <v>40225000</v>
          </cell>
          <cell r="BG89">
            <v>74165</v>
          </cell>
          <cell r="BH89">
            <v>542.37173869075707</v>
          </cell>
          <cell r="BI89">
            <v>23959000</v>
          </cell>
          <cell r="BJ89">
            <v>8081000</v>
          </cell>
          <cell r="BK89">
            <v>2.9648558346739264</v>
          </cell>
          <cell r="BL89">
            <v>2000</v>
          </cell>
          <cell r="BM89">
            <v>37556000</v>
          </cell>
          <cell r="BN89">
            <v>5.3253807647246777E-5</v>
          </cell>
          <cell r="BO89">
            <v>7658000</v>
          </cell>
          <cell r="BP89">
            <v>8400000</v>
          </cell>
          <cell r="BQ89">
            <v>0.91166666666666663</v>
          </cell>
          <cell r="BR89">
            <v>319</v>
          </cell>
          <cell r="BS89" t="str">
            <v>&lt;=2</v>
          </cell>
          <cell r="BT89" t="str">
            <v>&lt;=2</v>
          </cell>
          <cell r="BU89" t="str">
            <v>&lt;=4</v>
          </cell>
          <cell r="BV89">
            <v>3468000</v>
          </cell>
          <cell r="BW89">
            <v>74165</v>
          </cell>
          <cell r="BX89">
            <v>46.760601361828357</v>
          </cell>
          <cell r="BY89">
            <v>763437</v>
          </cell>
          <cell r="BZ89">
            <v>74165</v>
          </cell>
          <cell r="CA89">
            <v>10.29376390480685</v>
          </cell>
          <cell r="CB89">
            <v>5740000</v>
          </cell>
          <cell r="CC89">
            <v>26710</v>
          </cell>
          <cell r="CD89">
            <v>214.90078622238863</v>
          </cell>
          <cell r="CE89">
            <v>3785106</v>
          </cell>
          <cell r="CF89">
            <v>48078</v>
          </cell>
          <cell r="CG89">
            <v>78.728441282915256</v>
          </cell>
          <cell r="CH89">
            <v>13294000</v>
          </cell>
          <cell r="CI89">
            <v>74165</v>
          </cell>
          <cell r="CJ89">
            <v>179.24897188700871</v>
          </cell>
          <cell r="CK89">
            <v>17526000</v>
          </cell>
          <cell r="CL89">
            <v>74165</v>
          </cell>
          <cell r="CM89">
            <v>236.31092833546822</v>
          </cell>
          <cell r="CN89" t="str">
            <v>N/A</v>
          </cell>
          <cell r="CO89" t="str">
            <v>N/A</v>
          </cell>
          <cell r="CP89" t="str">
            <v>N/A</v>
          </cell>
          <cell r="CQ89" t="str">
            <v>N/A</v>
          </cell>
          <cell r="CR89">
            <v>969</v>
          </cell>
          <cell r="CS89">
            <v>47788</v>
          </cell>
          <cell r="CT89">
            <v>969</v>
          </cell>
          <cell r="CU89">
            <v>49.316821465428276</v>
          </cell>
          <cell r="CV89">
            <v>37</v>
          </cell>
          <cell r="CW89">
            <v>244000</v>
          </cell>
          <cell r="CX89">
            <v>2779000</v>
          </cell>
          <cell r="CY89">
            <v>8.7801367398344723E-2</v>
          </cell>
          <cell r="CZ89">
            <v>441000</v>
          </cell>
          <cell r="DA89">
            <v>74165</v>
          </cell>
          <cell r="DB89">
            <v>5.9462010382255777</v>
          </cell>
          <cell r="DC89">
            <v>3191000</v>
          </cell>
          <cell r="DD89">
            <v>74165</v>
          </cell>
          <cell r="DE89">
            <v>43.025685970471244</v>
          </cell>
          <cell r="DF89">
            <v>1725000</v>
          </cell>
          <cell r="DG89">
            <v>74165</v>
          </cell>
          <cell r="DH89">
            <v>23.258949639317738</v>
          </cell>
          <cell r="DI89">
            <v>22.8</v>
          </cell>
          <cell r="DJ89">
            <v>3252.8508771929824</v>
          </cell>
          <cell r="DK89">
            <v>1.685672514619883E-2</v>
          </cell>
          <cell r="DL89">
            <v>0.53</v>
          </cell>
          <cell r="DM89">
            <v>23.46</v>
          </cell>
        </row>
        <row r="90">
          <cell r="B90" t="str">
            <v>Inverell Shire Council</v>
          </cell>
          <cell r="C90">
            <v>11</v>
          </cell>
          <cell r="D90">
            <v>2413000</v>
          </cell>
          <cell r="E90">
            <v>5203</v>
          </cell>
          <cell r="F90">
            <v>463.7709014030367</v>
          </cell>
          <cell r="G90">
            <v>2048000</v>
          </cell>
          <cell r="H90">
            <v>1330</v>
          </cell>
          <cell r="I90">
            <v>1539.8496240601503</v>
          </cell>
          <cell r="J90">
            <v>1235000</v>
          </cell>
          <cell r="K90">
            <v>566</v>
          </cell>
          <cell r="L90">
            <v>2181.9787985865723</v>
          </cell>
          <cell r="M90">
            <v>1716000</v>
          </cell>
          <cell r="N90">
            <v>11615000</v>
          </cell>
          <cell r="O90">
            <v>0.14773999139044339</v>
          </cell>
          <cell r="P90">
            <v>324000</v>
          </cell>
          <cell r="Q90">
            <v>7830000</v>
          </cell>
          <cell r="R90">
            <v>4.1379310344827586E-2</v>
          </cell>
          <cell r="S90">
            <v>537000</v>
          </cell>
          <cell r="T90">
            <v>2924000</v>
          </cell>
          <cell r="U90">
            <v>0.18365253077975377</v>
          </cell>
          <cell r="V90">
            <v>8154000</v>
          </cell>
          <cell r="W90">
            <v>20819000</v>
          </cell>
          <cell r="X90">
            <v>0.3916614630866036</v>
          </cell>
          <cell r="Y90">
            <v>3461000</v>
          </cell>
          <cell r="Z90">
            <v>20819000</v>
          </cell>
          <cell r="AA90">
            <v>0.16624237475383064</v>
          </cell>
          <cell r="AB90">
            <v>745000</v>
          </cell>
          <cell r="AC90">
            <v>20819000</v>
          </cell>
          <cell r="AD90">
            <v>3.578461981843508E-2</v>
          </cell>
          <cell r="AE90">
            <v>4315000</v>
          </cell>
          <cell r="AF90">
            <v>20819000</v>
          </cell>
          <cell r="AG90">
            <v>0.20726259666650657</v>
          </cell>
          <cell r="AH90">
            <v>3860000</v>
          </cell>
          <cell r="AI90">
            <v>20819000</v>
          </cell>
          <cell r="AJ90">
            <v>0.18540756040155626</v>
          </cell>
          <cell r="AK90">
            <v>284000</v>
          </cell>
          <cell r="AL90">
            <v>20819000</v>
          </cell>
          <cell r="AM90">
            <v>1.3641385273067871E-2</v>
          </cell>
          <cell r="AN90">
            <v>15559000</v>
          </cell>
          <cell r="AO90">
            <v>15881</v>
          </cell>
          <cell r="AP90">
            <v>979.72419872803982</v>
          </cell>
          <cell r="AQ90">
            <v>6677000</v>
          </cell>
          <cell r="AR90">
            <v>21326000</v>
          </cell>
          <cell r="AS90">
            <v>0.31309200037512896</v>
          </cell>
          <cell r="AT90">
            <v>5672000</v>
          </cell>
          <cell r="AU90">
            <v>21326000</v>
          </cell>
          <cell r="AV90">
            <v>0.26596642595892339</v>
          </cell>
          <cell r="AW90">
            <v>40000</v>
          </cell>
          <cell r="AX90">
            <v>21326000</v>
          </cell>
          <cell r="AY90">
            <v>1.8756447528838038E-3</v>
          </cell>
          <cell r="AZ90">
            <v>6761000</v>
          </cell>
          <cell r="BA90">
            <v>21326000</v>
          </cell>
          <cell r="BB90">
            <v>0.31703085435618494</v>
          </cell>
          <cell r="BC90">
            <v>2176000</v>
          </cell>
          <cell r="BD90">
            <v>21326000</v>
          </cell>
          <cell r="BE90">
            <v>0.10203507455687892</v>
          </cell>
          <cell r="BF90">
            <v>17451000</v>
          </cell>
          <cell r="BG90">
            <v>15881</v>
          </cell>
          <cell r="BH90">
            <v>1098.8602732825389</v>
          </cell>
          <cell r="BI90">
            <v>12130000</v>
          </cell>
          <cell r="BJ90">
            <v>2147000</v>
          </cell>
          <cell r="BK90">
            <v>5.6497438285980435</v>
          </cell>
          <cell r="BL90">
            <v>228000</v>
          </cell>
          <cell r="BM90">
            <v>16378000</v>
          </cell>
          <cell r="BN90">
            <v>1.3921113689095127E-2</v>
          </cell>
          <cell r="BO90">
            <v>3373000</v>
          </cell>
          <cell r="BP90">
            <v>5413000</v>
          </cell>
          <cell r="BQ90">
            <v>0.62312950304821724</v>
          </cell>
          <cell r="BR90">
            <v>188</v>
          </cell>
          <cell r="BS90" t="str">
            <v>On Time</v>
          </cell>
          <cell r="BT90" t="str">
            <v>On Time</v>
          </cell>
          <cell r="BU90" t="str">
            <v>On Time</v>
          </cell>
          <cell r="BV90">
            <v>403000</v>
          </cell>
          <cell r="BW90">
            <v>15881</v>
          </cell>
          <cell r="BX90">
            <v>25.376235753416033</v>
          </cell>
          <cell r="BY90">
            <v>106966</v>
          </cell>
          <cell r="BZ90">
            <v>15881</v>
          </cell>
          <cell r="CA90">
            <v>6.7354700585605443</v>
          </cell>
          <cell r="CB90">
            <v>487000</v>
          </cell>
          <cell r="CC90">
            <v>4176</v>
          </cell>
          <cell r="CD90">
            <v>116.61877394636015</v>
          </cell>
          <cell r="CE90">
            <v>372000</v>
          </cell>
          <cell r="CF90">
            <v>4176</v>
          </cell>
          <cell r="CG90">
            <v>89.080459770114942</v>
          </cell>
          <cell r="CH90">
            <v>1332100</v>
          </cell>
          <cell r="CI90">
            <v>15881</v>
          </cell>
          <cell r="CJ90">
            <v>83.880108305522327</v>
          </cell>
          <cell r="CK90">
            <v>8250000</v>
          </cell>
          <cell r="CL90">
            <v>15881</v>
          </cell>
          <cell r="CM90">
            <v>519.4886971853158</v>
          </cell>
          <cell r="CN90">
            <v>390</v>
          </cell>
          <cell r="CO90">
            <v>489.79591836734699</v>
          </cell>
          <cell r="CP90">
            <v>247.05609430287501</v>
          </cell>
          <cell r="CQ90">
            <v>322.56586483390601</v>
          </cell>
          <cell r="CR90">
            <v>173</v>
          </cell>
          <cell r="CS90">
            <v>4242</v>
          </cell>
          <cell r="CT90">
            <v>173</v>
          </cell>
          <cell r="CU90">
            <v>24.520231213872833</v>
          </cell>
          <cell r="CV90">
            <v>23</v>
          </cell>
          <cell r="CW90">
            <v>1000</v>
          </cell>
          <cell r="CX90">
            <v>307000</v>
          </cell>
          <cell r="CY90">
            <v>3.2573289902280132E-3</v>
          </cell>
          <cell r="CZ90">
            <v>719000</v>
          </cell>
          <cell r="DA90">
            <v>15881</v>
          </cell>
          <cell r="DB90">
            <v>45.274227063786917</v>
          </cell>
          <cell r="DC90">
            <v>722000</v>
          </cell>
          <cell r="DD90">
            <v>15881</v>
          </cell>
          <cell r="DE90">
            <v>45.463132044581577</v>
          </cell>
          <cell r="DF90">
            <v>273000</v>
          </cell>
          <cell r="DG90">
            <v>15881</v>
          </cell>
          <cell r="DH90">
            <v>17.190353252314086</v>
          </cell>
          <cell r="DI90">
            <v>8593</v>
          </cell>
          <cell r="DJ90">
            <v>1.8481322006284184</v>
          </cell>
          <cell r="DK90">
            <v>-6.5651644336175395E-3</v>
          </cell>
          <cell r="DL90">
            <v>3.82</v>
          </cell>
          <cell r="DM90">
            <v>1.73</v>
          </cell>
        </row>
        <row r="91">
          <cell r="B91" t="str">
            <v>Jerilderie Shire Council</v>
          </cell>
          <cell r="C91">
            <v>8</v>
          </cell>
          <cell r="D91">
            <v>38000</v>
          </cell>
          <cell r="E91">
            <v>381</v>
          </cell>
          <cell r="F91">
            <v>99.737532808398953</v>
          </cell>
          <cell r="G91">
            <v>979000</v>
          </cell>
          <cell r="H91">
            <v>532</v>
          </cell>
          <cell r="I91">
            <v>1840.2255639097743</v>
          </cell>
          <cell r="J91">
            <v>19000</v>
          </cell>
          <cell r="K91">
            <v>145</v>
          </cell>
          <cell r="L91">
            <v>131.0344827586207</v>
          </cell>
          <cell r="M91">
            <v>52000</v>
          </cell>
          <cell r="N91">
            <v>3041000</v>
          </cell>
          <cell r="O91">
            <v>1.7099638276882604E-2</v>
          </cell>
          <cell r="P91">
            <v>12000</v>
          </cell>
          <cell r="Q91">
            <v>1461000</v>
          </cell>
          <cell r="R91">
            <v>8.2135523613963042E-3</v>
          </cell>
          <cell r="S91">
            <v>-662000</v>
          </cell>
          <cell r="T91">
            <v>2230000</v>
          </cell>
          <cell r="U91">
            <v>-0.2968609865470852</v>
          </cell>
          <cell r="V91">
            <v>1473000</v>
          </cell>
          <cell r="W91">
            <v>6122000</v>
          </cell>
          <cell r="X91">
            <v>0.2406076445606011</v>
          </cell>
          <cell r="Y91">
            <v>1568000</v>
          </cell>
          <cell r="Z91">
            <v>6122000</v>
          </cell>
          <cell r="AA91">
            <v>0.25612544919960795</v>
          </cell>
          <cell r="AB91">
            <v>142000</v>
          </cell>
          <cell r="AC91">
            <v>6122000</v>
          </cell>
          <cell r="AD91">
            <v>2.3195034302515519E-2</v>
          </cell>
          <cell r="AE91">
            <v>2109000</v>
          </cell>
          <cell r="AF91">
            <v>6122000</v>
          </cell>
          <cell r="AG91">
            <v>0.34449526298595229</v>
          </cell>
          <cell r="AH91">
            <v>679000</v>
          </cell>
          <cell r="AI91">
            <v>6122000</v>
          </cell>
          <cell r="AJ91">
            <v>0.11091146684090167</v>
          </cell>
          <cell r="AK91">
            <v>151000</v>
          </cell>
          <cell r="AL91">
            <v>6122000</v>
          </cell>
          <cell r="AM91">
            <v>2.466514211042143E-2</v>
          </cell>
          <cell r="AN91">
            <v>5380000</v>
          </cell>
          <cell r="AO91">
            <v>1879</v>
          </cell>
          <cell r="AP91">
            <v>2863.2251197445448</v>
          </cell>
          <cell r="AQ91">
            <v>2032000</v>
          </cell>
          <cell r="AR91">
            <v>5946000</v>
          </cell>
          <cell r="AS91">
            <v>0.34174234779683821</v>
          </cell>
          <cell r="AT91">
            <v>1938000</v>
          </cell>
          <cell r="AU91">
            <v>5946000</v>
          </cell>
          <cell r="AV91">
            <v>0.32593340060544906</v>
          </cell>
          <cell r="AW91">
            <v>82000</v>
          </cell>
          <cell r="AX91">
            <v>5946000</v>
          </cell>
          <cell r="AY91">
            <v>1.3790783720147999E-2</v>
          </cell>
          <cell r="AZ91">
            <v>1153000</v>
          </cell>
          <cell r="BA91">
            <v>5946000</v>
          </cell>
          <cell r="BB91">
            <v>0.19391187352842246</v>
          </cell>
          <cell r="BC91">
            <v>741000</v>
          </cell>
          <cell r="BD91">
            <v>5946000</v>
          </cell>
          <cell r="BE91">
            <v>0.12462159434914229</v>
          </cell>
          <cell r="BF91">
            <v>5679000</v>
          </cell>
          <cell r="BG91">
            <v>1879</v>
          </cell>
          <cell r="BH91">
            <v>3022.3523150612027</v>
          </cell>
          <cell r="BI91">
            <v>3079000</v>
          </cell>
          <cell r="BJ91">
            <v>1099000</v>
          </cell>
          <cell r="BK91">
            <v>2.8016378525932666</v>
          </cell>
          <cell r="BL91">
            <v>187000</v>
          </cell>
          <cell r="BM91">
            <v>4676000</v>
          </cell>
          <cell r="BN91">
            <v>3.9991445680068433E-2</v>
          </cell>
          <cell r="BO91">
            <v>901000</v>
          </cell>
          <cell r="BP91">
            <v>1091000</v>
          </cell>
          <cell r="BQ91">
            <v>0.82584784601283223</v>
          </cell>
          <cell r="BR91">
            <v>45</v>
          </cell>
          <cell r="BS91" t="str">
            <v>Not Received</v>
          </cell>
          <cell r="BT91" t="str">
            <v>On Time</v>
          </cell>
          <cell r="BU91" t="str">
            <v>&lt;=2</v>
          </cell>
          <cell r="BV91">
            <v>39000</v>
          </cell>
          <cell r="BW91">
            <v>1879</v>
          </cell>
          <cell r="BX91">
            <v>20.755721128259712</v>
          </cell>
          <cell r="BY91">
            <v>7697</v>
          </cell>
          <cell r="BZ91">
            <v>1879</v>
          </cell>
          <cell r="CA91">
            <v>4.0963278339542306</v>
          </cell>
          <cell r="CB91">
            <v>31000</v>
          </cell>
          <cell r="CC91">
            <v>400</v>
          </cell>
          <cell r="CD91">
            <v>77.5</v>
          </cell>
          <cell r="CE91">
            <v>24481</v>
          </cell>
          <cell r="CF91">
            <v>326</v>
          </cell>
          <cell r="CG91">
            <v>75.095092024539881</v>
          </cell>
          <cell r="CI91">
            <v>1879</v>
          </cell>
          <cell r="CJ91" t="str">
            <v>N/A</v>
          </cell>
          <cell r="CK91">
            <v>250000</v>
          </cell>
          <cell r="CL91">
            <v>1879</v>
          </cell>
          <cell r="CM91">
            <v>133.04949441192124</v>
          </cell>
          <cell r="CN91">
            <v>502.51169496397898</v>
          </cell>
          <cell r="CO91">
            <v>303.880317905563</v>
          </cell>
          <cell r="CP91">
            <v>572.19973009446699</v>
          </cell>
          <cell r="CQ91">
            <v>258.14536340852101</v>
          </cell>
          <cell r="CR91">
            <v>20</v>
          </cell>
          <cell r="CS91">
            <v>456</v>
          </cell>
          <cell r="CT91">
            <v>20</v>
          </cell>
          <cell r="CU91">
            <v>22.8</v>
          </cell>
          <cell r="CV91">
            <v>17.5</v>
          </cell>
          <cell r="CW91">
            <v>0</v>
          </cell>
          <cell r="CX91">
            <v>89000</v>
          </cell>
          <cell r="CY91">
            <v>0</v>
          </cell>
          <cell r="CZ91">
            <v>146000</v>
          </cell>
          <cell r="DA91">
            <v>1879</v>
          </cell>
          <cell r="DB91">
            <v>77.700904736561995</v>
          </cell>
          <cell r="DC91">
            <v>202000</v>
          </cell>
          <cell r="DD91">
            <v>1879</v>
          </cell>
          <cell r="DE91">
            <v>107.50399148483235</v>
          </cell>
          <cell r="DF91">
            <v>3000</v>
          </cell>
          <cell r="DG91">
            <v>1879</v>
          </cell>
          <cell r="DH91">
            <v>1.5965939329430547</v>
          </cell>
          <cell r="DI91">
            <v>3375.4</v>
          </cell>
          <cell r="DJ91">
            <v>0.55667476447235886</v>
          </cell>
          <cell r="DK91">
            <v>-1.1640211640211639E-3</v>
          </cell>
          <cell r="DL91">
            <v>1.1499999999999999</v>
          </cell>
          <cell r="DM91">
            <v>2.89</v>
          </cell>
        </row>
        <row r="92">
          <cell r="B92" t="str">
            <v>Junee Shire Council</v>
          </cell>
          <cell r="C92">
            <v>10</v>
          </cell>
          <cell r="D92">
            <v>581000</v>
          </cell>
          <cell r="E92">
            <v>1758</v>
          </cell>
          <cell r="F92">
            <v>330.48919226393627</v>
          </cell>
          <cell r="G92">
            <v>830000</v>
          </cell>
          <cell r="H92">
            <v>723</v>
          </cell>
          <cell r="I92">
            <v>1147.9944674965423</v>
          </cell>
          <cell r="J92">
            <v>135000</v>
          </cell>
          <cell r="K92">
            <v>159</v>
          </cell>
          <cell r="L92">
            <v>849.05660377358492</v>
          </cell>
          <cell r="M92">
            <v>178000</v>
          </cell>
          <cell r="N92">
            <v>4696000</v>
          </cell>
          <cell r="O92">
            <v>3.7904599659284499E-2</v>
          </cell>
          <cell r="P92">
            <v>115000</v>
          </cell>
          <cell r="Q92">
            <v>2070000</v>
          </cell>
          <cell r="R92">
            <v>5.5555555555555552E-2</v>
          </cell>
          <cell r="S92">
            <v>954000</v>
          </cell>
          <cell r="T92">
            <v>1557000</v>
          </cell>
          <cell r="U92">
            <v>0.61271676300578037</v>
          </cell>
          <cell r="V92">
            <v>2185000</v>
          </cell>
          <cell r="W92">
            <v>9078000</v>
          </cell>
          <cell r="X92">
            <v>0.2406917823309099</v>
          </cell>
          <cell r="Y92">
            <v>2511000</v>
          </cell>
          <cell r="Z92">
            <v>9078000</v>
          </cell>
          <cell r="AA92">
            <v>0.27660277594183741</v>
          </cell>
          <cell r="AB92">
            <v>87000</v>
          </cell>
          <cell r="AC92">
            <v>9078000</v>
          </cell>
          <cell r="AD92">
            <v>9.5836087243886311E-3</v>
          </cell>
          <cell r="AE92">
            <v>4059000</v>
          </cell>
          <cell r="AF92">
            <v>9078000</v>
          </cell>
          <cell r="AG92">
            <v>0.4471249173826834</v>
          </cell>
          <cell r="AH92">
            <v>94000</v>
          </cell>
          <cell r="AI92">
            <v>9078000</v>
          </cell>
          <cell r="AJ92">
            <v>1.0354703679224499E-2</v>
          </cell>
          <cell r="AK92">
            <v>142000</v>
          </cell>
          <cell r="AL92">
            <v>9078000</v>
          </cell>
          <cell r="AM92">
            <v>1.5642211940956156E-2</v>
          </cell>
          <cell r="AN92">
            <v>7559000</v>
          </cell>
          <cell r="AO92">
            <v>5890</v>
          </cell>
          <cell r="AP92">
            <v>1283.3616298811544</v>
          </cell>
          <cell r="AQ92">
            <v>2609000</v>
          </cell>
          <cell r="AR92">
            <v>8550000</v>
          </cell>
          <cell r="AS92">
            <v>0.30514619883040933</v>
          </cell>
          <cell r="AT92">
            <v>3734000</v>
          </cell>
          <cell r="AU92">
            <v>8550000</v>
          </cell>
          <cell r="AV92">
            <v>0.43672514619883041</v>
          </cell>
          <cell r="AW92">
            <v>28000</v>
          </cell>
          <cell r="AX92">
            <v>8550000</v>
          </cell>
          <cell r="AY92">
            <v>3.2748538011695906E-3</v>
          </cell>
          <cell r="AZ92">
            <v>1706000</v>
          </cell>
          <cell r="BA92">
            <v>8550000</v>
          </cell>
          <cell r="BB92">
            <v>0.19953216374269006</v>
          </cell>
          <cell r="BC92">
            <v>473000</v>
          </cell>
          <cell r="BD92">
            <v>8550000</v>
          </cell>
          <cell r="BE92">
            <v>5.5321637426900584E-2</v>
          </cell>
          <cell r="BF92">
            <v>8152000</v>
          </cell>
          <cell r="BG92">
            <v>5890</v>
          </cell>
          <cell r="BH92">
            <v>1384.0407470288624</v>
          </cell>
          <cell r="BI92">
            <v>2477000</v>
          </cell>
          <cell r="BJ92">
            <v>1522000</v>
          </cell>
          <cell r="BK92">
            <v>1.6274638633377136</v>
          </cell>
          <cell r="BL92">
            <v>163000</v>
          </cell>
          <cell r="BM92">
            <v>6631000</v>
          </cell>
          <cell r="BN92">
            <v>2.4581511084301011E-2</v>
          </cell>
          <cell r="BO92">
            <v>2212000</v>
          </cell>
          <cell r="BP92">
            <v>1588000</v>
          </cell>
          <cell r="BQ92">
            <v>1.3929471032745593</v>
          </cell>
          <cell r="BR92">
            <v>65</v>
          </cell>
          <cell r="BS92" t="str">
            <v>On Time</v>
          </cell>
          <cell r="BT92" t="str">
            <v>On Time</v>
          </cell>
          <cell r="BU92" t="str">
            <v>On Time</v>
          </cell>
          <cell r="BV92">
            <v>128000</v>
          </cell>
          <cell r="BW92">
            <v>5890</v>
          </cell>
          <cell r="BX92">
            <v>21.731748726655347</v>
          </cell>
          <cell r="BY92">
            <v>29202</v>
          </cell>
          <cell r="BZ92">
            <v>5890</v>
          </cell>
          <cell r="CA92">
            <v>4.9578947368421051</v>
          </cell>
          <cell r="CB92">
            <v>323000</v>
          </cell>
          <cell r="CC92">
            <v>1385</v>
          </cell>
          <cell r="CD92">
            <v>233.21299638989169</v>
          </cell>
          <cell r="CE92">
            <v>140334</v>
          </cell>
          <cell r="CF92">
            <v>1385</v>
          </cell>
          <cell r="CG92">
            <v>101.32418772563177</v>
          </cell>
          <cell r="CH92">
            <v>437000</v>
          </cell>
          <cell r="CI92">
            <v>5890</v>
          </cell>
          <cell r="CJ92">
            <v>74.193548387096769</v>
          </cell>
          <cell r="CK92">
            <v>1612000</v>
          </cell>
          <cell r="CL92">
            <v>5890</v>
          </cell>
          <cell r="CM92">
            <v>273.68421052631578</v>
          </cell>
          <cell r="CN92" t="str">
            <v>N/A</v>
          </cell>
          <cell r="CO92" t="str">
            <v>N/A</v>
          </cell>
          <cell r="CP92">
            <v>258</v>
          </cell>
          <cell r="CQ92">
            <v>279</v>
          </cell>
          <cell r="CR92">
            <v>116</v>
          </cell>
          <cell r="CS92">
            <v>1166</v>
          </cell>
          <cell r="CT92">
            <v>116</v>
          </cell>
          <cell r="CU92">
            <v>10.051724137931034</v>
          </cell>
          <cell r="CV92">
            <v>5</v>
          </cell>
          <cell r="CW92">
            <v>0</v>
          </cell>
          <cell r="CX92">
            <v>115000</v>
          </cell>
          <cell r="CY92">
            <v>0</v>
          </cell>
          <cell r="CZ92">
            <v>234000</v>
          </cell>
          <cell r="DA92">
            <v>5890</v>
          </cell>
          <cell r="DB92">
            <v>39.728353140916809</v>
          </cell>
          <cell r="DC92">
            <v>490000</v>
          </cell>
          <cell r="DD92">
            <v>5890</v>
          </cell>
          <cell r="DE92">
            <v>83.191850594227503</v>
          </cell>
          <cell r="DF92">
            <v>803000</v>
          </cell>
          <cell r="DG92">
            <v>5890</v>
          </cell>
          <cell r="DH92">
            <v>136.3327674023769</v>
          </cell>
          <cell r="DI92">
            <v>2030.6</v>
          </cell>
          <cell r="DJ92">
            <v>2.9006205062543091</v>
          </cell>
          <cell r="DK92">
            <v>-0.01</v>
          </cell>
          <cell r="DL92">
            <v>2.42</v>
          </cell>
          <cell r="DM92">
            <v>2.38</v>
          </cell>
        </row>
        <row r="93">
          <cell r="B93" t="str">
            <v>Kempsey Shire Council</v>
          </cell>
          <cell r="C93">
            <v>4</v>
          </cell>
          <cell r="D93">
            <v>4675000</v>
          </cell>
          <cell r="E93">
            <v>11106</v>
          </cell>
          <cell r="F93">
            <v>420.94363407167299</v>
          </cell>
          <cell r="G93">
            <v>1421000</v>
          </cell>
          <cell r="H93">
            <v>1412</v>
          </cell>
          <cell r="I93">
            <v>1006.3739376770538</v>
          </cell>
          <cell r="J93">
            <v>737000</v>
          </cell>
          <cell r="K93">
            <v>750</v>
          </cell>
          <cell r="L93">
            <v>982.66666666666663</v>
          </cell>
          <cell r="M93">
            <v>1794000</v>
          </cell>
          <cell r="N93">
            <v>21179000</v>
          </cell>
          <cell r="O93">
            <v>8.4706548939987719E-2</v>
          </cell>
          <cell r="P93">
            <v>715000</v>
          </cell>
          <cell r="Q93">
            <v>15480000</v>
          </cell>
          <cell r="R93">
            <v>4.6188630490956076E-2</v>
          </cell>
          <cell r="S93">
            <v>47000</v>
          </cell>
          <cell r="T93">
            <v>4937000</v>
          </cell>
          <cell r="U93">
            <v>9.5199513874822759E-3</v>
          </cell>
          <cell r="V93">
            <v>16195000</v>
          </cell>
          <cell r="W93">
            <v>36479000</v>
          </cell>
          <cell r="X93">
            <v>0.44395405575810742</v>
          </cell>
          <cell r="Y93">
            <v>4984000</v>
          </cell>
          <cell r="Z93">
            <v>36479000</v>
          </cell>
          <cell r="AA93">
            <v>0.13662655226294582</v>
          </cell>
          <cell r="AB93">
            <v>912000</v>
          </cell>
          <cell r="AC93">
            <v>36479000</v>
          </cell>
          <cell r="AD93">
            <v>2.5000685325803886E-2</v>
          </cell>
          <cell r="AE93">
            <v>7783000</v>
          </cell>
          <cell r="AF93">
            <v>36479000</v>
          </cell>
          <cell r="AG93">
            <v>0.21335562926615312</v>
          </cell>
          <cell r="AH93">
            <v>6536000</v>
          </cell>
          <cell r="AI93">
            <v>36479000</v>
          </cell>
          <cell r="AJ93">
            <v>0.17917157816826118</v>
          </cell>
          <cell r="AK93">
            <v>69000</v>
          </cell>
          <cell r="AL93">
            <v>36479000</v>
          </cell>
          <cell r="AM93">
            <v>1.8914992187285835E-3</v>
          </cell>
          <cell r="AN93">
            <v>21737000</v>
          </cell>
          <cell r="AO93">
            <v>27512</v>
          </cell>
          <cell r="AP93">
            <v>790.09159639430072</v>
          </cell>
          <cell r="AQ93">
            <v>11866000</v>
          </cell>
          <cell r="AR93">
            <v>34611000</v>
          </cell>
          <cell r="AS93">
            <v>0.3428389818265869</v>
          </cell>
          <cell r="AT93">
            <v>8833000</v>
          </cell>
          <cell r="AU93">
            <v>34611000</v>
          </cell>
          <cell r="AV93">
            <v>0.25520788188726129</v>
          </cell>
          <cell r="AW93">
            <v>1714000</v>
          </cell>
          <cell r="AX93">
            <v>34611000</v>
          </cell>
          <cell r="AY93">
            <v>4.9521828320476149E-2</v>
          </cell>
          <cell r="AZ93">
            <v>9404000</v>
          </cell>
          <cell r="BA93">
            <v>34611000</v>
          </cell>
          <cell r="BB93">
            <v>0.27170552714454943</v>
          </cell>
          <cell r="BC93">
            <v>2794000</v>
          </cell>
          <cell r="BD93">
            <v>34611000</v>
          </cell>
          <cell r="BE93">
            <v>8.0725780821126233E-2</v>
          </cell>
          <cell r="BF93">
            <v>26158000</v>
          </cell>
          <cell r="BG93">
            <v>27512</v>
          </cell>
          <cell r="BH93">
            <v>950.78511195114856</v>
          </cell>
          <cell r="BI93">
            <v>8255000</v>
          </cell>
          <cell r="BJ93">
            <v>6353000</v>
          </cell>
          <cell r="BK93">
            <v>1.2993861167952148</v>
          </cell>
          <cell r="BL93">
            <v>5682000</v>
          </cell>
          <cell r="BM93">
            <v>25924000</v>
          </cell>
          <cell r="BN93">
            <v>0.2191791390217559</v>
          </cell>
          <cell r="BO93">
            <v>7736000</v>
          </cell>
          <cell r="BP93">
            <v>7423000</v>
          </cell>
          <cell r="BQ93">
            <v>1.0421662400646639</v>
          </cell>
          <cell r="BR93">
            <v>273</v>
          </cell>
          <cell r="BS93" t="str">
            <v>On Time</v>
          </cell>
          <cell r="BT93" t="str">
            <v>On Time</v>
          </cell>
          <cell r="BU93" t="str">
            <v>On Time</v>
          </cell>
          <cell r="BV93">
            <v>698000</v>
          </cell>
          <cell r="BW93">
            <v>27512</v>
          </cell>
          <cell r="BX93">
            <v>25.370747310264612</v>
          </cell>
          <cell r="BY93">
            <v>215451</v>
          </cell>
          <cell r="BZ93">
            <v>27512</v>
          </cell>
          <cell r="CA93">
            <v>7.8311645827275367</v>
          </cell>
          <cell r="CB93">
            <v>1001000</v>
          </cell>
          <cell r="CC93">
            <v>9377</v>
          </cell>
          <cell r="CD93">
            <v>106.75055988055881</v>
          </cell>
          <cell r="CE93">
            <v>624000</v>
          </cell>
          <cell r="CF93">
            <v>9762</v>
          </cell>
          <cell r="CG93">
            <v>63.921327596803934</v>
          </cell>
          <cell r="CH93">
            <v>10900200</v>
          </cell>
          <cell r="CI93">
            <v>27512</v>
          </cell>
          <cell r="CJ93">
            <v>396.19802268101193</v>
          </cell>
          <cell r="CK93">
            <v>9296664</v>
          </cell>
          <cell r="CL93">
            <v>27512</v>
          </cell>
          <cell r="CM93">
            <v>337.91305612096539</v>
          </cell>
          <cell r="CN93">
            <v>389.627783504224</v>
          </cell>
          <cell r="CO93">
            <v>285.72688779110803</v>
          </cell>
          <cell r="CP93">
            <v>433.109072022161</v>
          </cell>
          <cell r="CQ93">
            <v>471.75</v>
          </cell>
          <cell r="CR93">
            <v>595</v>
          </cell>
          <cell r="CS93">
            <v>18798</v>
          </cell>
          <cell r="CT93">
            <v>595</v>
          </cell>
          <cell r="CU93">
            <v>31.593277310924371</v>
          </cell>
          <cell r="CV93">
            <v>23</v>
          </cell>
          <cell r="CW93">
            <v>46000</v>
          </cell>
          <cell r="CX93">
            <v>1082000</v>
          </cell>
          <cell r="CY93">
            <v>4.2513863216266171E-2</v>
          </cell>
          <cell r="CZ93">
            <v>1922000</v>
          </cell>
          <cell r="DA93">
            <v>27512</v>
          </cell>
          <cell r="DB93">
            <v>69.860424542018023</v>
          </cell>
          <cell r="DC93">
            <v>1906000</v>
          </cell>
          <cell r="DD93">
            <v>27512</v>
          </cell>
          <cell r="DE93">
            <v>69.278860133759821</v>
          </cell>
          <cell r="DF93">
            <v>1382000</v>
          </cell>
          <cell r="DG93">
            <v>27512</v>
          </cell>
          <cell r="DH93">
            <v>50.232625763303282</v>
          </cell>
          <cell r="DI93">
            <v>3379.6</v>
          </cell>
          <cell r="DJ93">
            <v>8.1406083560184648</v>
          </cell>
          <cell r="DK93">
            <v>2.6666666666666666E-3</v>
          </cell>
          <cell r="DL93">
            <v>6.86</v>
          </cell>
          <cell r="DM93">
            <v>2</v>
          </cell>
        </row>
        <row r="94">
          <cell r="B94" t="str">
            <v>Kiama, The Council of the Municipality of</v>
          </cell>
          <cell r="C94">
            <v>4</v>
          </cell>
          <cell r="D94">
            <v>6163000</v>
          </cell>
          <cell r="E94">
            <v>7754</v>
          </cell>
          <cell r="F94">
            <v>794.81557905597106</v>
          </cell>
          <cell r="G94">
            <v>836000</v>
          </cell>
          <cell r="H94">
            <v>453</v>
          </cell>
          <cell r="I94">
            <v>1845.4746136865342</v>
          </cell>
          <cell r="J94">
            <v>391000</v>
          </cell>
          <cell r="K94">
            <v>318</v>
          </cell>
          <cell r="L94">
            <v>1229.559748427673</v>
          </cell>
          <cell r="M94">
            <v>867000</v>
          </cell>
          <cell r="N94">
            <v>18301000</v>
          </cell>
          <cell r="O94">
            <v>4.7374460411999345E-2</v>
          </cell>
          <cell r="P94">
            <v>410000</v>
          </cell>
          <cell r="Q94">
            <v>8486000</v>
          </cell>
          <cell r="R94">
            <v>4.8314871553146357E-2</v>
          </cell>
          <cell r="S94">
            <v>1156000</v>
          </cell>
          <cell r="T94">
            <v>8249000</v>
          </cell>
          <cell r="U94">
            <v>0.14013819856952359</v>
          </cell>
          <cell r="V94">
            <v>8896000</v>
          </cell>
          <cell r="W94">
            <v>26601000</v>
          </cell>
          <cell r="X94">
            <v>0.3344235179128604</v>
          </cell>
          <cell r="Y94">
            <v>9405000</v>
          </cell>
          <cell r="Z94">
            <v>26601000</v>
          </cell>
          <cell r="AA94">
            <v>0.35355813691214616</v>
          </cell>
          <cell r="AB94">
            <v>417000</v>
          </cell>
          <cell r="AC94">
            <v>26601000</v>
          </cell>
          <cell r="AD94">
            <v>1.5676102402165333E-2</v>
          </cell>
          <cell r="AE94">
            <v>6165000</v>
          </cell>
          <cell r="AF94">
            <v>26601000</v>
          </cell>
          <cell r="AG94">
            <v>0.23175820457877525</v>
          </cell>
          <cell r="AH94">
            <v>541000</v>
          </cell>
          <cell r="AI94">
            <v>26601000</v>
          </cell>
          <cell r="AJ94">
            <v>2.0337581293936317E-2</v>
          </cell>
          <cell r="AK94">
            <v>1177000</v>
          </cell>
          <cell r="AL94">
            <v>26601000</v>
          </cell>
          <cell r="AM94">
            <v>4.424645690011654E-2</v>
          </cell>
          <cell r="AN94">
            <v>26243000</v>
          </cell>
          <cell r="AO94">
            <v>20010</v>
          </cell>
          <cell r="AP94">
            <v>1311.4942528735633</v>
          </cell>
          <cell r="AQ94">
            <v>12961000</v>
          </cell>
          <cell r="AR94">
            <v>27937000</v>
          </cell>
          <cell r="AS94">
            <v>0.46393671475104697</v>
          </cell>
          <cell r="AT94">
            <v>7589000</v>
          </cell>
          <cell r="AU94">
            <v>27937000</v>
          </cell>
          <cell r="AV94">
            <v>0.27164691985538891</v>
          </cell>
          <cell r="AW94">
            <v>325000</v>
          </cell>
          <cell r="AX94">
            <v>27937000</v>
          </cell>
          <cell r="AY94">
            <v>1.1633317822242903E-2</v>
          </cell>
          <cell r="AZ94">
            <v>4101000</v>
          </cell>
          <cell r="BA94">
            <v>27937000</v>
          </cell>
          <cell r="BB94">
            <v>0.14679457350467123</v>
          </cell>
          <cell r="BC94">
            <v>2961000</v>
          </cell>
          <cell r="BD94">
            <v>27937000</v>
          </cell>
          <cell r="BE94">
            <v>0.10598847406664996</v>
          </cell>
          <cell r="BF94">
            <v>27937000</v>
          </cell>
          <cell r="BG94">
            <v>20010</v>
          </cell>
          <cell r="BH94">
            <v>1396.151924037981</v>
          </cell>
          <cell r="BI94">
            <v>10380000</v>
          </cell>
          <cell r="BJ94">
            <v>6121000</v>
          </cell>
          <cell r="BK94">
            <v>1.6958013396503839</v>
          </cell>
          <cell r="BL94">
            <v>1511000</v>
          </cell>
          <cell r="BM94">
            <v>21717000</v>
          </cell>
          <cell r="BN94">
            <v>6.9576829212137953E-2</v>
          </cell>
          <cell r="BO94">
            <v>4183000</v>
          </cell>
          <cell r="BP94">
            <v>4101000</v>
          </cell>
          <cell r="BQ94">
            <v>1.0199951231406974</v>
          </cell>
          <cell r="BR94">
            <v>231</v>
          </cell>
          <cell r="BS94" t="str">
            <v>On Time</v>
          </cell>
          <cell r="BT94" t="str">
            <v>On Time</v>
          </cell>
          <cell r="BU94" t="str">
            <v>On Time</v>
          </cell>
          <cell r="BV94">
            <v>532000</v>
          </cell>
          <cell r="BW94">
            <v>20010</v>
          </cell>
          <cell r="BX94">
            <v>26.58670664667666</v>
          </cell>
          <cell r="BY94">
            <v>157662</v>
          </cell>
          <cell r="BZ94">
            <v>20010</v>
          </cell>
          <cell r="CA94">
            <v>7.8791604197901046</v>
          </cell>
          <cell r="CB94">
            <v>1291000</v>
          </cell>
          <cell r="CC94">
            <v>7600</v>
          </cell>
          <cell r="CD94">
            <v>169.86842105263159</v>
          </cell>
          <cell r="CE94">
            <v>925000</v>
          </cell>
          <cell r="CF94">
            <v>7301</v>
          </cell>
          <cell r="CG94">
            <v>126.69497329132996</v>
          </cell>
          <cell r="CH94">
            <v>2177740</v>
          </cell>
          <cell r="CI94">
            <v>20010</v>
          </cell>
          <cell r="CJ94">
            <v>108.83258370814593</v>
          </cell>
          <cell r="CK94">
            <v>3642240</v>
          </cell>
          <cell r="CL94">
            <v>20010</v>
          </cell>
          <cell r="CM94">
            <v>182.02098950524737</v>
          </cell>
          <cell r="CN94" t="str">
            <v>N/A</v>
          </cell>
          <cell r="CO94" t="str">
            <v>N/A</v>
          </cell>
          <cell r="CP94" t="str">
            <v>N/A</v>
          </cell>
          <cell r="CQ94" t="str">
            <v>N/A</v>
          </cell>
          <cell r="CR94">
            <v>470</v>
          </cell>
          <cell r="CS94">
            <v>23271</v>
          </cell>
          <cell r="CT94">
            <v>470</v>
          </cell>
          <cell r="CU94">
            <v>49.51276595744681</v>
          </cell>
          <cell r="CV94">
            <v>23</v>
          </cell>
          <cell r="CW94">
            <v>63000</v>
          </cell>
          <cell r="CX94">
            <v>423000</v>
          </cell>
          <cell r="CY94">
            <v>0.14893617021276595</v>
          </cell>
          <cell r="CZ94">
            <v>935000</v>
          </cell>
          <cell r="DA94">
            <v>20010</v>
          </cell>
          <cell r="DB94">
            <v>46.726636681659173</v>
          </cell>
          <cell r="DC94">
            <v>1885000</v>
          </cell>
          <cell r="DD94">
            <v>20010</v>
          </cell>
          <cell r="DE94">
            <v>94.20289855072464</v>
          </cell>
          <cell r="DF94">
            <v>5655000</v>
          </cell>
          <cell r="DG94">
            <v>20010</v>
          </cell>
          <cell r="DH94">
            <v>282.60869565217394</v>
          </cell>
          <cell r="DI94">
            <v>257.8</v>
          </cell>
          <cell r="DJ94">
            <v>77.61830876648564</v>
          </cell>
          <cell r="DK94">
            <v>1.3212573255194459E-2</v>
          </cell>
          <cell r="DL94">
            <v>0.81</v>
          </cell>
          <cell r="DM94">
            <v>4</v>
          </cell>
        </row>
        <row r="95">
          <cell r="B95" t="str">
            <v>Kogarah Municipal Council</v>
          </cell>
          <cell r="C95">
            <v>2</v>
          </cell>
          <cell r="D95">
            <v>11125000</v>
          </cell>
          <cell r="E95">
            <v>18943</v>
          </cell>
          <cell r="F95">
            <v>587.28818033046502</v>
          </cell>
          <cell r="G95">
            <v>0</v>
          </cell>
          <cell r="H95">
            <v>0</v>
          </cell>
          <cell r="I95" t="str">
            <v>N/A</v>
          </cell>
          <cell r="J95">
            <v>1670000</v>
          </cell>
          <cell r="K95">
            <v>912</v>
          </cell>
          <cell r="L95">
            <v>1831.140350877193</v>
          </cell>
          <cell r="M95">
            <v>643000</v>
          </cell>
          <cell r="N95">
            <v>19493000</v>
          </cell>
          <cell r="O95">
            <v>3.2986200174421589E-2</v>
          </cell>
          <cell r="P95">
            <v>1118000</v>
          </cell>
          <cell r="Q95">
            <v>16238000</v>
          </cell>
          <cell r="R95">
            <v>6.8850843699963055E-2</v>
          </cell>
          <cell r="S95">
            <v>418000</v>
          </cell>
          <cell r="T95">
            <v>1719000</v>
          </cell>
          <cell r="U95">
            <v>0.24316463059918558</v>
          </cell>
          <cell r="V95">
            <v>17356000</v>
          </cell>
          <cell r="W95">
            <v>27779000</v>
          </cell>
          <cell r="X95">
            <v>0.6247885093055906</v>
          </cell>
          <cell r="Y95">
            <v>2137000</v>
          </cell>
          <cell r="Z95">
            <v>27779000</v>
          </cell>
          <cell r="AA95">
            <v>7.6928615140933798E-2</v>
          </cell>
          <cell r="AB95">
            <v>1027000</v>
          </cell>
          <cell r="AC95">
            <v>27779000</v>
          </cell>
          <cell r="AD95">
            <v>3.6970373303574645E-2</v>
          </cell>
          <cell r="AE95">
            <v>4057000</v>
          </cell>
          <cell r="AF95">
            <v>27779000</v>
          </cell>
          <cell r="AG95">
            <v>0.14604557399474424</v>
          </cell>
          <cell r="AH95">
            <v>2259000</v>
          </cell>
          <cell r="AI95">
            <v>27779000</v>
          </cell>
          <cell r="AJ95">
            <v>8.1320421901436332E-2</v>
          </cell>
          <cell r="AK95">
            <v>943000</v>
          </cell>
          <cell r="AL95">
            <v>27779000</v>
          </cell>
          <cell r="AM95">
            <v>3.3946506353720436E-2</v>
          </cell>
          <cell r="AN95">
            <v>27210000</v>
          </cell>
          <cell r="AO95">
            <v>52641</v>
          </cell>
          <cell r="AP95">
            <v>516.89747535191202</v>
          </cell>
          <cell r="AQ95">
            <v>10720000</v>
          </cell>
          <cell r="AR95">
            <v>28187000</v>
          </cell>
          <cell r="AS95">
            <v>0.38031716748855854</v>
          </cell>
          <cell r="AT95">
            <v>5233000</v>
          </cell>
          <cell r="AU95">
            <v>28187000</v>
          </cell>
          <cell r="AV95">
            <v>0.18565296058466668</v>
          </cell>
          <cell r="AW95">
            <v>7000</v>
          </cell>
          <cell r="AX95">
            <v>28187000</v>
          </cell>
          <cell r="AY95">
            <v>2.4834143399439458E-4</v>
          </cell>
          <cell r="AZ95">
            <v>5675000</v>
          </cell>
          <cell r="BA95">
            <v>28187000</v>
          </cell>
          <cell r="BB95">
            <v>0.20133394827402704</v>
          </cell>
          <cell r="BC95">
            <v>6552000</v>
          </cell>
          <cell r="BD95">
            <v>28187000</v>
          </cell>
          <cell r="BE95">
            <v>0.23244758221875333</v>
          </cell>
          <cell r="BF95">
            <v>28187000</v>
          </cell>
          <cell r="BG95">
            <v>52641</v>
          </cell>
          <cell r="BH95">
            <v>535.45715316958263</v>
          </cell>
          <cell r="BI95">
            <v>7553000</v>
          </cell>
          <cell r="BJ95">
            <v>5117000</v>
          </cell>
          <cell r="BK95">
            <v>1.4760601915184679</v>
          </cell>
          <cell r="BL95">
            <v>7000</v>
          </cell>
          <cell r="BM95">
            <v>25605000</v>
          </cell>
          <cell r="BN95">
            <v>2.7338410466705719E-4</v>
          </cell>
          <cell r="BO95">
            <v>8817000</v>
          </cell>
          <cell r="BP95">
            <v>5675000</v>
          </cell>
          <cell r="BQ95">
            <v>1.5536563876651983</v>
          </cell>
          <cell r="BR95">
            <v>203.6</v>
          </cell>
          <cell r="BS95" t="str">
            <v>On Time</v>
          </cell>
          <cell r="BT95" t="str">
            <v>On Time</v>
          </cell>
          <cell r="BU95" t="str">
            <v>On Time</v>
          </cell>
          <cell r="BV95">
            <v>1355000</v>
          </cell>
          <cell r="BW95">
            <v>52641</v>
          </cell>
          <cell r="BX95">
            <v>25.740392469747913</v>
          </cell>
          <cell r="BY95">
            <v>300352</v>
          </cell>
          <cell r="BZ95">
            <v>52641</v>
          </cell>
          <cell r="CA95">
            <v>5.7056666856632665</v>
          </cell>
          <cell r="CB95">
            <v>4212000</v>
          </cell>
          <cell r="CC95">
            <v>19045</v>
          </cell>
          <cell r="CD95">
            <v>221.16040955631399</v>
          </cell>
          <cell r="CE95">
            <v>2739490</v>
          </cell>
          <cell r="CF95">
            <v>19045</v>
          </cell>
          <cell r="CG95">
            <v>143.8430034129693</v>
          </cell>
          <cell r="CH95">
            <v>5618000</v>
          </cell>
          <cell r="CI95">
            <v>52641</v>
          </cell>
          <cell r="CJ95">
            <v>106.72289660150832</v>
          </cell>
          <cell r="CK95">
            <v>9839000</v>
          </cell>
          <cell r="CL95">
            <v>52641</v>
          </cell>
          <cell r="CM95">
            <v>186.9075435497046</v>
          </cell>
          <cell r="CN95" t="str">
            <v>N/A</v>
          </cell>
          <cell r="CO95" t="str">
            <v>N/A</v>
          </cell>
          <cell r="CP95" t="str">
            <v>N/A</v>
          </cell>
          <cell r="CQ95" t="str">
            <v>N/A</v>
          </cell>
          <cell r="CR95">
            <v>651</v>
          </cell>
          <cell r="CS95">
            <v>40006</v>
          </cell>
          <cell r="CT95">
            <v>651</v>
          </cell>
          <cell r="CU95">
            <v>61.453149001536097</v>
          </cell>
          <cell r="CV95">
            <v>42</v>
          </cell>
          <cell r="CW95">
            <v>222000</v>
          </cell>
          <cell r="CX95">
            <v>1458000</v>
          </cell>
          <cell r="CY95">
            <v>0.15226337448559671</v>
          </cell>
          <cell r="CZ95">
            <v>1228000</v>
          </cell>
          <cell r="DA95">
            <v>52641</v>
          </cell>
          <cell r="DB95">
            <v>23.327824319446819</v>
          </cell>
          <cell r="DC95">
            <v>1087000</v>
          </cell>
          <cell r="DD95">
            <v>52641</v>
          </cell>
          <cell r="DE95">
            <v>20.649303774624343</v>
          </cell>
          <cell r="DF95">
            <v>1369000</v>
          </cell>
          <cell r="DG95">
            <v>52641</v>
          </cell>
          <cell r="DH95">
            <v>26.006344864269295</v>
          </cell>
          <cell r="DI95">
            <v>15.6</v>
          </cell>
          <cell r="DJ95">
            <v>3374.4230769230771</v>
          </cell>
          <cell r="DK95">
            <v>1.7300309597523218E-2</v>
          </cell>
          <cell r="DL95">
            <v>0.36</v>
          </cell>
          <cell r="DM95">
            <v>24.31</v>
          </cell>
        </row>
        <row r="96">
          <cell r="B96" t="str">
            <v>Ku-ring-gai Council</v>
          </cell>
          <cell r="C96">
            <v>3</v>
          </cell>
          <cell r="D96">
            <v>28862000</v>
          </cell>
          <cell r="E96">
            <v>35087</v>
          </cell>
          <cell r="F96">
            <v>822.58386296919082</v>
          </cell>
          <cell r="G96">
            <v>0</v>
          </cell>
          <cell r="H96">
            <v>0</v>
          </cell>
          <cell r="I96" t="str">
            <v>N/A</v>
          </cell>
          <cell r="J96">
            <v>1924000</v>
          </cell>
          <cell r="K96">
            <v>862</v>
          </cell>
          <cell r="L96">
            <v>2232.0185614849188</v>
          </cell>
          <cell r="M96">
            <v>1943000</v>
          </cell>
          <cell r="N96">
            <v>52721000</v>
          </cell>
          <cell r="O96">
            <v>3.6854384400902863E-2</v>
          </cell>
          <cell r="P96">
            <v>1570000</v>
          </cell>
          <cell r="Q96">
            <v>38046000</v>
          </cell>
          <cell r="R96">
            <v>4.1265836093150397E-2</v>
          </cell>
          <cell r="S96">
            <v>1151000</v>
          </cell>
          <cell r="T96">
            <v>11954000</v>
          </cell>
          <cell r="U96">
            <v>9.6285762088004018E-2</v>
          </cell>
          <cell r="V96">
            <v>39616000</v>
          </cell>
          <cell r="W96">
            <v>60656000</v>
          </cell>
          <cell r="X96">
            <v>0.65312582432075972</v>
          </cell>
          <cell r="Y96">
            <v>13105000</v>
          </cell>
          <cell r="Z96">
            <v>60656000</v>
          </cell>
          <cell r="AA96">
            <v>0.21605447111580059</v>
          </cell>
          <cell r="AB96">
            <v>850000</v>
          </cell>
          <cell r="AC96">
            <v>60656000</v>
          </cell>
          <cell r="AD96">
            <v>1.4013452914798207E-2</v>
          </cell>
          <cell r="AE96">
            <v>5831000</v>
          </cell>
          <cell r="AF96">
            <v>60656000</v>
          </cell>
          <cell r="AG96">
            <v>9.6132286995515695E-2</v>
          </cell>
          <cell r="AH96">
            <v>617000</v>
          </cell>
          <cell r="AI96">
            <v>60656000</v>
          </cell>
          <cell r="AJ96">
            <v>1.0172118174624109E-2</v>
          </cell>
          <cell r="AK96">
            <v>637000</v>
          </cell>
          <cell r="AL96">
            <v>60656000</v>
          </cell>
          <cell r="AM96">
            <v>1.0501846478501714E-2</v>
          </cell>
          <cell r="AN96">
            <v>59312000</v>
          </cell>
          <cell r="AO96">
            <v>108290</v>
          </cell>
          <cell r="AP96">
            <v>547.71447040354599</v>
          </cell>
          <cell r="AQ96">
            <v>20402000</v>
          </cell>
          <cell r="AR96">
            <v>56539000</v>
          </cell>
          <cell r="AS96">
            <v>0.36084826403013848</v>
          </cell>
          <cell r="AT96">
            <v>14389000</v>
          </cell>
          <cell r="AU96">
            <v>56539000</v>
          </cell>
          <cell r="AV96">
            <v>0.25449689594792974</v>
          </cell>
          <cell r="AW96">
            <v>913000</v>
          </cell>
          <cell r="AX96">
            <v>56539000</v>
          </cell>
          <cell r="AY96">
            <v>1.6148145527865723E-2</v>
          </cell>
          <cell r="AZ96">
            <v>7172000</v>
          </cell>
          <cell r="BA96">
            <v>56539000</v>
          </cell>
          <cell r="BB96">
            <v>0.12685049258034278</v>
          </cell>
          <cell r="BC96">
            <v>13663000</v>
          </cell>
          <cell r="BD96">
            <v>56539000</v>
          </cell>
          <cell r="BE96">
            <v>0.24165620191372328</v>
          </cell>
          <cell r="BF96">
            <v>56558000</v>
          </cell>
          <cell r="BG96">
            <v>108290</v>
          </cell>
          <cell r="BH96">
            <v>522.28275925754917</v>
          </cell>
          <cell r="BI96">
            <v>14213000</v>
          </cell>
          <cell r="BJ96">
            <v>9423000</v>
          </cell>
          <cell r="BK96">
            <v>1.508330680250451</v>
          </cell>
          <cell r="BL96">
            <v>4258000</v>
          </cell>
          <cell r="BM96">
            <v>56983000</v>
          </cell>
          <cell r="BN96">
            <v>7.4724040503307998E-2</v>
          </cell>
          <cell r="BO96">
            <v>5463000</v>
          </cell>
          <cell r="BP96">
            <v>7172000</v>
          </cell>
          <cell r="BQ96">
            <v>0.76171221416620194</v>
          </cell>
          <cell r="BR96">
            <v>488</v>
          </cell>
          <cell r="BS96" t="str">
            <v>On Time</v>
          </cell>
          <cell r="BT96" t="str">
            <v>On Time</v>
          </cell>
          <cell r="BU96" t="str">
            <v>On Time</v>
          </cell>
          <cell r="BV96">
            <v>3055000</v>
          </cell>
          <cell r="BW96">
            <v>108290</v>
          </cell>
          <cell r="BX96">
            <v>28.211284513805523</v>
          </cell>
          <cell r="BY96">
            <v>982462</v>
          </cell>
          <cell r="BZ96">
            <v>108290</v>
          </cell>
          <cell r="CA96">
            <v>9.0725090036014411</v>
          </cell>
          <cell r="CB96">
            <v>7289000</v>
          </cell>
          <cell r="CC96">
            <v>35734</v>
          </cell>
          <cell r="CD96">
            <v>203.97940336934013</v>
          </cell>
          <cell r="CE96">
            <v>4165395</v>
          </cell>
          <cell r="CF96">
            <v>35734</v>
          </cell>
          <cell r="CG96">
            <v>116.56671517322438</v>
          </cell>
          <cell r="CH96">
            <v>27000000</v>
          </cell>
          <cell r="CI96">
            <v>108290</v>
          </cell>
          <cell r="CJ96">
            <v>249.33050143134176</v>
          </cell>
          <cell r="CK96">
            <v>19000000</v>
          </cell>
          <cell r="CL96">
            <v>108290</v>
          </cell>
          <cell r="CM96">
            <v>175.45479730353679</v>
          </cell>
          <cell r="CN96" t="str">
            <v>N/A</v>
          </cell>
          <cell r="CO96" t="str">
            <v>N/A</v>
          </cell>
          <cell r="CP96" t="str">
            <v>N/A</v>
          </cell>
          <cell r="CQ96" t="str">
            <v>N/A</v>
          </cell>
          <cell r="CR96">
            <v>2225</v>
          </cell>
          <cell r="CS96">
            <v>127662</v>
          </cell>
          <cell r="CT96">
            <v>2225</v>
          </cell>
          <cell r="CU96">
            <v>57.376179775280896</v>
          </cell>
          <cell r="CV96">
            <v>64</v>
          </cell>
          <cell r="CW96">
            <v>2373000</v>
          </cell>
          <cell r="CX96">
            <v>4737000</v>
          </cell>
          <cell r="CY96">
            <v>0.50094996833438887</v>
          </cell>
          <cell r="CZ96">
            <v>736000</v>
          </cell>
          <cell r="DA96">
            <v>108290</v>
          </cell>
          <cell r="DB96">
            <v>6.7965647797580573</v>
          </cell>
          <cell r="DC96">
            <v>3474000</v>
          </cell>
          <cell r="DD96">
            <v>108290</v>
          </cell>
          <cell r="DE96">
            <v>32.080524517499306</v>
          </cell>
          <cell r="DF96">
            <v>2671000</v>
          </cell>
          <cell r="DG96">
            <v>108290</v>
          </cell>
          <cell r="DH96">
            <v>24.665250715670883</v>
          </cell>
          <cell r="DI96">
            <v>85.5</v>
          </cell>
          <cell r="DJ96">
            <v>1266.5497076023391</v>
          </cell>
          <cell r="DK96">
            <v>1.5635179153094462E-3</v>
          </cell>
          <cell r="DL96">
            <v>0.09</v>
          </cell>
          <cell r="DM96">
            <v>16.559999999999999</v>
          </cell>
        </row>
        <row r="97">
          <cell r="B97" t="str">
            <v>Kyogle Council</v>
          </cell>
          <cell r="C97">
            <v>10</v>
          </cell>
          <cell r="D97">
            <v>1104000</v>
          </cell>
          <cell r="E97">
            <v>2644</v>
          </cell>
          <cell r="F97">
            <v>417.54916792738277</v>
          </cell>
          <cell r="G97">
            <v>1558000</v>
          </cell>
          <cell r="H97">
            <v>1911</v>
          </cell>
          <cell r="I97">
            <v>815.27995813710095</v>
          </cell>
          <cell r="J97">
            <v>117000</v>
          </cell>
          <cell r="K97">
            <v>162</v>
          </cell>
          <cell r="L97">
            <v>722.22222222222217</v>
          </cell>
          <cell r="M97">
            <v>1655000</v>
          </cell>
          <cell r="N97">
            <v>8913000</v>
          </cell>
          <cell r="O97">
            <v>0.18568383260406149</v>
          </cell>
          <cell r="P97">
            <v>145000</v>
          </cell>
          <cell r="Q97">
            <v>3800000</v>
          </cell>
          <cell r="R97">
            <v>3.8157894736842106E-2</v>
          </cell>
          <cell r="S97">
            <v>589000</v>
          </cell>
          <cell r="T97">
            <v>4379000</v>
          </cell>
          <cell r="U97">
            <v>0.13450559488467687</v>
          </cell>
          <cell r="V97">
            <v>3945000</v>
          </cell>
          <cell r="W97">
            <v>15395000</v>
          </cell>
          <cell r="X97">
            <v>0.25625202987983109</v>
          </cell>
          <cell r="Y97">
            <v>4968000</v>
          </cell>
          <cell r="Z97">
            <v>15395000</v>
          </cell>
          <cell r="AA97">
            <v>0.32270217603117896</v>
          </cell>
          <cell r="AB97">
            <v>301000</v>
          </cell>
          <cell r="AC97">
            <v>15395000</v>
          </cell>
          <cell r="AD97">
            <v>1.955180253329003E-2</v>
          </cell>
          <cell r="AE97">
            <v>4067000</v>
          </cell>
          <cell r="AF97">
            <v>15395000</v>
          </cell>
          <cell r="AG97">
            <v>0.26417668074050016</v>
          </cell>
          <cell r="AH97">
            <v>2096000</v>
          </cell>
          <cell r="AI97">
            <v>15395000</v>
          </cell>
          <cell r="AJ97">
            <v>0.13614810003247807</v>
          </cell>
          <cell r="AK97">
            <v>18000</v>
          </cell>
          <cell r="AL97">
            <v>15395000</v>
          </cell>
          <cell r="AM97">
            <v>1.1692107827216628E-3</v>
          </cell>
          <cell r="AN97">
            <v>12345000</v>
          </cell>
          <cell r="AO97">
            <v>9766</v>
          </cell>
          <cell r="AP97">
            <v>1264.079459348761</v>
          </cell>
          <cell r="AQ97">
            <v>4423000</v>
          </cell>
          <cell r="AR97">
            <v>14132000</v>
          </cell>
          <cell r="AS97">
            <v>0.31297763939994339</v>
          </cell>
          <cell r="AT97">
            <v>4143000</v>
          </cell>
          <cell r="AU97">
            <v>14132000</v>
          </cell>
          <cell r="AV97">
            <v>0.29316444947636572</v>
          </cell>
          <cell r="AW97">
            <v>179000</v>
          </cell>
          <cell r="AX97">
            <v>14132000</v>
          </cell>
          <cell r="AY97">
            <v>1.2666289272572883E-2</v>
          </cell>
          <cell r="AZ97">
            <v>4094000</v>
          </cell>
          <cell r="BA97">
            <v>14132000</v>
          </cell>
          <cell r="BB97">
            <v>0.28969714123973961</v>
          </cell>
          <cell r="BC97">
            <v>1293000</v>
          </cell>
          <cell r="BD97">
            <v>14132000</v>
          </cell>
          <cell r="BE97">
            <v>9.1494480611378437E-2</v>
          </cell>
          <cell r="BF97">
            <v>13896000</v>
          </cell>
          <cell r="BG97">
            <v>9766</v>
          </cell>
          <cell r="BH97">
            <v>1422.8957608027852</v>
          </cell>
          <cell r="BI97">
            <v>6226000</v>
          </cell>
          <cell r="BJ97">
            <v>2614000</v>
          </cell>
          <cell r="BK97">
            <v>2.3817903596021424</v>
          </cell>
          <cell r="BL97">
            <v>679000</v>
          </cell>
          <cell r="BM97">
            <v>11620000</v>
          </cell>
          <cell r="BN97">
            <v>5.8433734939759036E-2</v>
          </cell>
          <cell r="BO97">
            <v>-1261000</v>
          </cell>
          <cell r="BP97">
            <v>3893000</v>
          </cell>
          <cell r="BQ97">
            <v>-0.32391471872591832</v>
          </cell>
          <cell r="BR97">
            <v>99</v>
          </cell>
          <cell r="BS97" t="str">
            <v>On Time</v>
          </cell>
          <cell r="BT97" t="str">
            <v>On Time</v>
          </cell>
          <cell r="BU97" t="str">
            <v>On Time</v>
          </cell>
          <cell r="BV97">
            <v>168000</v>
          </cell>
          <cell r="BW97">
            <v>9766</v>
          </cell>
          <cell r="BX97">
            <v>17.202539422486176</v>
          </cell>
          <cell r="BY97">
            <v>46617</v>
          </cell>
          <cell r="BZ97">
            <v>9766</v>
          </cell>
          <cell r="CA97">
            <v>4.7733975015359409</v>
          </cell>
          <cell r="CB97">
            <v>369000</v>
          </cell>
          <cell r="CC97">
            <v>1965</v>
          </cell>
          <cell r="CD97">
            <v>187.78625954198472</v>
          </cell>
          <cell r="CE97">
            <v>70340</v>
          </cell>
          <cell r="CF97">
            <v>1965</v>
          </cell>
          <cell r="CG97">
            <v>35.796437659033082</v>
          </cell>
          <cell r="CI97">
            <v>9766</v>
          </cell>
          <cell r="CJ97" t="str">
            <v>N/A</v>
          </cell>
          <cell r="CL97">
            <v>9766</v>
          </cell>
          <cell r="CM97" t="str">
            <v>N/A</v>
          </cell>
          <cell r="CN97">
            <v>339.95782687203803</v>
          </cell>
          <cell r="CO97">
            <v>403.91676866585101</v>
          </cell>
          <cell r="CP97">
            <v>216.65813247503701</v>
          </cell>
          <cell r="CQ97">
            <v>420.39473684210498</v>
          </cell>
          <cell r="CR97">
            <v>172</v>
          </cell>
          <cell r="CS97">
            <v>3748</v>
          </cell>
          <cell r="CT97">
            <v>172</v>
          </cell>
          <cell r="CU97">
            <v>21.790697674418606</v>
          </cell>
          <cell r="CV97">
            <v>19</v>
          </cell>
          <cell r="CW97">
            <v>12000</v>
          </cell>
          <cell r="CX97">
            <v>212000</v>
          </cell>
          <cell r="CY97">
            <v>5.6603773584905662E-2</v>
          </cell>
          <cell r="CZ97">
            <v>195000</v>
          </cell>
          <cell r="DA97">
            <v>9766</v>
          </cell>
          <cell r="DB97">
            <v>19.967233258242885</v>
          </cell>
          <cell r="DC97">
            <v>434000</v>
          </cell>
          <cell r="DD97">
            <v>9766</v>
          </cell>
          <cell r="DE97">
            <v>44.439893508089291</v>
          </cell>
          <cell r="DF97">
            <v>98000</v>
          </cell>
          <cell r="DG97">
            <v>9766</v>
          </cell>
          <cell r="DH97">
            <v>10.034814663116936</v>
          </cell>
          <cell r="DI97">
            <v>3588.9</v>
          </cell>
          <cell r="DJ97">
            <v>2.7211680459193626</v>
          </cell>
          <cell r="DK97">
            <v>-1.398095238095238E-2</v>
          </cell>
          <cell r="DL97">
            <v>4.22</v>
          </cell>
          <cell r="DM97">
            <v>2.78</v>
          </cell>
        </row>
        <row r="98">
          <cell r="B98" t="str">
            <v>Lachlan Shire Council</v>
          </cell>
          <cell r="C98">
            <v>10</v>
          </cell>
          <cell r="D98">
            <v>520000</v>
          </cell>
          <cell r="E98">
            <v>2199</v>
          </cell>
          <cell r="F98">
            <v>236.47112323783537</v>
          </cell>
          <cell r="G98">
            <v>2282000</v>
          </cell>
          <cell r="H98">
            <v>1433</v>
          </cell>
          <cell r="I98">
            <v>1592.463363572924</v>
          </cell>
          <cell r="J98">
            <v>108000</v>
          </cell>
          <cell r="K98">
            <v>391</v>
          </cell>
          <cell r="L98">
            <v>276.21483375959082</v>
          </cell>
          <cell r="M98">
            <v>419000</v>
          </cell>
          <cell r="N98">
            <v>6536000</v>
          </cell>
          <cell r="O98">
            <v>6.4106487148102811E-2</v>
          </cell>
          <cell r="P98">
            <v>87000</v>
          </cell>
          <cell r="Q98">
            <v>4184000</v>
          </cell>
          <cell r="R98">
            <v>2.0793499043977055E-2</v>
          </cell>
          <cell r="S98">
            <v>379000</v>
          </cell>
          <cell r="T98">
            <v>1886000</v>
          </cell>
          <cell r="U98">
            <v>0.20095440084835631</v>
          </cell>
          <cell r="V98">
            <v>4271000</v>
          </cell>
          <cell r="W98">
            <v>19851000</v>
          </cell>
          <cell r="X98">
            <v>0.21515288902322302</v>
          </cell>
          <cell r="Y98">
            <v>2265000</v>
          </cell>
          <cell r="Z98">
            <v>19851000</v>
          </cell>
          <cell r="AA98">
            <v>0.11410004533776635</v>
          </cell>
          <cell r="AB98">
            <v>1336000</v>
          </cell>
          <cell r="AC98">
            <v>19851000</v>
          </cell>
          <cell r="AD98">
            <v>6.7301395395697947E-2</v>
          </cell>
          <cell r="AE98">
            <v>9232000</v>
          </cell>
          <cell r="AF98">
            <v>19851000</v>
          </cell>
          <cell r="AG98">
            <v>0.46506473225530198</v>
          </cell>
          <cell r="AH98">
            <v>2648000</v>
          </cell>
          <cell r="AI98">
            <v>19851000</v>
          </cell>
          <cell r="AJ98">
            <v>0.13339378368847918</v>
          </cell>
          <cell r="AK98">
            <v>99000</v>
          </cell>
          <cell r="AL98">
            <v>19851000</v>
          </cell>
          <cell r="AM98">
            <v>4.9871542995315096E-3</v>
          </cell>
          <cell r="AN98">
            <v>15599000</v>
          </cell>
          <cell r="AO98">
            <v>7555</v>
          </cell>
          <cell r="AP98">
            <v>2064.7253474520185</v>
          </cell>
          <cell r="AQ98">
            <v>7489000</v>
          </cell>
          <cell r="AR98">
            <v>18716000</v>
          </cell>
          <cell r="AS98">
            <v>0.40013891857234452</v>
          </cell>
          <cell r="AT98">
            <v>4856000</v>
          </cell>
          <cell r="AU98">
            <v>18716000</v>
          </cell>
          <cell r="AV98">
            <v>0.25945714896345373</v>
          </cell>
          <cell r="AW98">
            <v>0</v>
          </cell>
          <cell r="AX98">
            <v>18716000</v>
          </cell>
          <cell r="AY98">
            <v>0</v>
          </cell>
          <cell r="AZ98">
            <v>5358000</v>
          </cell>
          <cell r="BA98">
            <v>18716000</v>
          </cell>
          <cell r="BB98">
            <v>0.2862791194699722</v>
          </cell>
          <cell r="BC98">
            <v>1013000</v>
          </cell>
          <cell r="BD98">
            <v>18716000</v>
          </cell>
          <cell r="BE98">
            <v>5.4124812994229533E-2</v>
          </cell>
          <cell r="BF98">
            <v>16807000</v>
          </cell>
          <cell r="BG98">
            <v>7555</v>
          </cell>
          <cell r="BH98">
            <v>2224.6194573130379</v>
          </cell>
          <cell r="BI98">
            <v>21385000</v>
          </cell>
          <cell r="BJ98">
            <v>2979000</v>
          </cell>
          <cell r="BK98">
            <v>7.1785834172541119</v>
          </cell>
          <cell r="BL98">
            <v>0</v>
          </cell>
          <cell r="BM98">
            <v>13014000</v>
          </cell>
          <cell r="BN98">
            <v>0</v>
          </cell>
          <cell r="BO98">
            <v>4325000</v>
          </cell>
          <cell r="BP98">
            <v>4794000</v>
          </cell>
          <cell r="BQ98">
            <v>0.90216937838965372</v>
          </cell>
          <cell r="BR98">
            <v>139</v>
          </cell>
          <cell r="BS98" t="str">
            <v>On Time</v>
          </cell>
          <cell r="BT98" t="str">
            <v>On Time</v>
          </cell>
          <cell r="BU98" t="str">
            <v>On Time</v>
          </cell>
          <cell r="BV98">
            <v>180000</v>
          </cell>
          <cell r="BW98">
            <v>7555</v>
          </cell>
          <cell r="BX98">
            <v>23.825281270681668</v>
          </cell>
          <cell r="BY98">
            <v>34900</v>
          </cell>
          <cell r="BZ98">
            <v>7555</v>
          </cell>
          <cell r="CA98">
            <v>4.6194573130377234</v>
          </cell>
          <cell r="CB98">
            <v>249000</v>
          </cell>
          <cell r="CC98">
            <v>2274</v>
          </cell>
          <cell r="CD98">
            <v>109.49868073878628</v>
          </cell>
          <cell r="CE98">
            <v>116000</v>
          </cell>
          <cell r="CF98">
            <v>2274</v>
          </cell>
          <cell r="CG98">
            <v>51.011433597185579</v>
          </cell>
          <cell r="CI98">
            <v>7555</v>
          </cell>
          <cell r="CJ98" t="str">
            <v>N/A</v>
          </cell>
          <cell r="CK98">
            <v>1140000</v>
          </cell>
          <cell r="CL98">
            <v>7555</v>
          </cell>
          <cell r="CM98">
            <v>150.89344804765057</v>
          </cell>
          <cell r="CN98">
            <v>439.016602809706</v>
          </cell>
          <cell r="CO98">
            <v>425.07491132066502</v>
          </cell>
          <cell r="CP98">
            <v>274.510597565978</v>
          </cell>
          <cell r="CQ98">
            <v>320.873786407767</v>
          </cell>
          <cell r="CR98">
            <v>126</v>
          </cell>
          <cell r="CS98">
            <v>2684</v>
          </cell>
          <cell r="CT98">
            <v>126</v>
          </cell>
          <cell r="CU98">
            <v>21.301587301587301</v>
          </cell>
          <cell r="CV98">
            <v>5</v>
          </cell>
          <cell r="CW98">
            <v>0</v>
          </cell>
          <cell r="CX98">
            <v>126000</v>
          </cell>
          <cell r="CY98">
            <v>0</v>
          </cell>
          <cell r="CZ98">
            <v>456000</v>
          </cell>
          <cell r="DA98">
            <v>7555</v>
          </cell>
          <cell r="DB98">
            <v>60.357379219060228</v>
          </cell>
          <cell r="DC98">
            <v>971000</v>
          </cell>
          <cell r="DD98">
            <v>7555</v>
          </cell>
          <cell r="DE98">
            <v>128.52415618795499</v>
          </cell>
          <cell r="DF98">
            <v>3110000</v>
          </cell>
          <cell r="DG98">
            <v>7555</v>
          </cell>
          <cell r="DH98">
            <v>411.64791528788879</v>
          </cell>
          <cell r="DI98">
            <v>14973.2</v>
          </cell>
          <cell r="DJ98">
            <v>0.50456816178238451</v>
          </cell>
          <cell r="DK98">
            <v>-2.2251308900523561E-3</v>
          </cell>
          <cell r="DL98">
            <v>11.4</v>
          </cell>
          <cell r="DM98">
            <v>1.05</v>
          </cell>
        </row>
        <row r="99">
          <cell r="B99" t="str">
            <v>Lake Macquarie City Council</v>
          </cell>
          <cell r="C99">
            <v>5</v>
          </cell>
          <cell r="D99">
            <v>41057000</v>
          </cell>
          <cell r="E99">
            <v>69377</v>
          </cell>
          <cell r="F99">
            <v>591.79555183994694</v>
          </cell>
          <cell r="G99">
            <v>107000</v>
          </cell>
          <cell r="H99">
            <v>91</v>
          </cell>
          <cell r="I99">
            <v>1175.8241758241759</v>
          </cell>
          <cell r="J99">
            <v>7038000</v>
          </cell>
          <cell r="K99">
            <v>3000</v>
          </cell>
          <cell r="L99">
            <v>2346</v>
          </cell>
          <cell r="M99">
            <v>1796000</v>
          </cell>
          <cell r="N99">
            <v>72830000</v>
          </cell>
          <cell r="O99">
            <v>2.466016751338734E-2</v>
          </cell>
          <cell r="P99">
            <v>2836000</v>
          </cell>
          <cell r="Q99">
            <v>56591000</v>
          </cell>
          <cell r="R99">
            <v>5.0113975720520933E-2</v>
          </cell>
          <cell r="S99">
            <v>-710000</v>
          </cell>
          <cell r="T99">
            <v>14113000</v>
          </cell>
          <cell r="U99">
            <v>-5.0308226457875714E-2</v>
          </cell>
          <cell r="V99">
            <v>59427000</v>
          </cell>
          <cell r="W99">
            <v>112394000</v>
          </cell>
          <cell r="X99">
            <v>0.52873818887129209</v>
          </cell>
          <cell r="Y99">
            <v>13403000</v>
          </cell>
          <cell r="Z99">
            <v>112394000</v>
          </cell>
          <cell r="AA99">
            <v>0.11925013790771749</v>
          </cell>
          <cell r="AB99">
            <v>3189000</v>
          </cell>
          <cell r="AC99">
            <v>112394000</v>
          </cell>
          <cell r="AD99">
            <v>2.8373400715340676E-2</v>
          </cell>
          <cell r="AE99">
            <v>19738000</v>
          </cell>
          <cell r="AF99">
            <v>112394000</v>
          </cell>
          <cell r="AG99">
            <v>0.1756143566382547</v>
          </cell>
          <cell r="AH99">
            <v>11482000</v>
          </cell>
          <cell r="AI99">
            <v>112394000</v>
          </cell>
          <cell r="AJ99">
            <v>0.10215847821058063</v>
          </cell>
          <cell r="AK99">
            <v>5155000</v>
          </cell>
          <cell r="AL99">
            <v>112394000</v>
          </cell>
          <cell r="AM99">
            <v>4.5865437656814417E-2</v>
          </cell>
          <cell r="AN99">
            <v>100596000</v>
          </cell>
          <cell r="AO99">
            <v>188167</v>
          </cell>
          <cell r="AP99">
            <v>534.6102132680013</v>
          </cell>
          <cell r="AQ99">
            <v>39331000</v>
          </cell>
          <cell r="AR99">
            <v>96850000</v>
          </cell>
          <cell r="AS99">
            <v>0.40610221992772327</v>
          </cell>
          <cell r="AT99">
            <v>20316000</v>
          </cell>
          <cell r="AU99">
            <v>96850000</v>
          </cell>
          <cell r="AV99">
            <v>0.20976768198244708</v>
          </cell>
          <cell r="AW99">
            <v>1689000</v>
          </cell>
          <cell r="AX99">
            <v>96850000</v>
          </cell>
          <cell r="AY99">
            <v>1.7439339184305628E-2</v>
          </cell>
          <cell r="AZ99">
            <v>21947000</v>
          </cell>
          <cell r="BA99">
            <v>96850000</v>
          </cell>
          <cell r="BB99">
            <v>0.22660815694372741</v>
          </cell>
          <cell r="BC99">
            <v>13567000</v>
          </cell>
          <cell r="BD99">
            <v>96850000</v>
          </cell>
          <cell r="BE99">
            <v>0.14008260196179659</v>
          </cell>
          <cell r="BF99">
            <v>96850000</v>
          </cell>
          <cell r="BG99">
            <v>188167</v>
          </cell>
          <cell r="BH99">
            <v>514.70236545196553</v>
          </cell>
          <cell r="BI99">
            <v>43812000</v>
          </cell>
          <cell r="BJ99">
            <v>16142000</v>
          </cell>
          <cell r="BK99">
            <v>2.7141618139016233</v>
          </cell>
          <cell r="BL99">
            <v>6439000</v>
          </cell>
          <cell r="BM99">
            <v>95485000</v>
          </cell>
          <cell r="BN99">
            <v>6.7434675603497932E-2</v>
          </cell>
          <cell r="BO99">
            <v>220875000</v>
          </cell>
          <cell r="BP99">
            <v>21947000</v>
          </cell>
          <cell r="BQ99">
            <v>10.064017861211099</v>
          </cell>
          <cell r="BR99">
            <v>763</v>
          </cell>
          <cell r="BS99" t="str">
            <v>On Time</v>
          </cell>
          <cell r="BT99" t="str">
            <v>On Time</v>
          </cell>
          <cell r="BU99" t="str">
            <v>On Time</v>
          </cell>
          <cell r="BV99">
            <v>4687000</v>
          </cell>
          <cell r="BW99">
            <v>188167</v>
          </cell>
          <cell r="BX99">
            <v>24.908724696679013</v>
          </cell>
          <cell r="BY99">
            <v>1869610</v>
          </cell>
          <cell r="BZ99">
            <v>188167</v>
          </cell>
          <cell r="CA99">
            <v>9.9359079966200241</v>
          </cell>
          <cell r="CB99">
            <v>10244000</v>
          </cell>
          <cell r="CC99">
            <v>69207</v>
          </cell>
          <cell r="CD99">
            <v>148.01970898897511</v>
          </cell>
          <cell r="CE99">
            <v>8170618</v>
          </cell>
          <cell r="CF99">
            <v>69116</v>
          </cell>
          <cell r="CG99">
            <v>118.21601365819781</v>
          </cell>
          <cell r="CH99">
            <v>23246130</v>
          </cell>
          <cell r="CI99">
            <v>188167</v>
          </cell>
          <cell r="CJ99">
            <v>123.53988744041197</v>
          </cell>
          <cell r="CK99">
            <v>65346040</v>
          </cell>
          <cell r="CL99">
            <v>188167</v>
          </cell>
          <cell r="CM99">
            <v>347.27683387629077</v>
          </cell>
          <cell r="CN99" t="str">
            <v>N/A</v>
          </cell>
          <cell r="CO99" t="str">
            <v>N/A</v>
          </cell>
          <cell r="CP99" t="str">
            <v>N/A</v>
          </cell>
          <cell r="CQ99" t="str">
            <v>N/A</v>
          </cell>
          <cell r="CR99">
            <v>3763</v>
          </cell>
          <cell r="CS99">
            <v>256053</v>
          </cell>
          <cell r="CT99">
            <v>3763</v>
          </cell>
          <cell r="CU99">
            <v>68.044910975285674</v>
          </cell>
          <cell r="CV99">
            <v>51</v>
          </cell>
          <cell r="CW99">
            <v>303000</v>
          </cell>
          <cell r="CX99">
            <v>6040000</v>
          </cell>
          <cell r="CY99">
            <v>5.0165562913907287E-2</v>
          </cell>
          <cell r="CZ99">
            <v>2134000</v>
          </cell>
          <cell r="DA99">
            <v>188167</v>
          </cell>
          <cell r="DB99">
            <v>11.34098965280841</v>
          </cell>
          <cell r="DC99">
            <v>8389000</v>
          </cell>
          <cell r="DD99">
            <v>188167</v>
          </cell>
          <cell r="DE99">
            <v>44.582737674512536</v>
          </cell>
          <cell r="DF99">
            <v>3826000</v>
          </cell>
          <cell r="DG99">
            <v>188167</v>
          </cell>
          <cell r="DH99">
            <v>20.333002067312545</v>
          </cell>
          <cell r="DI99">
            <v>643.5</v>
          </cell>
          <cell r="DJ99">
            <v>292.41181041181039</v>
          </cell>
          <cell r="DK99">
            <v>9.7152410142100857E-3</v>
          </cell>
          <cell r="DL99">
            <v>1.6</v>
          </cell>
          <cell r="DM99">
            <v>4.2</v>
          </cell>
        </row>
        <row r="100">
          <cell r="B100" t="str">
            <v>Lane Cove Municipal Council</v>
          </cell>
          <cell r="C100">
            <v>2</v>
          </cell>
          <cell r="D100">
            <v>8632000</v>
          </cell>
          <cell r="E100">
            <v>12417</v>
          </cell>
          <cell r="F100">
            <v>695.17596843037768</v>
          </cell>
          <cell r="G100">
            <v>0</v>
          </cell>
          <cell r="H100">
            <v>0</v>
          </cell>
          <cell r="I100" t="str">
            <v>N/A</v>
          </cell>
          <cell r="J100">
            <v>3021000</v>
          </cell>
          <cell r="K100">
            <v>663</v>
          </cell>
          <cell r="L100">
            <v>4556.5610859728504</v>
          </cell>
          <cell r="M100">
            <v>482000</v>
          </cell>
          <cell r="N100">
            <v>16766000</v>
          </cell>
          <cell r="O100">
            <v>2.8748657998329954E-2</v>
          </cell>
          <cell r="P100">
            <v>604000</v>
          </cell>
          <cell r="Q100">
            <v>14043000</v>
          </cell>
          <cell r="R100">
            <v>4.3010752688172046E-2</v>
          </cell>
          <cell r="S100">
            <v>18000</v>
          </cell>
          <cell r="T100">
            <v>2101000</v>
          </cell>
          <cell r="U100">
            <v>8.5673488814850072E-3</v>
          </cell>
          <cell r="V100">
            <v>14647000</v>
          </cell>
          <cell r="W100">
            <v>20879000</v>
          </cell>
          <cell r="X100">
            <v>0.70151827194789018</v>
          </cell>
          <cell r="Y100">
            <v>2119000</v>
          </cell>
          <cell r="Z100">
            <v>20879000</v>
          </cell>
          <cell r="AA100">
            <v>0.1014895349394128</v>
          </cell>
          <cell r="AB100">
            <v>700000</v>
          </cell>
          <cell r="AC100">
            <v>20879000</v>
          </cell>
          <cell r="AD100">
            <v>3.3526509890320418E-2</v>
          </cell>
          <cell r="AE100">
            <v>1623000</v>
          </cell>
          <cell r="AF100">
            <v>20879000</v>
          </cell>
          <cell r="AG100">
            <v>7.7733607931414345E-2</v>
          </cell>
          <cell r="AH100">
            <v>996000</v>
          </cell>
          <cell r="AI100">
            <v>20879000</v>
          </cell>
          <cell r="AJ100">
            <v>4.7703434072513054E-2</v>
          </cell>
          <cell r="AK100">
            <v>794000</v>
          </cell>
          <cell r="AL100">
            <v>20879000</v>
          </cell>
          <cell r="AM100">
            <v>3.8028641218449157E-2</v>
          </cell>
          <cell r="AN100">
            <v>20157000</v>
          </cell>
          <cell r="AO100">
            <v>32333</v>
          </cell>
          <cell r="AP100">
            <v>623.41879813193952</v>
          </cell>
          <cell r="AQ100">
            <v>7473000</v>
          </cell>
          <cell r="AR100">
            <v>20563000</v>
          </cell>
          <cell r="AS100">
            <v>0.36341973447454168</v>
          </cell>
          <cell r="AT100">
            <v>6452000</v>
          </cell>
          <cell r="AU100">
            <v>20563000</v>
          </cell>
          <cell r="AV100">
            <v>0.31376744638428244</v>
          </cell>
          <cell r="AW100">
            <v>0</v>
          </cell>
          <cell r="AX100">
            <v>20563000</v>
          </cell>
          <cell r="AY100">
            <v>0</v>
          </cell>
          <cell r="AZ100">
            <v>4165000</v>
          </cell>
          <cell r="BA100">
            <v>20563000</v>
          </cell>
          <cell r="BB100">
            <v>0.20254826630355494</v>
          </cell>
          <cell r="BC100">
            <v>2473000</v>
          </cell>
          <cell r="BD100">
            <v>20563000</v>
          </cell>
          <cell r="BE100">
            <v>0.12026455283762097</v>
          </cell>
          <cell r="BF100">
            <v>20573000</v>
          </cell>
          <cell r="BG100">
            <v>32333</v>
          </cell>
          <cell r="BH100">
            <v>636.28491015371287</v>
          </cell>
          <cell r="BI100">
            <v>12193000</v>
          </cell>
          <cell r="BJ100">
            <v>1596000</v>
          </cell>
          <cell r="BK100">
            <v>7.6397243107769421</v>
          </cell>
          <cell r="BL100">
            <v>4000</v>
          </cell>
          <cell r="BM100">
            <v>19169000</v>
          </cell>
          <cell r="BN100">
            <v>2.0867024883927174E-4</v>
          </cell>
          <cell r="BO100">
            <v>2348000</v>
          </cell>
          <cell r="BP100">
            <v>4165000</v>
          </cell>
          <cell r="BQ100">
            <v>0.56374549819927966</v>
          </cell>
          <cell r="BR100">
            <v>153</v>
          </cell>
          <cell r="BS100" t="str">
            <v>On Time</v>
          </cell>
          <cell r="BT100" t="str">
            <v>On Time</v>
          </cell>
          <cell r="BU100" t="str">
            <v>On Time</v>
          </cell>
          <cell r="BV100">
            <v>1547000</v>
          </cell>
          <cell r="BW100">
            <v>32333</v>
          </cell>
          <cell r="BX100">
            <v>47.845854080969907</v>
          </cell>
          <cell r="BY100">
            <v>457675</v>
          </cell>
          <cell r="BZ100">
            <v>32333</v>
          </cell>
          <cell r="CA100">
            <v>14.15504283549315</v>
          </cell>
          <cell r="CB100">
            <v>3038000</v>
          </cell>
          <cell r="CC100">
            <v>12397</v>
          </cell>
          <cell r="CD100">
            <v>245.05928853754941</v>
          </cell>
          <cell r="CE100">
            <v>1819770</v>
          </cell>
          <cell r="CF100">
            <v>12397</v>
          </cell>
          <cell r="CG100">
            <v>146.79115915140761</v>
          </cell>
          <cell r="CH100">
            <v>5142000</v>
          </cell>
          <cell r="CI100">
            <v>32333</v>
          </cell>
          <cell r="CJ100">
            <v>159.03256734605512</v>
          </cell>
          <cell r="CK100">
            <v>6182000</v>
          </cell>
          <cell r="CL100">
            <v>32333</v>
          </cell>
          <cell r="CM100">
            <v>191.19784740048866</v>
          </cell>
          <cell r="CN100" t="str">
            <v>N/A</v>
          </cell>
          <cell r="CO100" t="str">
            <v>N/A</v>
          </cell>
          <cell r="CP100" t="str">
            <v>N/A</v>
          </cell>
          <cell r="CQ100" t="str">
            <v>N/A</v>
          </cell>
          <cell r="CR100">
            <v>388</v>
          </cell>
          <cell r="CS100">
            <v>29182</v>
          </cell>
          <cell r="CT100">
            <v>388</v>
          </cell>
          <cell r="CU100">
            <v>75.211340206185568</v>
          </cell>
          <cell r="CV100">
            <v>60</v>
          </cell>
          <cell r="CW100">
            <v>99000</v>
          </cell>
          <cell r="CX100">
            <v>1970000</v>
          </cell>
          <cell r="CY100">
            <v>5.0253807106598984E-2</v>
          </cell>
          <cell r="CZ100">
            <v>400000</v>
          </cell>
          <cell r="DA100">
            <v>32333</v>
          </cell>
          <cell r="DB100">
            <v>12.371261559397519</v>
          </cell>
          <cell r="DC100">
            <v>2470000</v>
          </cell>
          <cell r="DD100">
            <v>32333</v>
          </cell>
          <cell r="DE100">
            <v>76.392540129279681</v>
          </cell>
          <cell r="DF100">
            <v>1665000</v>
          </cell>
          <cell r="DG100">
            <v>32333</v>
          </cell>
          <cell r="DH100">
            <v>51.495376240992172</v>
          </cell>
          <cell r="DI100">
            <v>10.6</v>
          </cell>
          <cell r="DJ100">
            <v>3050.2830188679245</v>
          </cell>
          <cell r="DK100">
            <v>1.2367816091954023E-2</v>
          </cell>
          <cell r="DL100">
            <v>0.13</v>
          </cell>
          <cell r="DM100">
            <v>18.45</v>
          </cell>
        </row>
        <row r="101">
          <cell r="B101" t="str">
            <v>Leeton Shire Council</v>
          </cell>
          <cell r="C101">
            <v>11</v>
          </cell>
          <cell r="D101">
            <v>1517000</v>
          </cell>
          <cell r="E101">
            <v>3525</v>
          </cell>
          <cell r="F101">
            <v>430.35460992907804</v>
          </cell>
          <cell r="G101">
            <v>1525000</v>
          </cell>
          <cell r="H101">
            <v>723</v>
          </cell>
          <cell r="I101">
            <v>2109.2669432918397</v>
          </cell>
          <cell r="J101">
            <v>284000</v>
          </cell>
          <cell r="K101">
            <v>441</v>
          </cell>
          <cell r="L101">
            <v>643.99092970521542</v>
          </cell>
          <cell r="M101">
            <v>886000</v>
          </cell>
          <cell r="N101">
            <v>8621000</v>
          </cell>
          <cell r="O101">
            <v>0.1027723001971929</v>
          </cell>
          <cell r="P101">
            <v>191000</v>
          </cell>
          <cell r="Q101">
            <v>5756000</v>
          </cell>
          <cell r="R101">
            <v>3.3182765809589995E-2</v>
          </cell>
          <cell r="S101">
            <v>17000</v>
          </cell>
          <cell r="T101">
            <v>2657000</v>
          </cell>
          <cell r="U101">
            <v>6.3981934512608203E-3</v>
          </cell>
          <cell r="V101">
            <v>5947000</v>
          </cell>
          <cell r="W101">
            <v>13137000</v>
          </cell>
          <cell r="X101">
            <v>0.45269087310649309</v>
          </cell>
          <cell r="Y101">
            <v>2674000</v>
          </cell>
          <cell r="Z101">
            <v>13137000</v>
          </cell>
          <cell r="AA101">
            <v>0.20354723300601354</v>
          </cell>
          <cell r="AB101">
            <v>347000</v>
          </cell>
          <cell r="AC101">
            <v>13137000</v>
          </cell>
          <cell r="AD101">
            <v>2.641394534520819E-2</v>
          </cell>
          <cell r="AE101">
            <v>3609000</v>
          </cell>
          <cell r="AF101">
            <v>13137000</v>
          </cell>
          <cell r="AG101">
            <v>0.27472025576615666</v>
          </cell>
          <cell r="AH101">
            <v>325000</v>
          </cell>
          <cell r="AI101">
            <v>13137000</v>
          </cell>
          <cell r="AJ101">
            <v>2.4739285986146001E-2</v>
          </cell>
          <cell r="AK101">
            <v>235000</v>
          </cell>
          <cell r="AL101">
            <v>13137000</v>
          </cell>
          <cell r="AM101">
            <v>1.7888406789982492E-2</v>
          </cell>
          <cell r="AN101">
            <v>8662000</v>
          </cell>
          <cell r="AO101">
            <v>12054</v>
          </cell>
          <cell r="AP101">
            <v>718.59963497594163</v>
          </cell>
          <cell r="AQ101">
            <v>4819000</v>
          </cell>
          <cell r="AR101">
            <v>10329000</v>
          </cell>
          <cell r="AS101">
            <v>0.46655048891470619</v>
          </cell>
          <cell r="AT101">
            <v>2721000</v>
          </cell>
          <cell r="AU101">
            <v>10329000</v>
          </cell>
          <cell r="AV101">
            <v>0.26343305257043276</v>
          </cell>
          <cell r="AW101">
            <v>144000</v>
          </cell>
          <cell r="AX101">
            <v>10329000</v>
          </cell>
          <cell r="AY101">
            <v>1.3941330235259947E-2</v>
          </cell>
          <cell r="AZ101">
            <v>1942000</v>
          </cell>
          <cell r="BA101">
            <v>10329000</v>
          </cell>
          <cell r="BB101">
            <v>0.18801432858940847</v>
          </cell>
          <cell r="BC101">
            <v>703000</v>
          </cell>
          <cell r="BD101">
            <v>10329000</v>
          </cell>
          <cell r="BE101">
            <v>6.8060799690192658E-2</v>
          </cell>
          <cell r="BF101">
            <v>7989000</v>
          </cell>
          <cell r="BG101">
            <v>12054</v>
          </cell>
          <cell r="BH101">
            <v>662.76754604280734</v>
          </cell>
          <cell r="BI101">
            <v>4035000</v>
          </cell>
          <cell r="BJ101">
            <v>1285000</v>
          </cell>
          <cell r="BK101">
            <v>3.1400778210116731</v>
          </cell>
          <cell r="BL101">
            <v>416000</v>
          </cell>
          <cell r="BM101">
            <v>11334000</v>
          </cell>
          <cell r="BN101">
            <v>3.6703723310393503E-2</v>
          </cell>
          <cell r="BO101">
            <v>3732000</v>
          </cell>
          <cell r="BP101">
            <v>1245000</v>
          </cell>
          <cell r="BQ101">
            <v>2.9975903614457833</v>
          </cell>
          <cell r="BR101">
            <v>90</v>
          </cell>
          <cell r="BS101" t="str">
            <v>&lt;=2</v>
          </cell>
          <cell r="BT101" t="str">
            <v>&lt;=2</v>
          </cell>
          <cell r="BU101" t="str">
            <v>On Time</v>
          </cell>
          <cell r="BV101">
            <v>235000</v>
          </cell>
          <cell r="BW101">
            <v>12054</v>
          </cell>
          <cell r="BX101">
            <v>19.495603119296501</v>
          </cell>
          <cell r="BY101">
            <v>74815</v>
          </cell>
          <cell r="BZ101">
            <v>12054</v>
          </cell>
          <cell r="CA101">
            <v>6.2066533930645429</v>
          </cell>
          <cell r="CB101">
            <v>430000</v>
          </cell>
          <cell r="CC101">
            <v>3519</v>
          </cell>
          <cell r="CD101">
            <v>122.19380505825518</v>
          </cell>
          <cell r="CE101">
            <v>302353</v>
          </cell>
          <cell r="CF101">
            <v>3519</v>
          </cell>
          <cell r="CG101">
            <v>85.920147769252623</v>
          </cell>
          <cell r="CI101">
            <v>12054</v>
          </cell>
          <cell r="CJ101" t="str">
            <v>N/A</v>
          </cell>
          <cell r="CK101">
            <v>4645110</v>
          </cell>
          <cell r="CL101">
            <v>12054</v>
          </cell>
          <cell r="CM101">
            <v>385.35838725734197</v>
          </cell>
          <cell r="CN101">
            <v>445.59202839822899</v>
          </cell>
          <cell r="CO101">
            <v>406.88705234159801</v>
          </cell>
          <cell r="CP101">
            <v>536</v>
          </cell>
          <cell r="CQ101">
            <v>375</v>
          </cell>
          <cell r="CR101">
            <v>237</v>
          </cell>
          <cell r="CS101">
            <v>9272</v>
          </cell>
          <cell r="CT101">
            <v>237</v>
          </cell>
          <cell r="CU101">
            <v>39.122362869198312</v>
          </cell>
          <cell r="CV101">
            <v>18</v>
          </cell>
          <cell r="CW101">
            <v>0</v>
          </cell>
          <cell r="CX101">
            <v>190000</v>
          </cell>
          <cell r="CY101">
            <v>0</v>
          </cell>
          <cell r="CZ101">
            <v>434000</v>
          </cell>
          <cell r="DA101">
            <v>12054</v>
          </cell>
          <cell r="DB101">
            <v>36.004645760743323</v>
          </cell>
          <cell r="DC101">
            <v>676000</v>
          </cell>
          <cell r="DD101">
            <v>12054</v>
          </cell>
          <cell r="DE101">
            <v>56.080968972955034</v>
          </cell>
          <cell r="DF101">
            <v>150000</v>
          </cell>
          <cell r="DG101">
            <v>12054</v>
          </cell>
          <cell r="DH101">
            <v>12.444001991040318</v>
          </cell>
          <cell r="DI101">
            <v>1167.3</v>
          </cell>
          <cell r="DJ101">
            <v>10.326394243125161</v>
          </cell>
          <cell r="DK101">
            <v>1.4293333333333333E-2</v>
          </cell>
          <cell r="DL101">
            <v>2.91</v>
          </cell>
          <cell r="DM101">
            <v>4.87</v>
          </cell>
        </row>
        <row r="102">
          <cell r="B102" t="str">
            <v>Leichhardt Municipal Council</v>
          </cell>
          <cell r="C102">
            <v>2</v>
          </cell>
          <cell r="D102">
            <v>17517000</v>
          </cell>
          <cell r="E102">
            <v>25831</v>
          </cell>
          <cell r="F102">
            <v>678.13867058960159</v>
          </cell>
          <cell r="G102">
            <v>0</v>
          </cell>
          <cell r="H102">
            <v>0</v>
          </cell>
          <cell r="I102" t="str">
            <v>N/A</v>
          </cell>
          <cell r="J102">
            <v>8762000</v>
          </cell>
          <cell r="K102">
            <v>2107</v>
          </cell>
          <cell r="L102">
            <v>4158.5192216421456</v>
          </cell>
          <cell r="M102">
            <v>3856000</v>
          </cell>
          <cell r="N102">
            <v>45243000</v>
          </cell>
          <cell r="O102">
            <v>8.5228654156444095E-2</v>
          </cell>
          <cell r="P102">
            <v>1479000</v>
          </cell>
          <cell r="Q102">
            <v>31956000</v>
          </cell>
          <cell r="R102">
            <v>4.6282388283890349E-2</v>
          </cell>
          <cell r="S102">
            <v>3326000</v>
          </cell>
          <cell r="T102">
            <v>8482000</v>
          </cell>
          <cell r="U102">
            <v>0.39212449893892948</v>
          </cell>
          <cell r="V102">
            <v>33435000</v>
          </cell>
          <cell r="W102">
            <v>62915000</v>
          </cell>
          <cell r="X102">
            <v>0.53143129619327667</v>
          </cell>
          <cell r="Y102">
            <v>11808000</v>
          </cell>
          <cell r="Z102">
            <v>62915000</v>
          </cell>
          <cell r="AA102">
            <v>0.18768179289517603</v>
          </cell>
          <cell r="AB102">
            <v>1572000</v>
          </cell>
          <cell r="AC102">
            <v>62915000</v>
          </cell>
          <cell r="AD102">
            <v>2.4986092346817135E-2</v>
          </cell>
          <cell r="AE102">
            <v>5014000</v>
          </cell>
          <cell r="AF102">
            <v>62915000</v>
          </cell>
          <cell r="AG102">
            <v>7.9694826353015974E-2</v>
          </cell>
          <cell r="AH102">
            <v>6810000</v>
          </cell>
          <cell r="AI102">
            <v>62915000</v>
          </cell>
          <cell r="AJ102">
            <v>0.10824127791464674</v>
          </cell>
          <cell r="AK102">
            <v>4276000</v>
          </cell>
          <cell r="AL102">
            <v>62915000</v>
          </cell>
          <cell r="AM102">
            <v>6.7964714297067477E-2</v>
          </cell>
          <cell r="AN102">
            <v>59252000</v>
          </cell>
          <cell r="AO102">
            <v>65126</v>
          </cell>
          <cell r="AP102">
            <v>909.80560759143816</v>
          </cell>
          <cell r="AQ102">
            <v>24838000</v>
          </cell>
          <cell r="AR102">
            <v>54828000</v>
          </cell>
          <cell r="AS102">
            <v>0.45301670679215</v>
          </cell>
          <cell r="AT102">
            <v>14144000</v>
          </cell>
          <cell r="AU102">
            <v>54828000</v>
          </cell>
          <cell r="AV102">
            <v>0.25797038009776024</v>
          </cell>
          <cell r="AW102">
            <v>1199000</v>
          </cell>
          <cell r="AX102">
            <v>54828000</v>
          </cell>
          <cell r="AY102">
            <v>2.1868388414678631E-2</v>
          </cell>
          <cell r="AZ102">
            <v>8861000</v>
          </cell>
          <cell r="BA102">
            <v>54828000</v>
          </cell>
          <cell r="BB102">
            <v>0.16161450353833809</v>
          </cell>
          <cell r="BC102">
            <v>5786000</v>
          </cell>
          <cell r="BD102">
            <v>54828000</v>
          </cell>
          <cell r="BE102">
            <v>0.10553002115707302</v>
          </cell>
          <cell r="BF102">
            <v>54828000</v>
          </cell>
          <cell r="BG102">
            <v>65126</v>
          </cell>
          <cell r="BH102">
            <v>841.87574854896661</v>
          </cell>
          <cell r="BI102">
            <v>23124000</v>
          </cell>
          <cell r="BJ102">
            <v>9858000</v>
          </cell>
          <cell r="BK102">
            <v>2.3457090687766282</v>
          </cell>
          <cell r="BL102">
            <v>4167000</v>
          </cell>
          <cell r="BM102">
            <v>55524000</v>
          </cell>
          <cell r="BN102">
            <v>7.5048627620488431E-2</v>
          </cell>
          <cell r="BO102">
            <v>5990000</v>
          </cell>
          <cell r="BP102">
            <v>8861000</v>
          </cell>
          <cell r="BQ102">
            <v>0.67599593725313167</v>
          </cell>
          <cell r="BR102">
            <v>508</v>
          </cell>
          <cell r="BS102" t="str">
            <v>On Time</v>
          </cell>
          <cell r="BT102" t="str">
            <v>On Time</v>
          </cell>
          <cell r="BU102" t="str">
            <v>&lt;=2</v>
          </cell>
          <cell r="BV102">
            <v>2000000</v>
          </cell>
          <cell r="BW102">
            <v>65126</v>
          </cell>
          <cell r="BX102">
            <v>30.709701194607376</v>
          </cell>
          <cell r="BY102">
            <v>411873</v>
          </cell>
          <cell r="BZ102">
            <v>65126</v>
          </cell>
          <cell r="CA102">
            <v>6.3242483800632616</v>
          </cell>
          <cell r="CB102">
            <v>7156000</v>
          </cell>
          <cell r="CC102">
            <v>29958</v>
          </cell>
          <cell r="CD102">
            <v>238.86774818078644</v>
          </cell>
          <cell r="CE102">
            <v>6071285</v>
          </cell>
          <cell r="CF102">
            <v>29958</v>
          </cell>
          <cell r="CG102">
            <v>202.65989051338542</v>
          </cell>
          <cell r="CH102">
            <v>8882000</v>
          </cell>
          <cell r="CI102">
            <v>65126</v>
          </cell>
          <cell r="CJ102">
            <v>136.38178300525135</v>
          </cell>
          <cell r="CK102">
            <v>13477640</v>
          </cell>
          <cell r="CL102">
            <v>65126</v>
          </cell>
          <cell r="CM102">
            <v>206.94714860424409</v>
          </cell>
          <cell r="CN102" t="str">
            <v>N/A</v>
          </cell>
          <cell r="CO102" t="str">
            <v>N/A</v>
          </cell>
          <cell r="CP102" t="str">
            <v>N/A</v>
          </cell>
          <cell r="CQ102" t="str">
            <v>N/A</v>
          </cell>
          <cell r="CR102">
            <v>933</v>
          </cell>
          <cell r="CS102">
            <v>92734</v>
          </cell>
          <cell r="CT102">
            <v>933</v>
          </cell>
          <cell r="CU102">
            <v>99.39335476956056</v>
          </cell>
          <cell r="CV102">
            <v>96</v>
          </cell>
          <cell r="CW102">
            <v>587000</v>
          </cell>
          <cell r="CX102">
            <v>4690000</v>
          </cell>
          <cell r="CY102">
            <v>0.12515991471215351</v>
          </cell>
          <cell r="CZ102">
            <v>741000</v>
          </cell>
          <cell r="DA102">
            <v>65126</v>
          </cell>
          <cell r="DB102">
            <v>11.377944292602033</v>
          </cell>
          <cell r="DC102">
            <v>6629000</v>
          </cell>
          <cell r="DD102">
            <v>65126</v>
          </cell>
          <cell r="DE102">
            <v>101.78730460952615</v>
          </cell>
          <cell r="DF102">
            <v>4035000</v>
          </cell>
          <cell r="DG102">
            <v>65126</v>
          </cell>
          <cell r="DH102">
            <v>61.956822160120382</v>
          </cell>
          <cell r="DI102">
            <v>12.9</v>
          </cell>
          <cell r="DJ102">
            <v>5048.5271317829456</v>
          </cell>
          <cell r="DK102">
            <v>1.7267723102585487E-2</v>
          </cell>
          <cell r="DL102">
            <v>1.1399999999999999</v>
          </cell>
          <cell r="DM102">
            <v>15.33</v>
          </cell>
        </row>
        <row r="103">
          <cell r="B103" t="str">
            <v>Lismore City Council</v>
          </cell>
          <cell r="C103">
            <v>4</v>
          </cell>
          <cell r="D103">
            <v>9099000</v>
          </cell>
          <cell r="E103">
            <v>13627</v>
          </cell>
          <cell r="F103">
            <v>667.71850003669181</v>
          </cell>
          <cell r="G103">
            <v>2657000</v>
          </cell>
          <cell r="H103">
            <v>1941</v>
          </cell>
          <cell r="I103">
            <v>1368.8820195775374</v>
          </cell>
          <cell r="J103">
            <v>3220000</v>
          </cell>
          <cell r="K103">
            <v>1161</v>
          </cell>
          <cell r="L103">
            <v>2773.4711455641686</v>
          </cell>
          <cell r="M103">
            <v>2206000</v>
          </cell>
          <cell r="N103">
            <v>31419000</v>
          </cell>
          <cell r="O103">
            <v>7.021229192526815E-2</v>
          </cell>
          <cell r="P103">
            <v>1072000</v>
          </cell>
          <cell r="Q103">
            <v>21025000</v>
          </cell>
          <cell r="R103">
            <v>5.0986920332936982E-2</v>
          </cell>
          <cell r="S103">
            <v>-767000</v>
          </cell>
          <cell r="T103">
            <v>10089000</v>
          </cell>
          <cell r="U103">
            <v>-7.6023391812865493E-2</v>
          </cell>
          <cell r="V103">
            <v>22097000</v>
          </cell>
          <cell r="W103">
            <v>46228000</v>
          </cell>
          <cell r="X103">
            <v>0.47800034611058234</v>
          </cell>
          <cell r="Y103">
            <v>9322000</v>
          </cell>
          <cell r="Z103">
            <v>46228000</v>
          </cell>
          <cell r="AA103">
            <v>0.20165267803063078</v>
          </cell>
          <cell r="AB103">
            <v>1358000</v>
          </cell>
          <cell r="AC103">
            <v>46228000</v>
          </cell>
          <cell r="AD103">
            <v>2.9376135675348275E-2</v>
          </cell>
          <cell r="AE103">
            <v>7641000</v>
          </cell>
          <cell r="AF103">
            <v>46228000</v>
          </cell>
          <cell r="AG103">
            <v>0.16528943497447435</v>
          </cell>
          <cell r="AH103">
            <v>5484000</v>
          </cell>
          <cell r="AI103">
            <v>46228000</v>
          </cell>
          <cell r="AJ103">
            <v>0.11862940209396902</v>
          </cell>
          <cell r="AK103">
            <v>326000</v>
          </cell>
          <cell r="AL103">
            <v>46228000</v>
          </cell>
          <cell r="AM103">
            <v>7.052003114995241E-3</v>
          </cell>
          <cell r="AN103">
            <v>31650000</v>
          </cell>
          <cell r="AO103">
            <v>43231</v>
          </cell>
          <cell r="AP103">
            <v>732.11352964308014</v>
          </cell>
          <cell r="AQ103">
            <v>14121000</v>
          </cell>
          <cell r="AR103">
            <v>41058000</v>
          </cell>
          <cell r="AS103">
            <v>0.34392810170977639</v>
          </cell>
          <cell r="AT103">
            <v>13964000</v>
          </cell>
          <cell r="AU103">
            <v>41058000</v>
          </cell>
          <cell r="AV103">
            <v>0.34010424277850843</v>
          </cell>
          <cell r="AW103">
            <v>523000</v>
          </cell>
          <cell r="AX103">
            <v>41058000</v>
          </cell>
          <cell r="AY103">
            <v>1.273807784110283E-2</v>
          </cell>
          <cell r="AZ103">
            <v>8799000</v>
          </cell>
          <cell r="BA103">
            <v>41058000</v>
          </cell>
          <cell r="BB103">
            <v>0.21430659067660382</v>
          </cell>
          <cell r="BC103">
            <v>3651000</v>
          </cell>
          <cell r="BD103">
            <v>41058000</v>
          </cell>
          <cell r="BE103">
            <v>8.8922986994008482E-2</v>
          </cell>
          <cell r="BF103">
            <v>33453000</v>
          </cell>
          <cell r="BG103">
            <v>43231</v>
          </cell>
          <cell r="BH103">
            <v>773.81971270615998</v>
          </cell>
          <cell r="BI103">
            <v>17484000</v>
          </cell>
          <cell r="BJ103">
            <v>5886000</v>
          </cell>
          <cell r="BK103">
            <v>2.9704383282364932</v>
          </cell>
          <cell r="BL103">
            <v>1935000</v>
          </cell>
          <cell r="BM103">
            <v>37746000</v>
          </cell>
          <cell r="BN103">
            <v>5.1263710061993324E-2</v>
          </cell>
          <cell r="BO103">
            <v>6932000</v>
          </cell>
          <cell r="BP103">
            <v>6616000</v>
          </cell>
          <cell r="BQ103">
            <v>1.0477629987908101</v>
          </cell>
          <cell r="BR103">
            <v>272</v>
          </cell>
          <cell r="BS103" t="str">
            <v>&lt;=2</v>
          </cell>
          <cell r="BT103" t="str">
            <v>&lt;=2</v>
          </cell>
          <cell r="BU103" t="str">
            <v>On Time</v>
          </cell>
          <cell r="BV103">
            <v>785000</v>
          </cell>
          <cell r="BW103">
            <v>43231</v>
          </cell>
          <cell r="BX103">
            <v>18.158266059077977</v>
          </cell>
          <cell r="BY103">
            <v>358075</v>
          </cell>
          <cell r="BZ103">
            <v>43231</v>
          </cell>
          <cell r="CA103">
            <v>8.2828294510883396</v>
          </cell>
          <cell r="CB103">
            <v>1330000</v>
          </cell>
          <cell r="CC103">
            <v>11254</v>
          </cell>
          <cell r="CD103">
            <v>118.18020259463302</v>
          </cell>
          <cell r="CE103">
            <v>826634</v>
          </cell>
          <cell r="CF103">
            <v>11254</v>
          </cell>
          <cell r="CG103">
            <v>73.452461347076593</v>
          </cell>
          <cell r="CH103">
            <v>8347000</v>
          </cell>
          <cell r="CI103">
            <v>43231</v>
          </cell>
          <cell r="CJ103">
            <v>193.0790405033425</v>
          </cell>
          <cell r="CK103">
            <v>9714000</v>
          </cell>
          <cell r="CL103">
            <v>43231</v>
          </cell>
          <cell r="CM103">
            <v>224.69986815017</v>
          </cell>
          <cell r="CN103">
            <v>265.80782539260002</v>
          </cell>
          <cell r="CO103">
            <v>268.557445969914</v>
          </cell>
          <cell r="CP103">
            <v>295.90470053303198</v>
          </cell>
          <cell r="CQ103">
            <v>383.440583440583</v>
          </cell>
          <cell r="CR103">
            <v>907</v>
          </cell>
          <cell r="CS103">
            <v>20861</v>
          </cell>
          <cell r="CT103">
            <v>907</v>
          </cell>
          <cell r="CU103">
            <v>23</v>
          </cell>
          <cell r="CV103">
            <v>18</v>
          </cell>
          <cell r="CW103">
            <v>82000</v>
          </cell>
          <cell r="CX103">
            <v>1677000</v>
          </cell>
          <cell r="CY103">
            <v>4.8896839594514012E-2</v>
          </cell>
          <cell r="CZ103">
            <v>2248000</v>
          </cell>
          <cell r="DA103">
            <v>43231</v>
          </cell>
          <cell r="DB103">
            <v>51.99972242141056</v>
          </cell>
          <cell r="DC103">
            <v>2429000</v>
          </cell>
          <cell r="DD103">
            <v>43231</v>
          </cell>
          <cell r="DE103">
            <v>56.186532812102428</v>
          </cell>
          <cell r="DF103">
            <v>1096000</v>
          </cell>
          <cell r="DG103">
            <v>43231</v>
          </cell>
          <cell r="DH103">
            <v>25.352177835349632</v>
          </cell>
          <cell r="DI103">
            <v>1290.0999999999999</v>
          </cell>
          <cell r="DJ103">
            <v>33.509805441438651</v>
          </cell>
          <cell r="DK103">
            <v>-1.1465329262974269E-2</v>
          </cell>
          <cell r="DL103">
            <v>2.48</v>
          </cell>
          <cell r="DM103">
            <v>3.58</v>
          </cell>
        </row>
        <row r="104">
          <cell r="B104" t="str">
            <v>Lithgow City Council</v>
          </cell>
          <cell r="C104">
            <v>4</v>
          </cell>
          <cell r="D104">
            <v>3506000</v>
          </cell>
          <cell r="E104">
            <v>8587</v>
          </cell>
          <cell r="F104">
            <v>408.2916035868173</v>
          </cell>
          <cell r="G104">
            <v>962000</v>
          </cell>
          <cell r="H104">
            <v>966</v>
          </cell>
          <cell r="I104">
            <v>995.85921325051766</v>
          </cell>
          <cell r="J104">
            <v>948000</v>
          </cell>
          <cell r="K104">
            <v>406</v>
          </cell>
          <cell r="L104">
            <v>2334.9753694581282</v>
          </cell>
          <cell r="M104">
            <v>1219000</v>
          </cell>
          <cell r="N104">
            <v>13196000</v>
          </cell>
          <cell r="O104">
            <v>9.2376477720521363E-2</v>
          </cell>
          <cell r="P104">
            <v>372000</v>
          </cell>
          <cell r="Q104">
            <v>10673000</v>
          </cell>
          <cell r="R104">
            <v>3.4854305256254096E-2</v>
          </cell>
          <cell r="S104">
            <v>76000</v>
          </cell>
          <cell r="T104">
            <v>2075000</v>
          </cell>
          <cell r="U104">
            <v>3.6626506024096388E-2</v>
          </cell>
          <cell r="V104">
            <v>11045000</v>
          </cell>
          <cell r="W104">
            <v>19574000</v>
          </cell>
          <cell r="X104">
            <v>0.5642689281700215</v>
          </cell>
          <cell r="Y104">
            <v>2151000</v>
          </cell>
          <cell r="Z104">
            <v>19574000</v>
          </cell>
          <cell r="AA104">
            <v>0.10989067129866149</v>
          </cell>
          <cell r="AB104">
            <v>438000</v>
          </cell>
          <cell r="AC104">
            <v>19574000</v>
          </cell>
          <cell r="AD104">
            <v>2.2376622049657711E-2</v>
          </cell>
          <cell r="AE104">
            <v>4791000</v>
          </cell>
          <cell r="AF104">
            <v>19574000</v>
          </cell>
          <cell r="AG104">
            <v>0.24476346173495453</v>
          </cell>
          <cell r="AH104">
            <v>968000</v>
          </cell>
          <cell r="AI104">
            <v>19574000</v>
          </cell>
          <cell r="AJ104">
            <v>4.9453356493307447E-2</v>
          </cell>
          <cell r="AK104">
            <v>181000</v>
          </cell>
          <cell r="AL104">
            <v>19574000</v>
          </cell>
          <cell r="AM104">
            <v>9.2469602533973641E-3</v>
          </cell>
          <cell r="AN104">
            <v>12957000</v>
          </cell>
          <cell r="AO104">
            <v>20389</v>
          </cell>
          <cell r="AP104">
            <v>635.48972485163574</v>
          </cell>
          <cell r="AQ104">
            <v>7583000</v>
          </cell>
          <cell r="AR104">
            <v>21837000</v>
          </cell>
          <cell r="AS104">
            <v>0.34725465952282825</v>
          </cell>
          <cell r="AT104">
            <v>5461000</v>
          </cell>
          <cell r="AU104">
            <v>21837000</v>
          </cell>
          <cell r="AV104">
            <v>0.25008013921326189</v>
          </cell>
          <cell r="AW104">
            <v>170000</v>
          </cell>
          <cell r="AX104">
            <v>21837000</v>
          </cell>
          <cell r="AY104">
            <v>7.7849521454412237E-3</v>
          </cell>
          <cell r="AZ104">
            <v>5387000</v>
          </cell>
          <cell r="BA104">
            <v>21837000</v>
          </cell>
          <cell r="BB104">
            <v>0.24669139533818749</v>
          </cell>
          <cell r="BC104">
            <v>3236000</v>
          </cell>
          <cell r="BD104">
            <v>21837000</v>
          </cell>
          <cell r="BE104">
            <v>0.14818885378028118</v>
          </cell>
          <cell r="BF104">
            <v>16539000</v>
          </cell>
          <cell r="BG104">
            <v>20389</v>
          </cell>
          <cell r="BH104">
            <v>811.17269115699639</v>
          </cell>
          <cell r="BI104">
            <v>3652000</v>
          </cell>
          <cell r="BJ104">
            <v>2503000</v>
          </cell>
          <cell r="BK104">
            <v>1.4590491410307631</v>
          </cell>
          <cell r="BL104">
            <v>438000</v>
          </cell>
          <cell r="BM104">
            <v>16790000</v>
          </cell>
          <cell r="BN104">
            <v>2.6086956521739129E-2</v>
          </cell>
          <cell r="BO104">
            <v>2750000</v>
          </cell>
          <cell r="BP104">
            <v>4334000</v>
          </cell>
          <cell r="BQ104">
            <v>0.63451776649746194</v>
          </cell>
          <cell r="BR104">
            <v>175</v>
          </cell>
          <cell r="BS104" t="str">
            <v>&lt;=4</v>
          </cell>
          <cell r="BT104" t="str">
            <v>&lt;=4</v>
          </cell>
          <cell r="BU104" t="str">
            <v>On Time</v>
          </cell>
          <cell r="BV104">
            <v>454000</v>
          </cell>
          <cell r="BW104">
            <v>20389</v>
          </cell>
          <cell r="BX104">
            <v>22.266908627200941</v>
          </cell>
          <cell r="BY104">
            <v>118749</v>
          </cell>
          <cell r="BZ104">
            <v>20389</v>
          </cell>
          <cell r="CA104">
            <v>5.8241698955319041</v>
          </cell>
          <cell r="CB104">
            <v>1329000</v>
          </cell>
          <cell r="CC104">
            <v>7279</v>
          </cell>
          <cell r="CD104">
            <v>182.58002472867153</v>
          </cell>
          <cell r="CE104">
            <v>898090</v>
          </cell>
          <cell r="CF104">
            <v>7279</v>
          </cell>
          <cell r="CG104">
            <v>123.38095892292897</v>
          </cell>
          <cell r="CH104">
            <v>473000</v>
          </cell>
          <cell r="CI104">
            <v>20389</v>
          </cell>
          <cell r="CJ104">
            <v>23.198783657854726</v>
          </cell>
          <cell r="CK104">
            <v>10878000</v>
          </cell>
          <cell r="CL104">
            <v>20389</v>
          </cell>
          <cell r="CM104">
            <v>533.52297807641378</v>
          </cell>
          <cell r="CN104">
            <v>368</v>
          </cell>
          <cell r="CO104">
            <v>358.67234639517699</v>
          </cell>
          <cell r="CP104">
            <v>240.85141384625999</v>
          </cell>
          <cell r="CQ104">
            <v>287.676609105181</v>
          </cell>
          <cell r="CR104">
            <v>510</v>
          </cell>
          <cell r="CS104">
            <v>7587</v>
          </cell>
          <cell r="CT104">
            <v>510</v>
          </cell>
          <cell r="CU104">
            <v>14.876470588235295</v>
          </cell>
          <cell r="CV104">
            <v>13</v>
          </cell>
          <cell r="CW104">
            <v>97000</v>
          </cell>
          <cell r="CX104">
            <v>677000</v>
          </cell>
          <cell r="CY104">
            <v>0.14327917282127031</v>
          </cell>
          <cell r="CZ104">
            <v>605000</v>
          </cell>
          <cell r="DA104">
            <v>20389</v>
          </cell>
          <cell r="DB104">
            <v>29.672862818186278</v>
          </cell>
          <cell r="DC104">
            <v>907000</v>
          </cell>
          <cell r="DD104">
            <v>20389</v>
          </cell>
          <cell r="DE104">
            <v>44.484771200156949</v>
          </cell>
          <cell r="DF104">
            <v>139000</v>
          </cell>
          <cell r="DG104">
            <v>20389</v>
          </cell>
          <cell r="DH104">
            <v>6.8174015400461032</v>
          </cell>
          <cell r="DI104">
            <v>3517.4</v>
          </cell>
          <cell r="DJ104">
            <v>5.7966111332234034</v>
          </cell>
          <cell r="DK104">
            <v>-1.5669099756690998E-3</v>
          </cell>
          <cell r="DL104">
            <v>2.41</v>
          </cell>
          <cell r="DM104">
            <v>2.83</v>
          </cell>
        </row>
        <row r="105">
          <cell r="B105" t="str">
            <v>Liverpool City Council</v>
          </cell>
          <cell r="C105">
            <v>7</v>
          </cell>
          <cell r="D105">
            <v>28937000</v>
          </cell>
          <cell r="E105">
            <v>49567</v>
          </cell>
          <cell r="F105">
            <v>583.79567050658704</v>
          </cell>
          <cell r="G105">
            <v>354000</v>
          </cell>
          <cell r="H105">
            <v>178</v>
          </cell>
          <cell r="I105">
            <v>1988.7640449438202</v>
          </cell>
          <cell r="J105">
            <v>9299000</v>
          </cell>
          <cell r="K105">
            <v>2768</v>
          </cell>
          <cell r="L105">
            <v>3359.465317919075</v>
          </cell>
          <cell r="M105">
            <v>3360000</v>
          </cell>
          <cell r="N105">
            <v>57994000</v>
          </cell>
          <cell r="O105">
            <v>5.7937027968410527E-2</v>
          </cell>
          <cell r="P105">
            <v>3900000</v>
          </cell>
          <cell r="Q105">
            <v>46214000</v>
          </cell>
          <cell r="R105">
            <v>8.4390011684770852E-2</v>
          </cell>
          <cell r="S105">
            <v>1129000</v>
          </cell>
          <cell r="T105">
            <v>6751000</v>
          </cell>
          <cell r="U105">
            <v>0.16723448378018071</v>
          </cell>
          <cell r="V105">
            <v>50114000</v>
          </cell>
          <cell r="W105">
            <v>98843000</v>
          </cell>
          <cell r="X105">
            <v>0.50700606011553673</v>
          </cell>
          <cell r="Y105">
            <v>7880000</v>
          </cell>
          <cell r="Z105">
            <v>98843000</v>
          </cell>
          <cell r="AA105">
            <v>7.9722388029501337E-2</v>
          </cell>
          <cell r="AB105">
            <v>4947000</v>
          </cell>
          <cell r="AC105">
            <v>98843000</v>
          </cell>
          <cell r="AD105">
            <v>5.0049067713444556E-2</v>
          </cell>
          <cell r="AE105">
            <v>16114000</v>
          </cell>
          <cell r="AF105">
            <v>98843000</v>
          </cell>
          <cell r="AG105">
            <v>0.16302621328773914</v>
          </cell>
          <cell r="AH105">
            <v>16432000</v>
          </cell>
          <cell r="AI105">
            <v>98843000</v>
          </cell>
          <cell r="AJ105">
            <v>0.1662434365610109</v>
          </cell>
          <cell r="AK105">
            <v>3356000</v>
          </cell>
          <cell r="AL105">
            <v>98843000</v>
          </cell>
          <cell r="AM105">
            <v>3.3952834292767319E-2</v>
          </cell>
          <cell r="AN105">
            <v>76761000</v>
          </cell>
          <cell r="AO105">
            <v>159627</v>
          </cell>
          <cell r="AP105">
            <v>480.877295194422</v>
          </cell>
          <cell r="AQ105">
            <v>35474000</v>
          </cell>
          <cell r="AR105">
            <v>101450000</v>
          </cell>
          <cell r="AS105">
            <v>0.34966978807294236</v>
          </cell>
          <cell r="AT105">
            <v>37793000</v>
          </cell>
          <cell r="AU105">
            <v>101450000</v>
          </cell>
          <cell r="AV105">
            <v>0.37252833908329225</v>
          </cell>
          <cell r="AW105">
            <v>2668000</v>
          </cell>
          <cell r="AX105">
            <v>101450000</v>
          </cell>
          <cell r="AY105">
            <v>2.6298669295219321E-2</v>
          </cell>
          <cell r="AZ105">
            <v>15988000</v>
          </cell>
          <cell r="BA105">
            <v>101450000</v>
          </cell>
          <cell r="BB105">
            <v>0.15759487432232627</v>
          </cell>
          <cell r="BC105">
            <v>9527000</v>
          </cell>
          <cell r="BD105">
            <v>101450000</v>
          </cell>
          <cell r="BE105">
            <v>9.3908329226219819E-2</v>
          </cell>
          <cell r="BF105">
            <v>102158000</v>
          </cell>
          <cell r="BG105">
            <v>159627</v>
          </cell>
          <cell r="BH105">
            <v>639.97945209770273</v>
          </cell>
          <cell r="BI105">
            <v>36063000</v>
          </cell>
          <cell r="BJ105">
            <v>25351000</v>
          </cell>
          <cell r="BK105">
            <v>1.4225474340262712</v>
          </cell>
          <cell r="BL105">
            <v>4802000</v>
          </cell>
          <cell r="BM105">
            <v>72973000</v>
          </cell>
          <cell r="BN105">
            <v>6.5805160812903399E-2</v>
          </cell>
          <cell r="BO105">
            <v>11833000</v>
          </cell>
          <cell r="BP105">
            <v>15988000</v>
          </cell>
          <cell r="BQ105">
            <v>0.74011758819114337</v>
          </cell>
          <cell r="BR105">
            <v>573</v>
          </cell>
          <cell r="BS105" t="str">
            <v>&lt;=2</v>
          </cell>
          <cell r="BT105" t="str">
            <v>&lt;=2</v>
          </cell>
          <cell r="BU105" t="str">
            <v>On Time</v>
          </cell>
          <cell r="BV105">
            <v>4624000</v>
          </cell>
          <cell r="BW105">
            <v>159627</v>
          </cell>
          <cell r="BX105">
            <v>28.967530555607759</v>
          </cell>
          <cell r="BY105">
            <v>722302</v>
          </cell>
          <cell r="BZ105">
            <v>159627</v>
          </cell>
          <cell r="CA105">
            <v>4.5249362576506478</v>
          </cell>
          <cell r="CB105">
            <v>10468000</v>
          </cell>
          <cell r="CC105">
            <v>49567</v>
          </cell>
          <cell r="CD105">
            <v>211.18889583795669</v>
          </cell>
          <cell r="CE105">
            <v>6070782</v>
          </cell>
          <cell r="CF105">
            <v>49567</v>
          </cell>
          <cell r="CG105">
            <v>122.47628462485122</v>
          </cell>
          <cell r="CH105">
            <v>9094000</v>
          </cell>
          <cell r="CI105">
            <v>159627</v>
          </cell>
          <cell r="CJ105">
            <v>56.970312039943117</v>
          </cell>
          <cell r="CK105">
            <v>54388000</v>
          </cell>
          <cell r="CL105">
            <v>159627</v>
          </cell>
          <cell r="CM105">
            <v>340.71930187249023</v>
          </cell>
          <cell r="CN105" t="str">
            <v>N/A</v>
          </cell>
          <cell r="CO105" t="str">
            <v>N/A</v>
          </cell>
          <cell r="CP105" t="str">
            <v>N/A</v>
          </cell>
          <cell r="CQ105" t="str">
            <v>N/A</v>
          </cell>
          <cell r="CR105">
            <v>2799</v>
          </cell>
          <cell r="CS105">
            <v>160530</v>
          </cell>
          <cell r="CT105">
            <v>2799</v>
          </cell>
          <cell r="CU105">
            <v>57.352625937834944</v>
          </cell>
          <cell r="CV105">
            <v>49</v>
          </cell>
          <cell r="CW105">
            <v>202000</v>
          </cell>
          <cell r="CX105">
            <v>4799000</v>
          </cell>
          <cell r="CY105">
            <v>4.2092102521358615E-2</v>
          </cell>
          <cell r="CZ105">
            <v>476000</v>
          </cell>
          <cell r="DA105">
            <v>159627</v>
          </cell>
          <cell r="DB105">
            <v>2.9819516748419752</v>
          </cell>
          <cell r="DC105">
            <v>5775000</v>
          </cell>
          <cell r="DD105">
            <v>159627</v>
          </cell>
          <cell r="DE105">
            <v>36.178090172715144</v>
          </cell>
          <cell r="DF105">
            <v>5050000</v>
          </cell>
          <cell r="DG105">
            <v>159627</v>
          </cell>
          <cell r="DH105">
            <v>31.636252012504151</v>
          </cell>
          <cell r="DI105">
            <v>305.39999999999998</v>
          </cell>
          <cell r="DJ105">
            <v>522.68172888015727</v>
          </cell>
          <cell r="DK105">
            <v>7.9190205509400965E-2</v>
          </cell>
          <cell r="DL105">
            <v>1.58</v>
          </cell>
          <cell r="DM105">
            <v>27.7</v>
          </cell>
        </row>
        <row r="106">
          <cell r="B106" t="str">
            <v>Lockhart Shire Council</v>
          </cell>
          <cell r="C106">
            <v>9</v>
          </cell>
          <cell r="D106">
            <v>162000</v>
          </cell>
          <cell r="E106">
            <v>1023</v>
          </cell>
          <cell r="F106">
            <v>158.35777126099705</v>
          </cell>
          <cell r="G106">
            <v>1113000</v>
          </cell>
          <cell r="H106">
            <v>1056</v>
          </cell>
          <cell r="I106">
            <v>1053.9772727272727</v>
          </cell>
          <cell r="J106">
            <v>57000</v>
          </cell>
          <cell r="K106">
            <v>224</v>
          </cell>
          <cell r="L106">
            <v>254.46428571428572</v>
          </cell>
          <cell r="M106">
            <v>165000</v>
          </cell>
          <cell r="N106">
            <v>2600000</v>
          </cell>
          <cell r="O106">
            <v>6.3461538461538458E-2</v>
          </cell>
          <cell r="P106">
            <v>35000</v>
          </cell>
          <cell r="Q106">
            <v>1635000</v>
          </cell>
          <cell r="R106">
            <v>2.1406727828746176E-2</v>
          </cell>
          <cell r="S106">
            <v>286000</v>
          </cell>
          <cell r="T106">
            <v>644000</v>
          </cell>
          <cell r="U106">
            <v>0.44409937888198758</v>
          </cell>
          <cell r="V106">
            <v>1670000</v>
          </cell>
          <cell r="W106">
            <v>7334000</v>
          </cell>
          <cell r="X106">
            <v>0.22770657212980638</v>
          </cell>
          <cell r="Y106">
            <v>930000</v>
          </cell>
          <cell r="Z106">
            <v>7334000</v>
          </cell>
          <cell r="AA106">
            <v>0.12680665394055085</v>
          </cell>
          <cell r="AB106">
            <v>183000</v>
          </cell>
          <cell r="AC106">
            <v>7334000</v>
          </cell>
          <cell r="AD106">
            <v>2.4952277065721298E-2</v>
          </cell>
          <cell r="AE106">
            <v>3423000</v>
          </cell>
          <cell r="AF106">
            <v>7334000</v>
          </cell>
          <cell r="AG106">
            <v>0.46673029724570492</v>
          </cell>
          <cell r="AH106">
            <v>979000</v>
          </cell>
          <cell r="AI106">
            <v>7334000</v>
          </cell>
          <cell r="AJ106">
            <v>0.13348786473956914</v>
          </cell>
          <cell r="AK106">
            <v>149000</v>
          </cell>
          <cell r="AL106">
            <v>7334000</v>
          </cell>
          <cell r="AM106">
            <v>2.0316334878647396E-2</v>
          </cell>
          <cell r="AN106">
            <v>6417000</v>
          </cell>
          <cell r="AO106">
            <v>3592</v>
          </cell>
          <cell r="AP106">
            <v>1786.4699331848553</v>
          </cell>
          <cell r="AQ106">
            <v>1866000</v>
          </cell>
          <cell r="AR106">
            <v>6917000</v>
          </cell>
          <cell r="AS106">
            <v>0.2697701315599248</v>
          </cell>
          <cell r="AT106">
            <v>2101000</v>
          </cell>
          <cell r="AU106">
            <v>6917000</v>
          </cell>
          <cell r="AV106">
            <v>0.30374439786034407</v>
          </cell>
          <cell r="AW106">
            <v>91000</v>
          </cell>
          <cell r="AX106">
            <v>6917000</v>
          </cell>
          <cell r="AY106">
            <v>1.315599248229001E-2</v>
          </cell>
          <cell r="AZ106">
            <v>1830000</v>
          </cell>
          <cell r="BA106">
            <v>6917000</v>
          </cell>
          <cell r="BB106">
            <v>0.26456556310539253</v>
          </cell>
          <cell r="BC106">
            <v>1029000</v>
          </cell>
          <cell r="BD106">
            <v>6917000</v>
          </cell>
          <cell r="BE106">
            <v>0.14876391499204858</v>
          </cell>
          <cell r="BF106">
            <v>6697000</v>
          </cell>
          <cell r="BG106">
            <v>3592</v>
          </cell>
          <cell r="BH106">
            <v>1864.4209354120267</v>
          </cell>
          <cell r="BI106">
            <v>2579000</v>
          </cell>
          <cell r="BJ106">
            <v>730000</v>
          </cell>
          <cell r="BK106">
            <v>3.532876712328767</v>
          </cell>
          <cell r="BL106">
            <v>268000</v>
          </cell>
          <cell r="BM106">
            <v>5129000</v>
          </cell>
          <cell r="BN106">
            <v>5.225190095535192E-2</v>
          </cell>
          <cell r="BO106">
            <v>1032000</v>
          </cell>
          <cell r="BP106">
            <v>1706000</v>
          </cell>
          <cell r="BQ106">
            <v>0.60492379835873389</v>
          </cell>
          <cell r="BR106">
            <v>41</v>
          </cell>
          <cell r="BS106" t="str">
            <v>&lt;=2</v>
          </cell>
          <cell r="BT106" t="str">
            <v>&lt;=2</v>
          </cell>
          <cell r="BU106" t="str">
            <v>On Time</v>
          </cell>
          <cell r="BV106">
            <v>64000</v>
          </cell>
          <cell r="BW106">
            <v>3592</v>
          </cell>
          <cell r="BX106">
            <v>17.817371937639198</v>
          </cell>
          <cell r="BY106">
            <v>16666</v>
          </cell>
          <cell r="BZ106">
            <v>3592</v>
          </cell>
          <cell r="CA106">
            <v>4.6397550111358576</v>
          </cell>
          <cell r="CB106">
            <v>79000</v>
          </cell>
          <cell r="CC106">
            <v>787</v>
          </cell>
          <cell r="CD106">
            <v>100.38119440914866</v>
          </cell>
          <cell r="CE106">
            <v>41899</v>
          </cell>
          <cell r="CF106">
            <v>736</v>
          </cell>
          <cell r="CG106">
            <v>56.927989130434781</v>
          </cell>
          <cell r="CH106">
            <v>0</v>
          </cell>
          <cell r="CI106">
            <v>3592</v>
          </cell>
          <cell r="CJ106" t="str">
            <v>N/A</v>
          </cell>
          <cell r="CK106">
            <v>5660500</v>
          </cell>
          <cell r="CL106">
            <v>3592</v>
          </cell>
          <cell r="CM106">
            <v>1575.8630289532293</v>
          </cell>
          <cell r="CN106" t="str">
            <v>N/A</v>
          </cell>
          <cell r="CO106" t="str">
            <v>N/A</v>
          </cell>
          <cell r="CP106">
            <v>345</v>
          </cell>
          <cell r="CQ106">
            <v>429</v>
          </cell>
          <cell r="CR106">
            <v>71</v>
          </cell>
          <cell r="CS106">
            <v>1458</v>
          </cell>
          <cell r="CT106">
            <v>71</v>
          </cell>
          <cell r="CU106">
            <v>20.535211267605632</v>
          </cell>
          <cell r="CV106">
            <v>7</v>
          </cell>
          <cell r="CW106">
            <v>0</v>
          </cell>
          <cell r="CX106">
            <v>72000</v>
          </cell>
          <cell r="CY106">
            <v>0</v>
          </cell>
          <cell r="CZ106">
            <v>102000</v>
          </cell>
          <cell r="DA106">
            <v>3592</v>
          </cell>
          <cell r="DB106">
            <v>28.396436525612472</v>
          </cell>
          <cell r="DC106">
            <v>257000</v>
          </cell>
          <cell r="DD106">
            <v>3592</v>
          </cell>
          <cell r="DE106">
            <v>71.547884187082403</v>
          </cell>
          <cell r="DF106">
            <v>281000</v>
          </cell>
          <cell r="DG106">
            <v>3592</v>
          </cell>
          <cell r="DH106">
            <v>78.229398663697111</v>
          </cell>
          <cell r="DI106">
            <v>2895.3</v>
          </cell>
          <cell r="DJ106">
            <v>1.2406313680793009</v>
          </cell>
          <cell r="DK106">
            <v>-7.914438502673796E-3</v>
          </cell>
          <cell r="DL106">
            <v>1.49</v>
          </cell>
          <cell r="DM106">
            <v>1.1200000000000001</v>
          </cell>
        </row>
        <row r="107">
          <cell r="B107" t="str">
            <v>Maclean Shire Council</v>
          </cell>
          <cell r="C107">
            <v>11</v>
          </cell>
          <cell r="D107">
            <v>4203000</v>
          </cell>
          <cell r="E107">
            <v>7613</v>
          </cell>
          <cell r="F107">
            <v>552.08196505976616</v>
          </cell>
          <cell r="G107">
            <v>908000</v>
          </cell>
          <cell r="H107">
            <v>693</v>
          </cell>
          <cell r="I107">
            <v>1310.2453102453103</v>
          </cell>
          <cell r="J107">
            <v>498000</v>
          </cell>
          <cell r="K107">
            <v>511</v>
          </cell>
          <cell r="L107">
            <v>974.55968688845405</v>
          </cell>
          <cell r="M107">
            <v>1145000</v>
          </cell>
          <cell r="N107">
            <v>11406000</v>
          </cell>
          <cell r="O107">
            <v>0.10038576187971243</v>
          </cell>
          <cell r="P107">
            <v>440000</v>
          </cell>
          <cell r="Q107">
            <v>8372000</v>
          </cell>
          <cell r="R107">
            <v>5.2556139512661249E-2</v>
          </cell>
          <cell r="S107">
            <v>-322000</v>
          </cell>
          <cell r="T107">
            <v>2916000</v>
          </cell>
          <cell r="U107">
            <v>-0.11042524005486969</v>
          </cell>
          <cell r="V107">
            <v>8812000</v>
          </cell>
          <cell r="W107">
            <v>23582000</v>
          </cell>
          <cell r="X107">
            <v>0.37367483673988633</v>
          </cell>
          <cell r="Y107">
            <v>2594000</v>
          </cell>
          <cell r="Z107">
            <v>23582000</v>
          </cell>
          <cell r="AA107">
            <v>0.10999915189551353</v>
          </cell>
          <cell r="AB107">
            <v>816000</v>
          </cell>
          <cell r="AC107">
            <v>23582000</v>
          </cell>
          <cell r="AD107">
            <v>3.4602663048087526E-2</v>
          </cell>
          <cell r="AE107">
            <v>6538000</v>
          </cell>
          <cell r="AF107">
            <v>23582000</v>
          </cell>
          <cell r="AG107">
            <v>0.27724535662793653</v>
          </cell>
          <cell r="AH107">
            <v>4333000</v>
          </cell>
          <cell r="AI107">
            <v>23582000</v>
          </cell>
          <cell r="AJ107">
            <v>0.1837418369943177</v>
          </cell>
          <cell r="AK107">
            <v>489000</v>
          </cell>
          <cell r="AL107">
            <v>23582000</v>
          </cell>
          <cell r="AM107">
            <v>2.0736154694258331E-2</v>
          </cell>
          <cell r="AN107">
            <v>17158000</v>
          </cell>
          <cell r="AO107">
            <v>17062</v>
          </cell>
          <cell r="AP107">
            <v>1005.6265385066229</v>
          </cell>
          <cell r="AQ107">
            <v>6364000</v>
          </cell>
          <cell r="AR107">
            <v>22268000</v>
          </cell>
          <cell r="AS107">
            <v>0.28579126998383331</v>
          </cell>
          <cell r="AT107">
            <v>6407000</v>
          </cell>
          <cell r="AU107">
            <v>22268000</v>
          </cell>
          <cell r="AV107">
            <v>0.28772229207831868</v>
          </cell>
          <cell r="AW107">
            <v>641000</v>
          </cell>
          <cell r="AX107">
            <v>22268000</v>
          </cell>
          <cell r="AY107">
            <v>2.8785701455002696E-2</v>
          </cell>
          <cell r="AZ107">
            <v>5314000</v>
          </cell>
          <cell r="BA107">
            <v>22268000</v>
          </cell>
          <cell r="BB107">
            <v>0.23863840488593496</v>
          </cell>
          <cell r="BC107">
            <v>3542000</v>
          </cell>
          <cell r="BD107">
            <v>22268000</v>
          </cell>
          <cell r="BE107">
            <v>0.15906233159691036</v>
          </cell>
          <cell r="BF107">
            <v>20830000</v>
          </cell>
          <cell r="BG107">
            <v>17062</v>
          </cell>
          <cell r="BH107">
            <v>1220.841636384949</v>
          </cell>
          <cell r="BI107">
            <v>5140000</v>
          </cell>
          <cell r="BJ107">
            <v>2386000</v>
          </cell>
          <cell r="BK107">
            <v>2.1542330259849121</v>
          </cell>
          <cell r="BL107">
            <v>1505000</v>
          </cell>
          <cell r="BM107">
            <v>15015000</v>
          </cell>
          <cell r="BN107">
            <v>0.10023310023310024</v>
          </cell>
          <cell r="BO107">
            <v>2136000</v>
          </cell>
          <cell r="BP107">
            <v>4833000</v>
          </cell>
          <cell r="BQ107">
            <v>0.44196151458721289</v>
          </cell>
          <cell r="BR107">
            <v>124</v>
          </cell>
          <cell r="BS107" t="str">
            <v>On Time</v>
          </cell>
          <cell r="BT107" t="str">
            <v>On Time</v>
          </cell>
          <cell r="BU107" t="str">
            <v>On Time</v>
          </cell>
          <cell r="BV107">
            <v>287000</v>
          </cell>
          <cell r="BW107">
            <v>17062</v>
          </cell>
          <cell r="BX107">
            <v>16.821005743758057</v>
          </cell>
          <cell r="BY107">
            <v>128702</v>
          </cell>
          <cell r="BZ107">
            <v>17062</v>
          </cell>
          <cell r="CA107">
            <v>7.5431954049935532</v>
          </cell>
          <cell r="CB107">
            <v>1038000</v>
          </cell>
          <cell r="CC107">
            <v>7101</v>
          </cell>
          <cell r="CD107">
            <v>146.17659484579636</v>
          </cell>
          <cell r="CE107">
            <v>1318606</v>
          </cell>
          <cell r="CF107">
            <v>7101</v>
          </cell>
          <cell r="CG107">
            <v>185.69300098577665</v>
          </cell>
          <cell r="CH107">
            <v>650400</v>
          </cell>
          <cell r="CI107">
            <v>17062</v>
          </cell>
          <cell r="CJ107">
            <v>38.119798382370178</v>
          </cell>
          <cell r="CK107">
            <v>6185000</v>
          </cell>
          <cell r="CL107">
            <v>17062</v>
          </cell>
          <cell r="CM107">
            <v>362.50146524440277</v>
          </cell>
          <cell r="CN107" t="str">
            <v>N/A</v>
          </cell>
          <cell r="CO107" t="str">
            <v>N/A</v>
          </cell>
          <cell r="CP107">
            <v>420.16089920281502</v>
          </cell>
          <cell r="CQ107">
            <v>337.45421245421198</v>
          </cell>
          <cell r="CR107">
            <v>522</v>
          </cell>
          <cell r="CS107">
            <v>9645</v>
          </cell>
          <cell r="CT107">
            <v>522</v>
          </cell>
          <cell r="CU107">
            <v>18.477011494252874</v>
          </cell>
          <cell r="CV107">
            <v>10</v>
          </cell>
          <cell r="CW107">
            <v>29000</v>
          </cell>
          <cell r="CX107">
            <v>1021000</v>
          </cell>
          <cell r="CY107">
            <v>2.8403525954946131E-2</v>
          </cell>
          <cell r="CZ107">
            <v>1048000</v>
          </cell>
          <cell r="DA107">
            <v>17062</v>
          </cell>
          <cell r="DB107">
            <v>61.423045363966708</v>
          </cell>
          <cell r="DC107">
            <v>965000</v>
          </cell>
          <cell r="DD107">
            <v>17062</v>
          </cell>
          <cell r="DE107">
            <v>56.558433946782323</v>
          </cell>
          <cell r="DF107">
            <v>3007000</v>
          </cell>
          <cell r="DG107">
            <v>17062</v>
          </cell>
          <cell r="DH107">
            <v>176.23959676474036</v>
          </cell>
          <cell r="DI107">
            <v>1049.0999999999999</v>
          </cell>
          <cell r="DJ107">
            <v>16.263463921456488</v>
          </cell>
          <cell r="DK107">
            <v>1.9305912596401027E-2</v>
          </cell>
          <cell r="DL107">
            <v>3.11</v>
          </cell>
          <cell r="DM107">
            <v>2.31</v>
          </cell>
        </row>
        <row r="108">
          <cell r="B108" t="str">
            <v>Maitland City Council</v>
          </cell>
          <cell r="C108">
            <v>4</v>
          </cell>
          <cell r="D108">
            <v>11104000</v>
          </cell>
          <cell r="E108">
            <v>19805</v>
          </cell>
          <cell r="F108">
            <v>560.66649835900023</v>
          </cell>
          <cell r="G108">
            <v>1061000</v>
          </cell>
          <cell r="H108">
            <v>679</v>
          </cell>
          <cell r="I108">
            <v>1562.5920471281297</v>
          </cell>
          <cell r="J108">
            <v>3925000</v>
          </cell>
          <cell r="K108">
            <v>1367</v>
          </cell>
          <cell r="L108">
            <v>2871.2509144111191</v>
          </cell>
          <cell r="M108">
            <v>2692000</v>
          </cell>
          <cell r="N108">
            <v>24527000</v>
          </cell>
          <cell r="O108">
            <v>0.10975659477310719</v>
          </cell>
          <cell r="P108">
            <v>989000</v>
          </cell>
          <cell r="Q108">
            <v>18815000</v>
          </cell>
          <cell r="R108">
            <v>5.2564443263353709E-2</v>
          </cell>
          <cell r="S108">
            <v>765000</v>
          </cell>
          <cell r="T108">
            <v>3958000</v>
          </cell>
          <cell r="U108">
            <v>0.19327943405760484</v>
          </cell>
          <cell r="V108">
            <v>19804000</v>
          </cell>
          <cell r="W108">
            <v>40132000</v>
          </cell>
          <cell r="X108">
            <v>0.49347154390511311</v>
          </cell>
          <cell r="Y108">
            <v>4723000</v>
          </cell>
          <cell r="Z108">
            <v>40132000</v>
          </cell>
          <cell r="AA108">
            <v>0.11768663410744543</v>
          </cell>
          <cell r="AB108">
            <v>948000</v>
          </cell>
          <cell r="AC108">
            <v>40132000</v>
          </cell>
          <cell r="AD108">
            <v>2.3622047244094488E-2</v>
          </cell>
          <cell r="AE108">
            <v>6212000</v>
          </cell>
          <cell r="AF108">
            <v>40132000</v>
          </cell>
          <cell r="AG108">
            <v>0.15478919565434068</v>
          </cell>
          <cell r="AH108">
            <v>7919000</v>
          </cell>
          <cell r="AI108">
            <v>40132000</v>
          </cell>
          <cell r="AJ108">
            <v>0.19732383135652348</v>
          </cell>
          <cell r="AK108">
            <v>526000</v>
          </cell>
          <cell r="AL108">
            <v>40132000</v>
          </cell>
          <cell r="AM108">
            <v>1.3106747732482807E-2</v>
          </cell>
          <cell r="AN108">
            <v>31806000</v>
          </cell>
          <cell r="AO108">
            <v>56661</v>
          </cell>
          <cell r="AP108">
            <v>561.33848678985544</v>
          </cell>
          <cell r="AQ108">
            <v>11906000</v>
          </cell>
          <cell r="AR108">
            <v>31366000</v>
          </cell>
          <cell r="AS108">
            <v>0.3795829879487343</v>
          </cell>
          <cell r="AT108">
            <v>9459000</v>
          </cell>
          <cell r="AU108">
            <v>31366000</v>
          </cell>
          <cell r="AV108">
            <v>0.30156857744054072</v>
          </cell>
          <cell r="AW108">
            <v>301000</v>
          </cell>
          <cell r="AX108">
            <v>31366000</v>
          </cell>
          <cell r="AY108">
            <v>9.5963782439584255E-3</v>
          </cell>
          <cell r="AZ108">
            <v>5467000</v>
          </cell>
          <cell r="BA108">
            <v>31366000</v>
          </cell>
          <cell r="BB108">
            <v>0.17429700950073329</v>
          </cell>
          <cell r="BC108">
            <v>4233000</v>
          </cell>
          <cell r="BD108">
            <v>31366000</v>
          </cell>
          <cell r="BE108">
            <v>0.1349550468660333</v>
          </cell>
          <cell r="BF108">
            <v>31540000</v>
          </cell>
          <cell r="BG108">
            <v>56661</v>
          </cell>
          <cell r="BH108">
            <v>556.64389968408602</v>
          </cell>
          <cell r="BI108">
            <v>12811000</v>
          </cell>
          <cell r="BJ108">
            <v>7272000</v>
          </cell>
          <cell r="BK108">
            <v>1.7616886688668867</v>
          </cell>
          <cell r="BL108">
            <v>1339000</v>
          </cell>
          <cell r="BM108">
            <v>29512000</v>
          </cell>
          <cell r="BN108">
            <v>4.5371374356194087E-2</v>
          </cell>
          <cell r="BO108">
            <v>13500000</v>
          </cell>
          <cell r="BP108">
            <v>5467000</v>
          </cell>
          <cell r="BQ108">
            <v>2.4693616242912015</v>
          </cell>
          <cell r="BR108">
            <v>260.2</v>
          </cell>
          <cell r="BS108" t="str">
            <v>On Time</v>
          </cell>
          <cell r="BT108" t="str">
            <v>Not Received</v>
          </cell>
          <cell r="BU108" t="str">
            <v>On Time</v>
          </cell>
          <cell r="BV108">
            <v>1179000</v>
          </cell>
          <cell r="BW108">
            <v>56661</v>
          </cell>
          <cell r="BX108">
            <v>20.807963149256103</v>
          </cell>
          <cell r="BY108">
            <v>300647</v>
          </cell>
          <cell r="BZ108">
            <v>56661</v>
          </cell>
          <cell r="CA108">
            <v>5.3060659007077176</v>
          </cell>
          <cell r="CB108">
            <v>2877000</v>
          </cell>
          <cell r="CC108">
            <v>20067</v>
          </cell>
          <cell r="CD108">
            <v>143.36971146658692</v>
          </cell>
          <cell r="CE108">
            <v>3076000</v>
          </cell>
          <cell r="CF108">
            <v>20067</v>
          </cell>
          <cell r="CG108">
            <v>153.28649025763693</v>
          </cell>
          <cell r="CH108">
            <v>2813000</v>
          </cell>
          <cell r="CI108">
            <v>56661</v>
          </cell>
          <cell r="CJ108">
            <v>49.646141084696708</v>
          </cell>
          <cell r="CK108">
            <v>17408000</v>
          </cell>
          <cell r="CL108">
            <v>56661</v>
          </cell>
          <cell r="CM108">
            <v>307.23072307230723</v>
          </cell>
          <cell r="CN108" t="str">
            <v>N/A</v>
          </cell>
          <cell r="CO108" t="str">
            <v>N/A</v>
          </cell>
          <cell r="CP108" t="str">
            <v>N/A</v>
          </cell>
          <cell r="CQ108" t="str">
            <v>N/A</v>
          </cell>
          <cell r="CR108">
            <v>1845</v>
          </cell>
          <cell r="CS108">
            <v>50369</v>
          </cell>
          <cell r="CT108">
            <v>1845</v>
          </cell>
          <cell r="CU108">
            <v>27.300271002710026</v>
          </cell>
          <cell r="CV108">
            <v>21</v>
          </cell>
          <cell r="CW108">
            <v>34000</v>
          </cell>
          <cell r="CX108">
            <v>2634000</v>
          </cell>
          <cell r="CY108">
            <v>1.2908124525436599E-2</v>
          </cell>
          <cell r="CZ108">
            <v>859000</v>
          </cell>
          <cell r="DA108">
            <v>56661</v>
          </cell>
          <cell r="DB108">
            <v>15.160339563368101</v>
          </cell>
          <cell r="DC108">
            <v>3427000</v>
          </cell>
          <cell r="DD108">
            <v>56661</v>
          </cell>
          <cell r="DE108">
            <v>60.482518840119305</v>
          </cell>
          <cell r="DF108">
            <v>773000</v>
          </cell>
          <cell r="DG108">
            <v>56661</v>
          </cell>
          <cell r="DH108">
            <v>13.642540724660702</v>
          </cell>
          <cell r="DI108">
            <v>391.7</v>
          </cell>
          <cell r="DJ108">
            <v>144.65407199387286</v>
          </cell>
          <cell r="DK108">
            <v>1.5032258064516128E-2</v>
          </cell>
          <cell r="DL108">
            <v>1.71</v>
          </cell>
          <cell r="DM108">
            <v>3.35</v>
          </cell>
        </row>
        <row r="109">
          <cell r="B109" t="str">
            <v>Manilla Shire Council</v>
          </cell>
          <cell r="C109">
            <v>9</v>
          </cell>
          <cell r="D109">
            <v>188000</v>
          </cell>
          <cell r="E109">
            <v>1096</v>
          </cell>
          <cell r="F109">
            <v>171.53284671532847</v>
          </cell>
          <cell r="G109">
            <v>643000</v>
          </cell>
          <cell r="H109">
            <v>434</v>
          </cell>
          <cell r="I109">
            <v>1481.5668202764978</v>
          </cell>
          <cell r="J109">
            <v>39000</v>
          </cell>
          <cell r="K109">
            <v>112</v>
          </cell>
          <cell r="L109">
            <v>348.21428571428572</v>
          </cell>
          <cell r="M109">
            <v>241000</v>
          </cell>
          <cell r="N109">
            <v>2865000</v>
          </cell>
          <cell r="O109">
            <v>8.4118673647469458E-2</v>
          </cell>
          <cell r="P109">
            <v>63000</v>
          </cell>
          <cell r="Q109">
            <v>1761000</v>
          </cell>
          <cell r="R109">
            <v>3.5775127768313458E-2</v>
          </cell>
          <cell r="S109">
            <v>232000</v>
          </cell>
          <cell r="T109">
            <v>809000</v>
          </cell>
          <cell r="U109">
            <v>0.28677379480840542</v>
          </cell>
          <cell r="V109">
            <v>1824000</v>
          </cell>
          <cell r="W109">
            <v>5363000</v>
          </cell>
          <cell r="X109">
            <v>0.34010814842438936</v>
          </cell>
          <cell r="Y109">
            <v>1041000</v>
          </cell>
          <cell r="Z109">
            <v>5363000</v>
          </cell>
          <cell r="AA109">
            <v>0.19410777549878799</v>
          </cell>
          <cell r="AB109">
            <v>145000</v>
          </cell>
          <cell r="AC109">
            <v>5363000</v>
          </cell>
          <cell r="AD109">
            <v>2.703710609733358E-2</v>
          </cell>
          <cell r="AE109">
            <v>1572000</v>
          </cell>
          <cell r="AF109">
            <v>5363000</v>
          </cell>
          <cell r="AG109">
            <v>0.29311952265523028</v>
          </cell>
          <cell r="AH109">
            <v>738000</v>
          </cell>
          <cell r="AI109">
            <v>5363000</v>
          </cell>
          <cell r="AJ109">
            <v>0.13760954689539437</v>
          </cell>
          <cell r="AK109">
            <v>43000</v>
          </cell>
          <cell r="AL109">
            <v>5363000</v>
          </cell>
          <cell r="AM109">
            <v>8.0179004288644419E-3</v>
          </cell>
          <cell r="AN109">
            <v>4212000</v>
          </cell>
          <cell r="AO109">
            <v>3332</v>
          </cell>
          <cell r="AP109">
            <v>1264.1056422569027</v>
          </cell>
          <cell r="AQ109">
            <v>2307000</v>
          </cell>
          <cell r="AR109">
            <v>6254000</v>
          </cell>
          <cell r="AS109">
            <v>0.36888391429485129</v>
          </cell>
          <cell r="AT109">
            <v>2049000</v>
          </cell>
          <cell r="AU109">
            <v>6254000</v>
          </cell>
          <cell r="AV109">
            <v>0.32763031659737768</v>
          </cell>
          <cell r="AW109">
            <v>154000</v>
          </cell>
          <cell r="AX109">
            <v>6254000</v>
          </cell>
          <cell r="AY109">
            <v>2.4624240486088904E-2</v>
          </cell>
          <cell r="AZ109">
            <v>1566000</v>
          </cell>
          <cell r="BA109">
            <v>6254000</v>
          </cell>
          <cell r="BB109">
            <v>0.25039974416373523</v>
          </cell>
          <cell r="BC109">
            <v>178000</v>
          </cell>
          <cell r="BD109">
            <v>6254000</v>
          </cell>
          <cell r="BE109">
            <v>2.8461784457946913E-2</v>
          </cell>
          <cell r="BF109">
            <v>5201000</v>
          </cell>
          <cell r="BG109">
            <v>3332</v>
          </cell>
          <cell r="BH109">
            <v>1560.9243697478992</v>
          </cell>
          <cell r="BI109">
            <v>1541000</v>
          </cell>
          <cell r="BJ109">
            <v>780000</v>
          </cell>
          <cell r="BK109">
            <v>1.9756410256410257</v>
          </cell>
          <cell r="BL109">
            <v>527000</v>
          </cell>
          <cell r="BM109">
            <v>4048000</v>
          </cell>
          <cell r="BN109">
            <v>0.13018774703557312</v>
          </cell>
          <cell r="BO109">
            <v>249000</v>
          </cell>
          <cell r="BP109">
            <v>1301000</v>
          </cell>
          <cell r="BQ109">
            <v>0.19139123750960799</v>
          </cell>
          <cell r="BR109">
            <v>50</v>
          </cell>
          <cell r="BS109" t="str">
            <v>On Time</v>
          </cell>
          <cell r="BT109" t="str">
            <v>On Time</v>
          </cell>
          <cell r="BU109" t="str">
            <v>On Time</v>
          </cell>
          <cell r="BV109">
            <v>76000</v>
          </cell>
          <cell r="BW109">
            <v>3332</v>
          </cell>
          <cell r="BX109">
            <v>22.809123649459785</v>
          </cell>
          <cell r="BY109">
            <v>17770</v>
          </cell>
          <cell r="BZ109">
            <v>3332</v>
          </cell>
          <cell r="CA109">
            <v>5.3331332533013205</v>
          </cell>
          <cell r="CB109">
            <v>132000</v>
          </cell>
          <cell r="CC109">
            <v>938</v>
          </cell>
          <cell r="CD109">
            <v>140.72494669509595</v>
          </cell>
          <cell r="CE109">
            <v>69000</v>
          </cell>
          <cell r="CF109">
            <v>938</v>
          </cell>
          <cell r="CG109">
            <v>73.56076759061834</v>
          </cell>
          <cell r="CH109">
            <v>481500</v>
          </cell>
          <cell r="CI109">
            <v>3332</v>
          </cell>
          <cell r="CJ109">
            <v>144.50780312124849</v>
          </cell>
          <cell r="CK109">
            <v>560000</v>
          </cell>
          <cell r="CL109">
            <v>3332</v>
          </cell>
          <cell r="CM109">
            <v>168.0672268907563</v>
          </cell>
          <cell r="CN109">
            <v>396.36861939020201</v>
          </cell>
          <cell r="CO109">
            <v>496.57869012707698</v>
          </cell>
          <cell r="CP109">
            <v>456.97447123453298</v>
          </cell>
          <cell r="CQ109">
            <v>460.28708133971298</v>
          </cell>
          <cell r="CR109">
            <v>18</v>
          </cell>
          <cell r="CS109">
            <v>226</v>
          </cell>
          <cell r="CT109">
            <v>18</v>
          </cell>
          <cell r="CU109">
            <v>12.555555555555555</v>
          </cell>
          <cell r="CV109">
            <v>50</v>
          </cell>
          <cell r="CW109">
            <v>0</v>
          </cell>
          <cell r="CX109">
            <v>104000</v>
          </cell>
          <cell r="CY109">
            <v>0</v>
          </cell>
          <cell r="CZ109">
            <v>73000</v>
          </cell>
          <cell r="DA109">
            <v>3332</v>
          </cell>
          <cell r="DB109">
            <v>21.90876350540216</v>
          </cell>
          <cell r="DC109">
            <v>294000</v>
          </cell>
          <cell r="DD109">
            <v>3332</v>
          </cell>
          <cell r="DE109">
            <v>88.235294117647058</v>
          </cell>
          <cell r="DF109">
            <v>685000</v>
          </cell>
          <cell r="DG109">
            <v>3332</v>
          </cell>
          <cell r="DH109">
            <v>205.58223289315725</v>
          </cell>
          <cell r="DI109">
            <v>2193.3000000000002</v>
          </cell>
          <cell r="DJ109">
            <v>1.5191720238909405</v>
          </cell>
          <cell r="DK109">
            <v>-9.0544412607449862E-3</v>
          </cell>
          <cell r="DL109">
            <v>4.57</v>
          </cell>
          <cell r="DM109">
            <v>1.07</v>
          </cell>
        </row>
        <row r="110">
          <cell r="B110" t="str">
            <v>Manly Council</v>
          </cell>
          <cell r="C110">
            <v>2</v>
          </cell>
          <cell r="D110">
            <v>13227000</v>
          </cell>
          <cell r="E110">
            <v>16172</v>
          </cell>
          <cell r="F110">
            <v>817.89512738065798</v>
          </cell>
          <cell r="G110">
            <v>0</v>
          </cell>
          <cell r="H110">
            <v>0</v>
          </cell>
          <cell r="I110" t="str">
            <v>N/A</v>
          </cell>
          <cell r="J110">
            <v>3317000</v>
          </cell>
          <cell r="K110">
            <v>992</v>
          </cell>
          <cell r="L110">
            <v>3343.75</v>
          </cell>
          <cell r="M110">
            <v>1136000</v>
          </cell>
          <cell r="N110">
            <v>27137000</v>
          </cell>
          <cell r="O110">
            <v>4.1861664885580574E-2</v>
          </cell>
          <cell r="P110">
            <v>624000</v>
          </cell>
          <cell r="Q110">
            <v>19418000</v>
          </cell>
          <cell r="R110">
            <v>3.213513235142651E-2</v>
          </cell>
          <cell r="S110">
            <v>562000</v>
          </cell>
          <cell r="T110">
            <v>6533000</v>
          </cell>
          <cell r="U110">
            <v>8.6024797183529775E-2</v>
          </cell>
          <cell r="V110">
            <v>20042000</v>
          </cell>
          <cell r="W110">
            <v>38190000</v>
          </cell>
          <cell r="X110">
            <v>0.52479706729510345</v>
          </cell>
          <cell r="Y110">
            <v>7095000</v>
          </cell>
          <cell r="Z110">
            <v>38190000</v>
          </cell>
          <cell r="AA110">
            <v>0.18578161822466616</v>
          </cell>
          <cell r="AB110">
            <v>1124000</v>
          </cell>
          <cell r="AC110">
            <v>38190000</v>
          </cell>
          <cell r="AD110">
            <v>2.9431788426289605E-2</v>
          </cell>
          <cell r="AE110">
            <v>4468000</v>
          </cell>
          <cell r="AF110">
            <v>38190000</v>
          </cell>
          <cell r="AG110">
            <v>0.11699397748101598</v>
          </cell>
          <cell r="AH110">
            <v>835000</v>
          </cell>
          <cell r="AI110">
            <v>38190000</v>
          </cell>
          <cell r="AJ110">
            <v>2.1864362398533649E-2</v>
          </cell>
          <cell r="AK110">
            <v>4626000</v>
          </cell>
          <cell r="AL110">
            <v>38190000</v>
          </cell>
          <cell r="AM110">
            <v>0.1211311861743912</v>
          </cell>
          <cell r="AN110">
            <v>38114000</v>
          </cell>
          <cell r="AO110">
            <v>39390</v>
          </cell>
          <cell r="AP110">
            <v>967.60599136836765</v>
          </cell>
          <cell r="AQ110">
            <v>17894000</v>
          </cell>
          <cell r="AR110">
            <v>39897000</v>
          </cell>
          <cell r="AS110">
            <v>0.44850490011780336</v>
          </cell>
          <cell r="AT110">
            <v>10004000</v>
          </cell>
          <cell r="AU110">
            <v>39897000</v>
          </cell>
          <cell r="AV110">
            <v>0.2507456701005088</v>
          </cell>
          <cell r="AW110">
            <v>248000</v>
          </cell>
          <cell r="AX110">
            <v>39897000</v>
          </cell>
          <cell r="AY110">
            <v>6.216006216006216E-3</v>
          </cell>
          <cell r="AZ110">
            <v>3762000</v>
          </cell>
          <cell r="BA110">
            <v>39897000</v>
          </cell>
          <cell r="BB110">
            <v>9.4292803970223327E-2</v>
          </cell>
          <cell r="BC110">
            <v>7989000</v>
          </cell>
          <cell r="BD110">
            <v>39897000</v>
          </cell>
          <cell r="BE110">
            <v>0.2002406195954583</v>
          </cell>
          <cell r="BF110">
            <v>39897000</v>
          </cell>
          <cell r="BG110">
            <v>39390</v>
          </cell>
          <cell r="BH110">
            <v>1012.8712871287129</v>
          </cell>
          <cell r="BI110">
            <v>16701000</v>
          </cell>
          <cell r="BJ110">
            <v>5410000</v>
          </cell>
          <cell r="BK110">
            <v>3.0870609981515713</v>
          </cell>
          <cell r="BL110">
            <v>583000</v>
          </cell>
          <cell r="BM110">
            <v>35800000</v>
          </cell>
          <cell r="BN110">
            <v>1.6284916201117317E-2</v>
          </cell>
          <cell r="BO110">
            <v>3689000</v>
          </cell>
          <cell r="BP110">
            <v>3762000</v>
          </cell>
          <cell r="BQ110">
            <v>0.98059542796384902</v>
          </cell>
          <cell r="BR110">
            <v>307.7</v>
          </cell>
          <cell r="BS110" t="str">
            <v>On Time</v>
          </cell>
          <cell r="BT110" t="str">
            <v>On Time</v>
          </cell>
          <cell r="BU110" t="str">
            <v>On Time</v>
          </cell>
          <cell r="BV110">
            <v>1944000</v>
          </cell>
          <cell r="BW110">
            <v>39390</v>
          </cell>
          <cell r="BX110">
            <v>49.35262757044935</v>
          </cell>
          <cell r="BY110">
            <v>375619</v>
          </cell>
          <cell r="BZ110">
            <v>39390</v>
          </cell>
          <cell r="CA110">
            <v>9.5358974358974358</v>
          </cell>
          <cell r="CB110">
            <v>3117000</v>
          </cell>
          <cell r="CC110">
            <v>16680</v>
          </cell>
          <cell r="CD110">
            <v>186.87050359712231</v>
          </cell>
          <cell r="CE110">
            <v>2197328</v>
          </cell>
          <cell r="CF110">
            <v>33350</v>
          </cell>
          <cell r="CG110">
            <v>65.886896551724135</v>
          </cell>
          <cell r="CH110">
            <v>7367910</v>
          </cell>
          <cell r="CI110">
            <v>39390</v>
          </cell>
          <cell r="CJ110">
            <v>187.05026656511805</v>
          </cell>
          <cell r="CK110">
            <v>6364660</v>
          </cell>
          <cell r="CL110">
            <v>39390</v>
          </cell>
          <cell r="CM110">
            <v>161.58060421426757</v>
          </cell>
          <cell r="CN110" t="str">
            <v>N/A</v>
          </cell>
          <cell r="CO110" t="str">
            <v>N/A</v>
          </cell>
          <cell r="CP110" t="str">
            <v>N/A</v>
          </cell>
          <cell r="CQ110" t="str">
            <v>N/A</v>
          </cell>
          <cell r="CR110">
            <v>593</v>
          </cell>
          <cell r="CS110">
            <v>61672</v>
          </cell>
          <cell r="CT110">
            <v>593</v>
          </cell>
          <cell r="CU110">
            <v>104</v>
          </cell>
          <cell r="CV110">
            <v>81</v>
          </cell>
          <cell r="CW110">
            <v>295000</v>
          </cell>
          <cell r="CX110">
            <v>2801000</v>
          </cell>
          <cell r="CY110">
            <v>0.10531952873973581</v>
          </cell>
          <cell r="CZ110">
            <v>1616000</v>
          </cell>
          <cell r="DA110">
            <v>39390</v>
          </cell>
          <cell r="DB110">
            <v>41.025641025641029</v>
          </cell>
          <cell r="DC110">
            <v>2601000</v>
          </cell>
          <cell r="DD110">
            <v>39390</v>
          </cell>
          <cell r="DE110">
            <v>66.03198781416603</v>
          </cell>
          <cell r="DF110">
            <v>2965000</v>
          </cell>
          <cell r="DG110">
            <v>39390</v>
          </cell>
          <cell r="DH110">
            <v>75.272911906575274</v>
          </cell>
          <cell r="DI110">
            <v>14.5</v>
          </cell>
          <cell r="DJ110">
            <v>2716.5517241379312</v>
          </cell>
          <cell r="DK110">
            <v>1.436734693877551E-2</v>
          </cell>
          <cell r="DL110">
            <v>0.24</v>
          </cell>
          <cell r="DM110">
            <v>10.52</v>
          </cell>
        </row>
        <row r="111">
          <cell r="B111" t="str">
            <v>Marrickville Council</v>
          </cell>
          <cell r="C111">
            <v>3</v>
          </cell>
          <cell r="D111">
            <v>14757000</v>
          </cell>
          <cell r="E111">
            <v>26630</v>
          </cell>
          <cell r="F111">
            <v>554.14945550131426</v>
          </cell>
          <cell r="G111">
            <v>0</v>
          </cell>
          <cell r="H111">
            <v>0</v>
          </cell>
          <cell r="I111" t="str">
            <v>N/A</v>
          </cell>
          <cell r="J111">
            <v>11927000</v>
          </cell>
          <cell r="K111">
            <v>3041</v>
          </cell>
          <cell r="L111">
            <v>3922.0651101611311</v>
          </cell>
          <cell r="M111">
            <v>4312000</v>
          </cell>
          <cell r="N111">
            <v>42571000</v>
          </cell>
          <cell r="O111">
            <v>0.10128961029809025</v>
          </cell>
          <cell r="P111">
            <v>1015000</v>
          </cell>
          <cell r="Q111">
            <v>32934000</v>
          </cell>
          <cell r="R111">
            <v>3.0819214185947654E-2</v>
          </cell>
          <cell r="S111">
            <v>1004000</v>
          </cell>
          <cell r="T111">
            <v>7618000</v>
          </cell>
          <cell r="U111">
            <v>0.13179312155421372</v>
          </cell>
          <cell r="V111">
            <v>33949000</v>
          </cell>
          <cell r="W111">
            <v>56789000</v>
          </cell>
          <cell r="X111">
            <v>0.59780943492577787</v>
          </cell>
          <cell r="Y111">
            <v>8622000</v>
          </cell>
          <cell r="Z111">
            <v>56789000</v>
          </cell>
          <cell r="AA111">
            <v>0.15182517741111834</v>
          </cell>
          <cell r="AB111">
            <v>1631000</v>
          </cell>
          <cell r="AC111">
            <v>56789000</v>
          </cell>
          <cell r="AD111">
            <v>2.872035077215658E-2</v>
          </cell>
          <cell r="AE111">
            <v>7175000</v>
          </cell>
          <cell r="AF111">
            <v>56789000</v>
          </cell>
          <cell r="AG111">
            <v>0.12634489073588195</v>
          </cell>
          <cell r="AH111">
            <v>3065000</v>
          </cell>
          <cell r="AI111">
            <v>56789000</v>
          </cell>
          <cell r="AJ111">
            <v>5.3971719875327971E-2</v>
          </cell>
          <cell r="AK111">
            <v>2347000</v>
          </cell>
          <cell r="AL111">
            <v>56789000</v>
          </cell>
          <cell r="AM111">
            <v>4.1328426279737276E-2</v>
          </cell>
          <cell r="AN111">
            <v>53408000</v>
          </cell>
          <cell r="AO111">
            <v>77375</v>
          </cell>
          <cell r="AP111">
            <v>690.24878836833602</v>
          </cell>
          <cell r="AQ111">
            <v>28184000</v>
          </cell>
          <cell r="AR111">
            <v>52749000</v>
          </cell>
          <cell r="AS111">
            <v>0.53430396784773171</v>
          </cell>
          <cell r="AT111">
            <v>10813000</v>
          </cell>
          <cell r="AU111">
            <v>52749000</v>
          </cell>
          <cell r="AV111">
            <v>0.20498966805057917</v>
          </cell>
          <cell r="AW111">
            <v>745000</v>
          </cell>
          <cell r="AX111">
            <v>52749000</v>
          </cell>
          <cell r="AY111">
            <v>1.4123490492710762E-2</v>
          </cell>
          <cell r="AZ111">
            <v>6495000</v>
          </cell>
          <cell r="BA111">
            <v>52749000</v>
          </cell>
          <cell r="BB111">
            <v>0.12313029630893477</v>
          </cell>
          <cell r="BC111">
            <v>6512000</v>
          </cell>
          <cell r="BD111">
            <v>52749000</v>
          </cell>
          <cell r="BE111">
            <v>0.12345257730004361</v>
          </cell>
          <cell r="BF111">
            <v>52749000</v>
          </cell>
          <cell r="BG111">
            <v>77375</v>
          </cell>
          <cell r="BH111">
            <v>681.73182552504034</v>
          </cell>
          <cell r="BI111">
            <v>17940000</v>
          </cell>
          <cell r="BJ111">
            <v>8137000</v>
          </cell>
          <cell r="BK111">
            <v>2.2047437630576381</v>
          </cell>
          <cell r="BL111">
            <v>2685000</v>
          </cell>
          <cell r="BM111">
            <v>51371000</v>
          </cell>
          <cell r="BN111">
            <v>5.2266843160538048E-2</v>
          </cell>
          <cell r="BO111">
            <v>8491000</v>
          </cell>
          <cell r="BP111">
            <v>6495000</v>
          </cell>
          <cell r="BQ111">
            <v>1.3073133179368746</v>
          </cell>
          <cell r="BR111">
            <v>460</v>
          </cell>
          <cell r="BS111" t="str">
            <v>&lt;=2</v>
          </cell>
          <cell r="BT111" t="str">
            <v>&lt;=2</v>
          </cell>
          <cell r="BU111" t="str">
            <v>On Time</v>
          </cell>
          <cell r="BV111">
            <v>2532000</v>
          </cell>
          <cell r="BW111">
            <v>77375</v>
          </cell>
          <cell r="BX111">
            <v>32.723747980613894</v>
          </cell>
          <cell r="BY111">
            <v>438840</v>
          </cell>
          <cell r="BZ111">
            <v>77375</v>
          </cell>
          <cell r="CA111">
            <v>5.671599353796446</v>
          </cell>
          <cell r="CB111">
            <v>8566000</v>
          </cell>
          <cell r="CC111">
            <v>26630</v>
          </cell>
          <cell r="CD111">
            <v>321.66729252722496</v>
          </cell>
          <cell r="CE111">
            <v>4168675</v>
          </cell>
          <cell r="CF111">
            <v>31846</v>
          </cell>
          <cell r="CG111">
            <v>130.90105507756076</v>
          </cell>
          <cell r="CH111">
            <v>8082000</v>
          </cell>
          <cell r="CI111">
            <v>77375</v>
          </cell>
          <cell r="CJ111">
            <v>104.45234248788368</v>
          </cell>
          <cell r="CK111">
            <v>17212000</v>
          </cell>
          <cell r="CL111">
            <v>77375</v>
          </cell>
          <cell r="CM111">
            <v>222.44911147011308</v>
          </cell>
          <cell r="CN111" t="str">
            <v>N/A</v>
          </cell>
          <cell r="CO111" t="str">
            <v>N/A</v>
          </cell>
          <cell r="CP111" t="str">
            <v>N/A</v>
          </cell>
          <cell r="CQ111" t="str">
            <v>N/A</v>
          </cell>
          <cell r="CR111">
            <v>848</v>
          </cell>
          <cell r="CS111">
            <v>59360</v>
          </cell>
          <cell r="CT111">
            <v>848</v>
          </cell>
          <cell r="CU111">
            <v>70</v>
          </cell>
          <cell r="CV111">
            <v>48</v>
          </cell>
          <cell r="CW111">
            <v>155000</v>
          </cell>
          <cell r="CX111">
            <v>1971000</v>
          </cell>
          <cell r="CY111">
            <v>7.864028411973617E-2</v>
          </cell>
          <cell r="CZ111">
            <v>796000</v>
          </cell>
          <cell r="DA111">
            <v>77375</v>
          </cell>
          <cell r="DB111">
            <v>10.287560581583199</v>
          </cell>
          <cell r="DC111">
            <v>3945000</v>
          </cell>
          <cell r="DD111">
            <v>77375</v>
          </cell>
          <cell r="DE111">
            <v>50.985460420032311</v>
          </cell>
          <cell r="DF111">
            <v>5839000</v>
          </cell>
          <cell r="DG111">
            <v>77375</v>
          </cell>
          <cell r="DH111">
            <v>75.46365105008077</v>
          </cell>
          <cell r="DI111">
            <v>16.5</v>
          </cell>
          <cell r="DJ111">
            <v>4689.393939393939</v>
          </cell>
          <cell r="DK111">
            <v>-1.3478818998716303E-3</v>
          </cell>
          <cell r="DL111">
            <v>1.44</v>
          </cell>
          <cell r="DM111">
            <v>36.51</v>
          </cell>
        </row>
        <row r="112">
          <cell r="B112" t="str">
            <v>Merriwa Shire Council</v>
          </cell>
          <cell r="C112">
            <v>9</v>
          </cell>
          <cell r="D112">
            <v>200000</v>
          </cell>
          <cell r="E112">
            <v>729</v>
          </cell>
          <cell r="F112">
            <v>274.34842249657066</v>
          </cell>
          <cell r="G112">
            <v>1229000</v>
          </cell>
          <cell r="H112">
            <v>625</v>
          </cell>
          <cell r="I112">
            <v>1966.4</v>
          </cell>
          <cell r="J112">
            <v>33000</v>
          </cell>
          <cell r="K112">
            <v>107</v>
          </cell>
          <cell r="L112">
            <v>308.41121495327104</v>
          </cell>
          <cell r="M112">
            <v>290000</v>
          </cell>
          <cell r="N112">
            <v>4203000</v>
          </cell>
          <cell r="O112">
            <v>6.8998334522959795E-2</v>
          </cell>
          <cell r="P112">
            <v>89000</v>
          </cell>
          <cell r="Q112">
            <v>1779000</v>
          </cell>
          <cell r="R112">
            <v>5.0028105677346821E-2</v>
          </cell>
          <cell r="S112">
            <v>-1399000</v>
          </cell>
          <cell r="T112">
            <v>3734000</v>
          </cell>
          <cell r="U112">
            <v>-0.37466523835029458</v>
          </cell>
          <cell r="V112">
            <v>1868000</v>
          </cell>
          <cell r="W112">
            <v>6942000</v>
          </cell>
          <cell r="X112">
            <v>0.26908671852492078</v>
          </cell>
          <cell r="Y112">
            <v>2335000</v>
          </cell>
          <cell r="Z112">
            <v>6942000</v>
          </cell>
          <cell r="AA112">
            <v>0.33635839815615098</v>
          </cell>
          <cell r="AB112">
            <v>110000</v>
          </cell>
          <cell r="AC112">
            <v>6942000</v>
          </cell>
          <cell r="AD112">
            <v>1.5845577643330451E-2</v>
          </cell>
          <cell r="AE112">
            <v>1670000</v>
          </cell>
          <cell r="AF112">
            <v>6942000</v>
          </cell>
          <cell r="AG112">
            <v>0.24056467876692597</v>
          </cell>
          <cell r="AH112">
            <v>866000</v>
          </cell>
          <cell r="AI112">
            <v>6942000</v>
          </cell>
          <cell r="AJ112">
            <v>0.1247479112647652</v>
          </cell>
          <cell r="AK112">
            <v>93000</v>
          </cell>
          <cell r="AL112">
            <v>6942000</v>
          </cell>
          <cell r="AM112">
            <v>1.3396715643906655E-2</v>
          </cell>
          <cell r="AN112">
            <v>6330000</v>
          </cell>
          <cell r="AO112">
            <v>2403</v>
          </cell>
          <cell r="AP112">
            <v>2634.2072409488142</v>
          </cell>
          <cell r="AQ112">
            <v>2715000</v>
          </cell>
          <cell r="AR112">
            <v>7713000</v>
          </cell>
          <cell r="AS112">
            <v>0.35200311162971604</v>
          </cell>
          <cell r="AT112">
            <v>2420000</v>
          </cell>
          <cell r="AU112">
            <v>7713000</v>
          </cell>
          <cell r="AV112">
            <v>0.31375599636976531</v>
          </cell>
          <cell r="AW112">
            <v>46000</v>
          </cell>
          <cell r="AX112">
            <v>7713000</v>
          </cell>
          <cell r="AY112">
            <v>5.9639569557889275E-3</v>
          </cell>
          <cell r="AZ112">
            <v>1811000</v>
          </cell>
          <cell r="BA112">
            <v>7713000</v>
          </cell>
          <cell r="BB112">
            <v>0.23479839232464669</v>
          </cell>
          <cell r="BC112">
            <v>721000</v>
          </cell>
          <cell r="BD112">
            <v>7713000</v>
          </cell>
          <cell r="BE112">
            <v>9.3478542720082977E-2</v>
          </cell>
          <cell r="BF112">
            <v>7191000</v>
          </cell>
          <cell r="BG112">
            <v>2403</v>
          </cell>
          <cell r="BH112">
            <v>2992.5093632958801</v>
          </cell>
          <cell r="BI112">
            <v>1640000</v>
          </cell>
          <cell r="BJ112">
            <v>1156000</v>
          </cell>
          <cell r="BK112">
            <v>1.4186851211072664</v>
          </cell>
          <cell r="BL112">
            <v>134000</v>
          </cell>
          <cell r="BM112">
            <v>5251000</v>
          </cell>
          <cell r="BN112">
            <v>2.5518948771662539E-2</v>
          </cell>
          <cell r="BO112">
            <v>647000</v>
          </cell>
          <cell r="BP112">
            <v>1612000</v>
          </cell>
          <cell r="BQ112">
            <v>0.40136476426799006</v>
          </cell>
          <cell r="BR112">
            <v>57</v>
          </cell>
          <cell r="BS112" t="str">
            <v>&lt;=8</v>
          </cell>
          <cell r="BT112" t="str">
            <v>&lt;=8</v>
          </cell>
          <cell r="BU112" t="str">
            <v>On Time</v>
          </cell>
          <cell r="BV112">
            <v>68000</v>
          </cell>
          <cell r="BW112">
            <v>2403</v>
          </cell>
          <cell r="BX112">
            <v>28.297960882230544</v>
          </cell>
          <cell r="BY112">
            <v>13498</v>
          </cell>
          <cell r="BZ112">
            <v>2403</v>
          </cell>
          <cell r="CA112">
            <v>5.6171452351227629</v>
          </cell>
          <cell r="CB112">
            <v>76000</v>
          </cell>
          <cell r="CC112">
            <v>608</v>
          </cell>
          <cell r="CD112">
            <v>125</v>
          </cell>
          <cell r="CE112">
            <v>54802</v>
          </cell>
          <cell r="CF112">
            <v>608</v>
          </cell>
          <cell r="CG112">
            <v>90.13486842105263</v>
          </cell>
          <cell r="CH112">
            <v>209000</v>
          </cell>
          <cell r="CI112">
            <v>2403</v>
          </cell>
          <cell r="CJ112">
            <v>86.9746150645027</v>
          </cell>
          <cell r="CK112">
            <v>413000</v>
          </cell>
          <cell r="CL112">
            <v>2403</v>
          </cell>
          <cell r="CM112">
            <v>171.86849771119435</v>
          </cell>
          <cell r="CN112">
            <v>433.68333793865702</v>
          </cell>
          <cell r="CO112">
            <v>563.82978723404301</v>
          </cell>
          <cell r="CP112">
            <v>263.44841429144901</v>
          </cell>
          <cell r="CQ112">
            <v>463.20921985815602</v>
          </cell>
          <cell r="CR112">
            <v>58</v>
          </cell>
          <cell r="CS112">
            <v>788</v>
          </cell>
          <cell r="CT112">
            <v>58</v>
          </cell>
          <cell r="CU112">
            <v>13.586206896551724</v>
          </cell>
          <cell r="CV112">
            <v>15</v>
          </cell>
          <cell r="CW112">
            <v>5000</v>
          </cell>
          <cell r="CX112">
            <v>87000</v>
          </cell>
          <cell r="CY112">
            <v>5.7471264367816091E-2</v>
          </cell>
          <cell r="CZ112">
            <v>98000</v>
          </cell>
          <cell r="DA112">
            <v>2403</v>
          </cell>
          <cell r="DB112">
            <v>40.782355389096963</v>
          </cell>
          <cell r="DC112">
            <v>239000</v>
          </cell>
          <cell r="DD112">
            <v>2403</v>
          </cell>
          <cell r="DE112">
            <v>99.459009571369123</v>
          </cell>
          <cell r="DF112">
            <v>457000</v>
          </cell>
          <cell r="DG112">
            <v>2403</v>
          </cell>
          <cell r="DH112">
            <v>190.17894298793175</v>
          </cell>
          <cell r="DI112">
            <v>3500.4</v>
          </cell>
          <cell r="DJ112">
            <v>0.68649297223174488</v>
          </cell>
          <cell r="DK112">
            <v>-6.2096774193548384E-3</v>
          </cell>
          <cell r="DL112">
            <v>1.47</v>
          </cell>
          <cell r="DM112">
            <v>2.0299999999999998</v>
          </cell>
        </row>
        <row r="113">
          <cell r="B113" t="str">
            <v>Moree Plains Shire Council</v>
          </cell>
          <cell r="C113">
            <v>11</v>
          </cell>
          <cell r="D113">
            <v>2422000</v>
          </cell>
          <cell r="E113">
            <v>4215</v>
          </cell>
          <cell r="F113">
            <v>574.61447212336896</v>
          </cell>
          <cell r="G113">
            <v>6416000</v>
          </cell>
          <cell r="H113">
            <v>1673</v>
          </cell>
          <cell r="I113">
            <v>3835.0268977884039</v>
          </cell>
          <cell r="J113">
            <v>901000</v>
          </cell>
          <cell r="K113">
            <v>581</v>
          </cell>
          <cell r="L113">
            <v>1550.7745266781412</v>
          </cell>
          <cell r="M113">
            <v>4121000</v>
          </cell>
          <cell r="N113">
            <v>19644000</v>
          </cell>
          <cell r="O113">
            <v>0.20978415801262473</v>
          </cell>
          <cell r="P113">
            <v>291000</v>
          </cell>
          <cell r="Q113">
            <v>13705000</v>
          </cell>
          <cell r="R113">
            <v>2.1233126596132797E-2</v>
          </cell>
          <cell r="S113">
            <v>559000</v>
          </cell>
          <cell r="T113">
            <v>5089000</v>
          </cell>
          <cell r="U113">
            <v>0.10984476321477697</v>
          </cell>
          <cell r="V113">
            <v>13996000</v>
          </cell>
          <cell r="W113">
            <v>39305000</v>
          </cell>
          <cell r="X113">
            <v>0.35608701183055591</v>
          </cell>
          <cell r="Y113">
            <v>5648000</v>
          </cell>
          <cell r="Z113">
            <v>39305000</v>
          </cell>
          <cell r="AA113">
            <v>0.14369673069584021</v>
          </cell>
          <cell r="AB113">
            <v>442000</v>
          </cell>
          <cell r="AC113">
            <v>39305000</v>
          </cell>
          <cell r="AD113">
            <v>1.1245388627401093E-2</v>
          </cell>
          <cell r="AE113">
            <v>17212000</v>
          </cell>
          <cell r="AF113">
            <v>39305000</v>
          </cell>
          <cell r="AG113">
            <v>0.437908663019972</v>
          </cell>
          <cell r="AH113">
            <v>1472000</v>
          </cell>
          <cell r="AI113">
            <v>39305000</v>
          </cell>
          <cell r="AJ113">
            <v>3.7450706017046177E-2</v>
          </cell>
          <cell r="AK113">
            <v>535000</v>
          </cell>
          <cell r="AL113">
            <v>39305000</v>
          </cell>
          <cell r="AM113">
            <v>1.3611499809184581E-2</v>
          </cell>
          <cell r="AN113">
            <v>35162000</v>
          </cell>
          <cell r="AO113">
            <v>16275</v>
          </cell>
          <cell r="AP113">
            <v>2160.4915514592935</v>
          </cell>
          <cell r="AQ113">
            <v>8254000</v>
          </cell>
          <cell r="AR113">
            <v>36055000</v>
          </cell>
          <cell r="AS113">
            <v>0.22892802662598807</v>
          </cell>
          <cell r="AT113">
            <v>18878000</v>
          </cell>
          <cell r="AU113">
            <v>36055000</v>
          </cell>
          <cell r="AV113">
            <v>0.52358896130911103</v>
          </cell>
          <cell r="AW113">
            <v>717000</v>
          </cell>
          <cell r="AX113">
            <v>36055000</v>
          </cell>
          <cell r="AY113">
            <v>1.9886284842601579E-2</v>
          </cell>
          <cell r="AZ113">
            <v>5956000</v>
          </cell>
          <cell r="BA113">
            <v>36055000</v>
          </cell>
          <cell r="BB113">
            <v>0.16519206767438635</v>
          </cell>
          <cell r="BC113">
            <v>2250000</v>
          </cell>
          <cell r="BD113">
            <v>36055000</v>
          </cell>
          <cell r="BE113">
            <v>6.2404659547912911E-2</v>
          </cell>
          <cell r="BF113">
            <v>31690000</v>
          </cell>
          <cell r="BG113">
            <v>16275</v>
          </cell>
          <cell r="BH113">
            <v>1947.15821812596</v>
          </cell>
          <cell r="BI113">
            <v>8082000</v>
          </cell>
          <cell r="BJ113">
            <v>5421000</v>
          </cell>
          <cell r="BK113">
            <v>1.4908688433868289</v>
          </cell>
          <cell r="BL113">
            <v>1545000</v>
          </cell>
          <cell r="BM113">
            <v>24421000</v>
          </cell>
          <cell r="BN113">
            <v>6.3265222554358957E-2</v>
          </cell>
          <cell r="BO113">
            <v>5003000</v>
          </cell>
          <cell r="BP113">
            <v>5266000</v>
          </cell>
          <cell r="BQ113">
            <v>0.9500569692366122</v>
          </cell>
          <cell r="BR113">
            <v>196</v>
          </cell>
          <cell r="BS113" t="str">
            <v>Not Received</v>
          </cell>
          <cell r="BT113" t="str">
            <v>&lt;=8</v>
          </cell>
          <cell r="BU113" t="str">
            <v>On Time</v>
          </cell>
          <cell r="BV113">
            <v>450000</v>
          </cell>
          <cell r="BW113">
            <v>16275</v>
          </cell>
          <cell r="BX113">
            <v>27.649769585253456</v>
          </cell>
          <cell r="BY113">
            <v>53265</v>
          </cell>
          <cell r="BZ113">
            <v>16275</v>
          </cell>
          <cell r="CA113">
            <v>3.2728110599078342</v>
          </cell>
          <cell r="CB113">
            <v>788000</v>
          </cell>
          <cell r="CC113">
            <v>4202</v>
          </cell>
          <cell r="CD113">
            <v>187.52974773917182</v>
          </cell>
          <cell r="CE113">
            <v>379081</v>
          </cell>
          <cell r="CF113">
            <v>4202</v>
          </cell>
          <cell r="CG113">
            <v>90.214421703950507</v>
          </cell>
          <cell r="CH113">
            <v>1031000</v>
          </cell>
          <cell r="CI113">
            <v>16275</v>
          </cell>
          <cell r="CJ113">
            <v>63.348694316436251</v>
          </cell>
          <cell r="CK113">
            <v>6000000</v>
          </cell>
          <cell r="CL113">
            <v>16275</v>
          </cell>
          <cell r="CM113">
            <v>368.66359447004606</v>
          </cell>
          <cell r="CN113">
            <v>438.13806951522901</v>
          </cell>
          <cell r="CO113">
            <v>309.47584626930501</v>
          </cell>
          <cell r="CP113">
            <v>446.730173165797</v>
          </cell>
          <cell r="CQ113">
            <v>488.85159434188398</v>
          </cell>
          <cell r="CR113">
            <v>284</v>
          </cell>
          <cell r="CS113">
            <v>9802</v>
          </cell>
          <cell r="CT113">
            <v>284</v>
          </cell>
          <cell r="CU113">
            <v>34.514084507042256</v>
          </cell>
          <cell r="CV113">
            <v>23</v>
          </cell>
          <cell r="CW113">
            <v>11000</v>
          </cell>
          <cell r="CX113">
            <v>769000</v>
          </cell>
          <cell r="CY113">
            <v>1.4304291287386216E-2</v>
          </cell>
          <cell r="CZ113">
            <v>371000</v>
          </cell>
          <cell r="DA113">
            <v>16275</v>
          </cell>
          <cell r="DB113">
            <v>22.795698924731184</v>
          </cell>
          <cell r="DC113">
            <v>1327000</v>
          </cell>
          <cell r="DD113">
            <v>16275</v>
          </cell>
          <cell r="DE113">
            <v>81.536098310291862</v>
          </cell>
          <cell r="DF113">
            <v>926000</v>
          </cell>
          <cell r="DG113">
            <v>16275</v>
          </cell>
          <cell r="DH113">
            <v>56.897081413210444</v>
          </cell>
          <cell r="DI113">
            <v>17927.8</v>
          </cell>
          <cell r="DJ113">
            <v>0.9078079853635137</v>
          </cell>
          <cell r="DK113">
            <v>-1.4032946918852958E-3</v>
          </cell>
          <cell r="DL113">
            <v>17.41</v>
          </cell>
          <cell r="DM113">
            <v>1.96</v>
          </cell>
        </row>
        <row r="114">
          <cell r="B114" t="str">
            <v>Mosman Municipal Council</v>
          </cell>
          <cell r="C114">
            <v>2</v>
          </cell>
          <cell r="D114">
            <v>9370000</v>
          </cell>
          <cell r="E114">
            <v>11986</v>
          </cell>
          <cell r="F114">
            <v>781.74536959786417</v>
          </cell>
          <cell r="G114">
            <v>0</v>
          </cell>
          <cell r="H114">
            <v>0</v>
          </cell>
          <cell r="I114" t="str">
            <v>N/A</v>
          </cell>
          <cell r="J114">
            <v>1065000</v>
          </cell>
          <cell r="K114">
            <v>542</v>
          </cell>
          <cell r="L114">
            <v>1964.9446494464944</v>
          </cell>
          <cell r="M114">
            <v>1438000</v>
          </cell>
          <cell r="N114">
            <v>18709000</v>
          </cell>
          <cell r="O114">
            <v>7.6861403602544232E-2</v>
          </cell>
          <cell r="P114">
            <v>568000</v>
          </cell>
          <cell r="Q114">
            <v>12941000</v>
          </cell>
          <cell r="R114">
            <v>4.3891507611467429E-2</v>
          </cell>
          <cell r="S114">
            <v>553000</v>
          </cell>
          <cell r="T114">
            <v>4647000</v>
          </cell>
          <cell r="U114">
            <v>0.11900150634818163</v>
          </cell>
          <cell r="V114">
            <v>13509000</v>
          </cell>
          <cell r="W114">
            <v>22533000</v>
          </cell>
          <cell r="X114">
            <v>0.59952070296897886</v>
          </cell>
          <cell r="Y114">
            <v>5200000</v>
          </cell>
          <cell r="Z114">
            <v>22533000</v>
          </cell>
          <cell r="AA114">
            <v>0.230772644565748</v>
          </cell>
          <cell r="AB114">
            <v>263000</v>
          </cell>
          <cell r="AC114">
            <v>22533000</v>
          </cell>
          <cell r="AD114">
            <v>1.1671770292459948E-2</v>
          </cell>
          <cell r="AE114">
            <v>1779000</v>
          </cell>
          <cell r="AF114">
            <v>22533000</v>
          </cell>
          <cell r="AG114">
            <v>7.8950872054320331E-2</v>
          </cell>
          <cell r="AH114">
            <v>517000</v>
          </cell>
          <cell r="AI114">
            <v>22533000</v>
          </cell>
          <cell r="AJ114">
            <v>2.2944126392402255E-2</v>
          </cell>
          <cell r="AK114">
            <v>1265000</v>
          </cell>
          <cell r="AL114">
            <v>22533000</v>
          </cell>
          <cell r="AM114">
            <v>5.613988372609062E-2</v>
          </cell>
          <cell r="AN114">
            <v>21809000</v>
          </cell>
          <cell r="AO114">
            <v>28027</v>
          </cell>
          <cell r="AP114">
            <v>778.1425054411817</v>
          </cell>
          <cell r="AQ114">
            <v>8398000</v>
          </cell>
          <cell r="AR114">
            <v>22627000</v>
          </cell>
          <cell r="AS114">
            <v>0.3711495116453794</v>
          </cell>
          <cell r="AT114">
            <v>6967000</v>
          </cell>
          <cell r="AU114">
            <v>22627000</v>
          </cell>
          <cell r="AV114">
            <v>0.30790648340478188</v>
          </cell>
          <cell r="AW114">
            <v>184000</v>
          </cell>
          <cell r="AX114">
            <v>22627000</v>
          </cell>
          <cell r="AY114">
            <v>8.131877845052371E-3</v>
          </cell>
          <cell r="AZ114">
            <v>2891000</v>
          </cell>
          <cell r="BA114">
            <v>22627000</v>
          </cell>
          <cell r="BB114">
            <v>0.12776771114155655</v>
          </cell>
          <cell r="BC114">
            <v>4187000</v>
          </cell>
          <cell r="BD114">
            <v>22627000</v>
          </cell>
          <cell r="BE114">
            <v>0.18504441596322976</v>
          </cell>
          <cell r="BF114">
            <v>22627000</v>
          </cell>
          <cell r="BG114">
            <v>28027</v>
          </cell>
          <cell r="BH114">
            <v>807.32864737574482</v>
          </cell>
          <cell r="BI114">
            <v>5768000</v>
          </cell>
          <cell r="BJ114">
            <v>3195000</v>
          </cell>
          <cell r="BK114">
            <v>1.805320813771518</v>
          </cell>
          <cell r="BL114">
            <v>663000</v>
          </cell>
          <cell r="BM114">
            <v>21073000</v>
          </cell>
          <cell r="BN114">
            <v>3.1462060456508331E-2</v>
          </cell>
          <cell r="BO114">
            <v>2502000</v>
          </cell>
          <cell r="BP114">
            <v>2891000</v>
          </cell>
          <cell r="BQ114">
            <v>0.86544448287789688</v>
          </cell>
          <cell r="BR114">
            <v>157</v>
          </cell>
          <cell r="BS114" t="str">
            <v>On Time</v>
          </cell>
          <cell r="BT114" t="str">
            <v>On Time</v>
          </cell>
          <cell r="BU114" t="str">
            <v>On Time</v>
          </cell>
          <cell r="BV114">
            <v>1389000</v>
          </cell>
          <cell r="BW114">
            <v>28027</v>
          </cell>
          <cell r="BX114">
            <v>49.559353480572305</v>
          </cell>
          <cell r="BY114">
            <v>319004</v>
          </cell>
          <cell r="BZ114">
            <v>28027</v>
          </cell>
          <cell r="CA114">
            <v>11.38202447639776</v>
          </cell>
          <cell r="CB114">
            <v>3095000</v>
          </cell>
          <cell r="CC114">
            <v>12686</v>
          </cell>
          <cell r="CD114">
            <v>243.96973041147723</v>
          </cell>
          <cell r="CE114">
            <v>2308742</v>
          </cell>
          <cell r="CF114">
            <v>12284</v>
          </cell>
          <cell r="CG114">
            <v>187.94708563985674</v>
          </cell>
          <cell r="CH114">
            <v>4246320</v>
          </cell>
          <cell r="CI114">
            <v>28027</v>
          </cell>
          <cell r="CJ114">
            <v>151.50818853248654</v>
          </cell>
          <cell r="CK114">
            <v>6056600</v>
          </cell>
          <cell r="CL114">
            <v>28027</v>
          </cell>
          <cell r="CM114">
            <v>216.09876190815999</v>
          </cell>
          <cell r="CN114" t="str">
            <v>N/A</v>
          </cell>
          <cell r="CO114" t="str">
            <v>N/A</v>
          </cell>
          <cell r="CP114" t="str">
            <v>N/A</v>
          </cell>
          <cell r="CQ114" t="str">
            <v>N/A</v>
          </cell>
          <cell r="CR114">
            <v>378</v>
          </cell>
          <cell r="CS114">
            <v>33733</v>
          </cell>
          <cell r="CT114">
            <v>378</v>
          </cell>
          <cell r="CU114">
            <v>89.240740740740748</v>
          </cell>
          <cell r="CV114">
            <v>75</v>
          </cell>
          <cell r="CW114">
            <v>159000</v>
          </cell>
          <cell r="CX114">
            <v>1414000</v>
          </cell>
          <cell r="CY114">
            <v>0.11244695898161244</v>
          </cell>
          <cell r="CZ114">
            <v>833000</v>
          </cell>
          <cell r="DA114">
            <v>28027</v>
          </cell>
          <cell r="DB114">
            <v>29.72134013629714</v>
          </cell>
          <cell r="DC114">
            <v>693000</v>
          </cell>
          <cell r="DD114">
            <v>28027</v>
          </cell>
          <cell r="DE114">
            <v>24.72615692011275</v>
          </cell>
          <cell r="DF114">
            <v>1674000</v>
          </cell>
          <cell r="DG114">
            <v>28027</v>
          </cell>
          <cell r="DH114">
            <v>59.728119313519109</v>
          </cell>
          <cell r="DI114">
            <v>8.6999999999999993</v>
          </cell>
          <cell r="DJ114">
            <v>3221.4942528735633</v>
          </cell>
          <cell r="DK114">
            <v>4.576642335766423E-3</v>
          </cell>
          <cell r="DL114">
            <v>7.0000000000000007E-2</v>
          </cell>
          <cell r="DM114">
            <v>11.49</v>
          </cell>
        </row>
        <row r="115">
          <cell r="B115" t="str">
            <v>Mudgee Shire Council</v>
          </cell>
          <cell r="C115">
            <v>11</v>
          </cell>
          <cell r="D115">
            <v>3329000</v>
          </cell>
          <cell r="E115">
            <v>6903</v>
          </cell>
          <cell r="F115">
            <v>482.25409242358393</v>
          </cell>
          <cell r="G115">
            <v>2441000</v>
          </cell>
          <cell r="H115">
            <v>1574</v>
          </cell>
          <cell r="I115">
            <v>1550.825921219822</v>
          </cell>
          <cell r="J115">
            <v>575000</v>
          </cell>
          <cell r="K115">
            <v>435</v>
          </cell>
          <cell r="L115">
            <v>1321.83908045977</v>
          </cell>
          <cell r="M115">
            <v>1226000</v>
          </cell>
          <cell r="N115">
            <v>14723000</v>
          </cell>
          <cell r="O115">
            <v>8.3271072471643004E-2</v>
          </cell>
          <cell r="P115">
            <v>454000</v>
          </cell>
          <cell r="Q115">
            <v>9932000</v>
          </cell>
          <cell r="R115">
            <v>4.5710833668948854E-2</v>
          </cell>
          <cell r="S115">
            <v>-1493000</v>
          </cell>
          <cell r="T115">
            <v>5830000</v>
          </cell>
          <cell r="U115">
            <v>-0.25608919382504286</v>
          </cell>
          <cell r="V115">
            <v>10386000</v>
          </cell>
          <cell r="W115">
            <v>23780000</v>
          </cell>
          <cell r="X115">
            <v>0.43675357443229607</v>
          </cell>
          <cell r="Y115">
            <v>4337000</v>
          </cell>
          <cell r="Z115">
            <v>23780000</v>
          </cell>
          <cell r="AA115">
            <v>0.18238015138772076</v>
          </cell>
          <cell r="AB115">
            <v>577000</v>
          </cell>
          <cell r="AC115">
            <v>23780000</v>
          </cell>
          <cell r="AD115">
            <v>2.4264087468460892E-2</v>
          </cell>
          <cell r="AE115">
            <v>5902000</v>
          </cell>
          <cell r="AF115">
            <v>23780000</v>
          </cell>
          <cell r="AG115">
            <v>0.24819175777964675</v>
          </cell>
          <cell r="AH115">
            <v>1842000</v>
          </cell>
          <cell r="AI115">
            <v>23780000</v>
          </cell>
          <cell r="AJ115">
            <v>7.7460050462573593E-2</v>
          </cell>
          <cell r="AK115">
            <v>736000</v>
          </cell>
          <cell r="AL115">
            <v>23780000</v>
          </cell>
          <cell r="AM115">
            <v>3.0950378469301935E-2</v>
          </cell>
          <cell r="AN115">
            <v>21543000</v>
          </cell>
          <cell r="AO115">
            <v>18346</v>
          </cell>
          <cell r="AP115">
            <v>1174.2614193829718</v>
          </cell>
          <cell r="AQ115">
            <v>8851000</v>
          </cell>
          <cell r="AR115">
            <v>22791000</v>
          </cell>
          <cell r="AS115">
            <v>0.38835505243297791</v>
          </cell>
          <cell r="AT115">
            <v>5903000</v>
          </cell>
          <cell r="AU115">
            <v>22791000</v>
          </cell>
          <cell r="AV115">
            <v>0.25900574788293623</v>
          </cell>
          <cell r="AW115">
            <v>347000</v>
          </cell>
          <cell r="AX115">
            <v>22791000</v>
          </cell>
          <cell r="AY115">
            <v>1.5225308235707077E-2</v>
          </cell>
          <cell r="AZ115">
            <v>5012000</v>
          </cell>
          <cell r="BA115">
            <v>22791000</v>
          </cell>
          <cell r="BB115">
            <v>0.21991136852266246</v>
          </cell>
          <cell r="BC115">
            <v>2678000</v>
          </cell>
          <cell r="BD115">
            <v>22791000</v>
          </cell>
          <cell r="BE115">
            <v>0.11750252292571629</v>
          </cell>
          <cell r="BF115">
            <v>18958000</v>
          </cell>
          <cell r="BG115">
            <v>18346</v>
          </cell>
          <cell r="BH115">
            <v>1033.3587703041535</v>
          </cell>
          <cell r="BI115">
            <v>4532000</v>
          </cell>
          <cell r="BJ115">
            <v>2422000</v>
          </cell>
          <cell r="BK115">
            <v>1.8711808422791081</v>
          </cell>
          <cell r="BL115">
            <v>903000</v>
          </cell>
          <cell r="BM115">
            <v>19321000</v>
          </cell>
          <cell r="BN115">
            <v>4.6736711350344184E-2</v>
          </cell>
          <cell r="BO115">
            <v>4797000</v>
          </cell>
          <cell r="BP115">
            <v>4014000</v>
          </cell>
          <cell r="BQ115">
            <v>1.195067264573991</v>
          </cell>
          <cell r="BR115">
            <v>188</v>
          </cell>
          <cell r="BS115" t="str">
            <v>On Time</v>
          </cell>
          <cell r="BT115" t="str">
            <v>On Time</v>
          </cell>
          <cell r="BU115" t="str">
            <v>On Time</v>
          </cell>
          <cell r="BV115">
            <v>531000</v>
          </cell>
          <cell r="BW115">
            <v>18346</v>
          </cell>
          <cell r="BX115">
            <v>28.943638940368473</v>
          </cell>
          <cell r="BY115">
            <v>192588</v>
          </cell>
          <cell r="BZ115">
            <v>18346</v>
          </cell>
          <cell r="CA115">
            <v>10.497547149242342</v>
          </cell>
          <cell r="CB115">
            <v>419000</v>
          </cell>
          <cell r="CC115">
            <v>4283</v>
          </cell>
          <cell r="CD115">
            <v>97.828624795703945</v>
          </cell>
          <cell r="CE115">
            <v>244271</v>
          </cell>
          <cell r="CF115">
            <v>4459</v>
          </cell>
          <cell r="CG115">
            <v>54.78156537340211</v>
          </cell>
          <cell r="CH115">
            <v>2371400</v>
          </cell>
          <cell r="CI115">
            <v>18346</v>
          </cell>
          <cell r="CJ115">
            <v>129.25978414913334</v>
          </cell>
          <cell r="CK115">
            <v>7308850</v>
          </cell>
          <cell r="CL115">
            <v>18346</v>
          </cell>
          <cell r="CM115">
            <v>398.38929466913771</v>
          </cell>
          <cell r="CN115">
            <v>426.57504819088501</v>
          </cell>
          <cell r="CO115">
            <v>389</v>
          </cell>
          <cell r="CP115">
            <v>332.30994614695499</v>
          </cell>
          <cell r="CQ115">
            <v>341.17647058823502</v>
          </cell>
          <cell r="CR115">
            <v>463</v>
          </cell>
          <cell r="CS115">
            <v>8982</v>
          </cell>
          <cell r="CT115">
            <v>463</v>
          </cell>
          <cell r="CU115">
            <v>19.399568034557234</v>
          </cell>
          <cell r="CV115">
            <v>25</v>
          </cell>
          <cell r="CW115">
            <v>4000</v>
          </cell>
          <cell r="CX115">
            <v>1022000</v>
          </cell>
          <cell r="CY115">
            <v>3.9138943248532287E-3</v>
          </cell>
          <cell r="CZ115">
            <v>564000</v>
          </cell>
          <cell r="DA115">
            <v>18346</v>
          </cell>
          <cell r="DB115">
            <v>30.742396162651261</v>
          </cell>
          <cell r="DC115">
            <v>1028000</v>
          </cell>
          <cell r="DD115">
            <v>18346</v>
          </cell>
          <cell r="DE115">
            <v>56.034012863839529</v>
          </cell>
          <cell r="DF115">
            <v>1850000</v>
          </cell>
          <cell r="DG115">
            <v>18346</v>
          </cell>
          <cell r="DH115">
            <v>100.8394200370653</v>
          </cell>
          <cell r="DI115">
            <v>5540.3</v>
          </cell>
          <cell r="DJ115">
            <v>3.3113730303413171</v>
          </cell>
          <cell r="DK115">
            <v>2.830292979546711E-3</v>
          </cell>
          <cell r="DL115">
            <v>1.73</v>
          </cell>
          <cell r="DM115">
            <v>2.99</v>
          </cell>
        </row>
        <row r="116">
          <cell r="B116" t="str">
            <v>Mulwaree Shire Council</v>
          </cell>
          <cell r="C116">
            <v>10</v>
          </cell>
          <cell r="D116">
            <v>340000</v>
          </cell>
          <cell r="E116">
            <v>1056</v>
          </cell>
          <cell r="F116">
            <v>321.969696969697</v>
          </cell>
          <cell r="G116">
            <v>2388000</v>
          </cell>
          <cell r="H116">
            <v>3982</v>
          </cell>
          <cell r="I116">
            <v>599.69864389753889</v>
          </cell>
          <cell r="J116">
            <v>73000</v>
          </cell>
          <cell r="K116">
            <v>122</v>
          </cell>
          <cell r="L116">
            <v>598.36065573770497</v>
          </cell>
          <cell r="M116">
            <v>486000</v>
          </cell>
          <cell r="N116">
            <v>6679000</v>
          </cell>
          <cell r="O116">
            <v>7.276538403952687E-2</v>
          </cell>
          <cell r="P116">
            <v>130000</v>
          </cell>
          <cell r="Q116">
            <v>3131000</v>
          </cell>
          <cell r="R116">
            <v>4.1520281060364102E-2</v>
          </cell>
          <cell r="S116">
            <v>866000</v>
          </cell>
          <cell r="T116">
            <v>2552000</v>
          </cell>
          <cell r="U116">
            <v>0.33934169278996867</v>
          </cell>
          <cell r="V116">
            <v>3261000</v>
          </cell>
          <cell r="W116">
            <v>11312000</v>
          </cell>
          <cell r="X116">
            <v>0.28827793493635079</v>
          </cell>
          <cell r="Y116">
            <v>3418000</v>
          </cell>
          <cell r="Z116">
            <v>11312000</v>
          </cell>
          <cell r="AA116">
            <v>0.30215700141442714</v>
          </cell>
          <cell r="AB116">
            <v>328000</v>
          </cell>
          <cell r="AC116">
            <v>11312000</v>
          </cell>
          <cell r="AD116">
            <v>2.8995756718528994E-2</v>
          </cell>
          <cell r="AE116">
            <v>2592000</v>
          </cell>
          <cell r="AF116">
            <v>11312000</v>
          </cell>
          <cell r="AG116">
            <v>0.22913719943422914</v>
          </cell>
          <cell r="AH116">
            <v>1437000</v>
          </cell>
          <cell r="AI116">
            <v>11312000</v>
          </cell>
          <cell r="AJ116">
            <v>0.12703323903818953</v>
          </cell>
          <cell r="AK116">
            <v>276000</v>
          </cell>
          <cell r="AL116">
            <v>11312000</v>
          </cell>
          <cell r="AM116">
            <v>2.4398868458274398E-2</v>
          </cell>
          <cell r="AN116">
            <v>9543000</v>
          </cell>
          <cell r="AO116">
            <v>7007</v>
          </cell>
          <cell r="AP116">
            <v>1361.923790495219</v>
          </cell>
          <cell r="AQ116">
            <v>2674000</v>
          </cell>
          <cell r="AR116">
            <v>9143000</v>
          </cell>
          <cell r="AS116">
            <v>0.29246418024718362</v>
          </cell>
          <cell r="AT116">
            <v>1386000</v>
          </cell>
          <cell r="AU116">
            <v>9143000</v>
          </cell>
          <cell r="AV116">
            <v>0.15159138138466585</v>
          </cell>
          <cell r="AW116">
            <v>150000</v>
          </cell>
          <cell r="AX116">
            <v>9143000</v>
          </cell>
          <cell r="AY116">
            <v>1.6405993656349118E-2</v>
          </cell>
          <cell r="AZ116">
            <v>3344000</v>
          </cell>
          <cell r="BA116">
            <v>9143000</v>
          </cell>
          <cell r="BB116">
            <v>0.36574428524554303</v>
          </cell>
          <cell r="BC116">
            <v>1589000</v>
          </cell>
          <cell r="BD116">
            <v>9143000</v>
          </cell>
          <cell r="BE116">
            <v>0.17379415946625834</v>
          </cell>
          <cell r="BF116">
            <v>8595000</v>
          </cell>
          <cell r="BG116">
            <v>7007</v>
          </cell>
          <cell r="BH116">
            <v>1226.630512344798</v>
          </cell>
          <cell r="BI116">
            <v>6706000</v>
          </cell>
          <cell r="BJ116">
            <v>1667000</v>
          </cell>
          <cell r="BK116">
            <v>4.0227954409118176</v>
          </cell>
          <cell r="BL116">
            <v>290000</v>
          </cell>
          <cell r="BM116">
            <v>9157000</v>
          </cell>
          <cell r="BN116">
            <v>3.1669760838702633E-2</v>
          </cell>
          <cell r="BO116">
            <v>2988000</v>
          </cell>
          <cell r="BP116">
            <v>3183000</v>
          </cell>
          <cell r="BQ116">
            <v>0.93873704052780393</v>
          </cell>
          <cell r="BR116">
            <v>68</v>
          </cell>
          <cell r="BS116" t="str">
            <v>On Time</v>
          </cell>
          <cell r="BT116" t="str">
            <v>On Time</v>
          </cell>
          <cell r="BU116" t="str">
            <v>On Time</v>
          </cell>
          <cell r="BV116">
            <v>79000</v>
          </cell>
          <cell r="BW116">
            <v>7007</v>
          </cell>
          <cell r="BX116">
            <v>11.274439845868418</v>
          </cell>
          <cell r="BY116">
            <v>34717</v>
          </cell>
          <cell r="BZ116">
            <v>7007</v>
          </cell>
          <cell r="CA116">
            <v>4.9546168117596689</v>
          </cell>
          <cell r="CB116">
            <v>53000</v>
          </cell>
          <cell r="CC116">
            <v>453</v>
          </cell>
          <cell r="CD116">
            <v>116.99779249448123</v>
          </cell>
          <cell r="CE116">
            <v>32603</v>
          </cell>
          <cell r="CF116">
            <v>453</v>
          </cell>
          <cell r="CG116">
            <v>71.971302428256067</v>
          </cell>
          <cell r="CH116">
            <v>137000</v>
          </cell>
          <cell r="CI116">
            <v>7007</v>
          </cell>
          <cell r="CJ116">
            <v>19.551876694733838</v>
          </cell>
          <cell r="CK116">
            <v>283000</v>
          </cell>
          <cell r="CL116">
            <v>7007</v>
          </cell>
          <cell r="CM116">
            <v>40.388183245326104</v>
          </cell>
          <cell r="CN116">
            <v>590</v>
          </cell>
          <cell r="CO116">
            <v>661</v>
          </cell>
          <cell r="CP116">
            <v>388.35848934457601</v>
          </cell>
          <cell r="CQ116">
            <v>308.77192982456103</v>
          </cell>
          <cell r="CR116">
            <v>255</v>
          </cell>
          <cell r="CS116">
            <v>3388</v>
          </cell>
          <cell r="CT116">
            <v>255</v>
          </cell>
          <cell r="CU116">
            <v>13.286274509803922</v>
          </cell>
          <cell r="CV116">
            <v>12</v>
          </cell>
          <cell r="CW116">
            <v>29000</v>
          </cell>
          <cell r="CX116">
            <v>269000</v>
          </cell>
          <cell r="CY116">
            <v>0.10780669144981413</v>
          </cell>
          <cell r="CZ116">
            <v>199000</v>
          </cell>
          <cell r="DA116">
            <v>7007</v>
          </cell>
          <cell r="DB116">
            <v>28.400171257314113</v>
          </cell>
          <cell r="DC116">
            <v>52000</v>
          </cell>
          <cell r="DD116">
            <v>7007</v>
          </cell>
          <cell r="DE116">
            <v>7.4211502782931351</v>
          </cell>
          <cell r="DF116">
            <v>6000</v>
          </cell>
          <cell r="DG116">
            <v>7007</v>
          </cell>
          <cell r="DH116">
            <v>0.85628657057228486</v>
          </cell>
          <cell r="DI116">
            <v>5207.3999999999996</v>
          </cell>
          <cell r="DJ116">
            <v>1.3455851288550909</v>
          </cell>
          <cell r="DK116">
            <v>3.8739352640545142E-2</v>
          </cell>
          <cell r="DL116">
            <v>0.68</v>
          </cell>
          <cell r="DM116">
            <v>4.1100000000000003</v>
          </cell>
        </row>
        <row r="117">
          <cell r="B117" t="str">
            <v>Murray Shire Council</v>
          </cell>
          <cell r="C117">
            <v>10</v>
          </cell>
          <cell r="D117">
            <v>685000</v>
          </cell>
          <cell r="E117">
            <v>2087</v>
          </cell>
          <cell r="F117">
            <v>328.22232870148537</v>
          </cell>
          <cell r="G117">
            <v>1576000</v>
          </cell>
          <cell r="H117">
            <v>1013</v>
          </cell>
          <cell r="I117">
            <v>1555.7749259624877</v>
          </cell>
          <cell r="J117">
            <v>189000</v>
          </cell>
          <cell r="K117">
            <v>337</v>
          </cell>
          <cell r="L117">
            <v>560.83086053412467</v>
          </cell>
          <cell r="M117">
            <v>786000</v>
          </cell>
          <cell r="N117">
            <v>5525000</v>
          </cell>
          <cell r="O117">
            <v>0.14226244343891403</v>
          </cell>
          <cell r="P117">
            <v>183000</v>
          </cell>
          <cell r="Q117">
            <v>4163000</v>
          </cell>
          <cell r="R117">
            <v>4.3958683641604615E-2</v>
          </cell>
          <cell r="S117">
            <v>-63000</v>
          </cell>
          <cell r="T117">
            <v>1242000</v>
          </cell>
          <cell r="U117">
            <v>-5.0724637681159424E-2</v>
          </cell>
          <cell r="V117">
            <v>4346000</v>
          </cell>
          <cell r="W117">
            <v>11244000</v>
          </cell>
          <cell r="X117">
            <v>0.38651725364638917</v>
          </cell>
          <cell r="Y117">
            <v>1179000</v>
          </cell>
          <cell r="Z117">
            <v>11244000</v>
          </cell>
          <cell r="AA117">
            <v>0.10485592315901815</v>
          </cell>
          <cell r="AB117">
            <v>312000</v>
          </cell>
          <cell r="AC117">
            <v>11244000</v>
          </cell>
          <cell r="AD117">
            <v>2.7748132337246531E-2</v>
          </cell>
          <cell r="AE117">
            <v>4047000</v>
          </cell>
          <cell r="AF117">
            <v>11244000</v>
          </cell>
          <cell r="AG117">
            <v>0.35992529348986124</v>
          </cell>
          <cell r="AH117">
            <v>1200000</v>
          </cell>
          <cell r="AI117">
            <v>11244000</v>
          </cell>
          <cell r="AJ117">
            <v>0.10672358591248667</v>
          </cell>
          <cell r="AK117">
            <v>160000</v>
          </cell>
          <cell r="AL117">
            <v>11244000</v>
          </cell>
          <cell r="AM117">
            <v>1.4229811454998222E-2</v>
          </cell>
          <cell r="AN117">
            <v>7332000</v>
          </cell>
          <cell r="AO117">
            <v>6129</v>
          </cell>
          <cell r="AP117">
            <v>1196.2799804209496</v>
          </cell>
          <cell r="AQ117">
            <v>2571000</v>
          </cell>
          <cell r="AR117">
            <v>9002000</v>
          </cell>
          <cell r="AS117">
            <v>0.28560319928904687</v>
          </cell>
          <cell r="AT117">
            <v>3309000</v>
          </cell>
          <cell r="AU117">
            <v>9002000</v>
          </cell>
          <cell r="AV117">
            <v>0.36758498111530769</v>
          </cell>
          <cell r="AW117">
            <v>524000</v>
          </cell>
          <cell r="AX117">
            <v>9002000</v>
          </cell>
          <cell r="AY117">
            <v>5.8209286825149968E-2</v>
          </cell>
          <cell r="AZ117">
            <v>2014000</v>
          </cell>
          <cell r="BA117">
            <v>9002000</v>
          </cell>
          <cell r="BB117">
            <v>0.22372806043101534</v>
          </cell>
          <cell r="BC117">
            <v>584000</v>
          </cell>
          <cell r="BD117">
            <v>9002000</v>
          </cell>
          <cell r="BE117">
            <v>6.4874472339480113E-2</v>
          </cell>
          <cell r="BF117">
            <v>7223000</v>
          </cell>
          <cell r="BG117">
            <v>6129</v>
          </cell>
          <cell r="BH117">
            <v>1178.4956762930331</v>
          </cell>
          <cell r="BI117">
            <v>4661000</v>
          </cell>
          <cell r="BJ117">
            <v>1169000</v>
          </cell>
          <cell r="BK117">
            <v>3.9871685201026517</v>
          </cell>
          <cell r="BL117">
            <v>1008000</v>
          </cell>
          <cell r="BM117">
            <v>8174000</v>
          </cell>
          <cell r="BN117">
            <v>0.12331783704428677</v>
          </cell>
          <cell r="BO117">
            <v>2671000</v>
          </cell>
          <cell r="BP117">
            <v>1886000</v>
          </cell>
          <cell r="BQ117">
            <v>1.4162248144220573</v>
          </cell>
          <cell r="BR117">
            <v>64</v>
          </cell>
          <cell r="BS117" t="str">
            <v>On Time</v>
          </cell>
          <cell r="BT117" t="str">
            <v>On Time</v>
          </cell>
          <cell r="BU117" t="str">
            <v>On Time</v>
          </cell>
          <cell r="BV117">
            <v>104000</v>
          </cell>
          <cell r="BW117">
            <v>6129</v>
          </cell>
          <cell r="BX117">
            <v>16.968510360580844</v>
          </cell>
          <cell r="BY117">
            <v>35973</v>
          </cell>
          <cell r="BZ117">
            <v>6129</v>
          </cell>
          <cell r="CA117">
            <v>5.8693098384728337</v>
          </cell>
          <cell r="CB117">
            <v>253000</v>
          </cell>
          <cell r="CC117">
            <v>1965</v>
          </cell>
          <cell r="CD117">
            <v>128.7531806615776</v>
          </cell>
          <cell r="CE117">
            <v>312000</v>
          </cell>
          <cell r="CF117">
            <v>1957</v>
          </cell>
          <cell r="CG117">
            <v>159.42769545222279</v>
          </cell>
          <cell r="CH117">
            <v>108000</v>
          </cell>
          <cell r="CI117">
            <v>6129</v>
          </cell>
          <cell r="CJ117">
            <v>17.621145374449338</v>
          </cell>
          <cell r="CK117">
            <v>2635000</v>
          </cell>
          <cell r="CL117">
            <v>6129</v>
          </cell>
          <cell r="CM117">
            <v>429.92331538587047</v>
          </cell>
          <cell r="CN117">
            <v>465.52013231301402</v>
          </cell>
          <cell r="CO117">
            <v>371.052631578947</v>
          </cell>
          <cell r="CP117">
            <v>364.53231216789902</v>
          </cell>
          <cell r="CQ117">
            <v>362.10526315789502</v>
          </cell>
          <cell r="CR117">
            <v>283</v>
          </cell>
          <cell r="CS117">
            <v>1309</v>
          </cell>
          <cell r="CT117">
            <v>283</v>
          </cell>
          <cell r="CU117">
            <v>4.6254416961130742</v>
          </cell>
          <cell r="CV117">
            <v>8</v>
          </cell>
          <cell r="CW117">
            <v>21000</v>
          </cell>
          <cell r="CX117">
            <v>232000</v>
          </cell>
          <cell r="CY117">
            <v>9.0517241379310345E-2</v>
          </cell>
          <cell r="CZ117">
            <v>279000</v>
          </cell>
          <cell r="DA117">
            <v>6129</v>
          </cell>
          <cell r="DB117">
            <v>45.521292217327456</v>
          </cell>
          <cell r="DC117">
            <v>445000</v>
          </cell>
          <cell r="DD117">
            <v>6129</v>
          </cell>
          <cell r="DE117">
            <v>72.605645292869966</v>
          </cell>
          <cell r="DF117">
            <v>508000</v>
          </cell>
          <cell r="DG117">
            <v>6129</v>
          </cell>
          <cell r="DH117">
            <v>82.88464676129874</v>
          </cell>
          <cell r="DI117">
            <v>4344.6000000000004</v>
          </cell>
          <cell r="DJ117">
            <v>1.4107167518298576</v>
          </cell>
          <cell r="DK117">
            <v>2.7E-2</v>
          </cell>
          <cell r="DL117">
            <v>3.75</v>
          </cell>
          <cell r="DM117">
            <v>1.75</v>
          </cell>
        </row>
        <row r="118">
          <cell r="B118" t="str">
            <v>Murrumbidgee Shire Council</v>
          </cell>
          <cell r="C118">
            <v>9</v>
          </cell>
          <cell r="D118">
            <v>92000</v>
          </cell>
          <cell r="E118">
            <v>652</v>
          </cell>
          <cell r="F118">
            <v>141.10429447852761</v>
          </cell>
          <cell r="G118">
            <v>1016000</v>
          </cell>
          <cell r="H118">
            <v>505</v>
          </cell>
          <cell r="I118">
            <v>2011.8811881188119</v>
          </cell>
          <cell r="J118">
            <v>16000</v>
          </cell>
          <cell r="K118">
            <v>85</v>
          </cell>
          <cell r="L118">
            <v>188.23529411764707</v>
          </cell>
          <cell r="M118">
            <v>231000</v>
          </cell>
          <cell r="N118">
            <v>2080000</v>
          </cell>
          <cell r="O118">
            <v>0.1110576923076923</v>
          </cell>
          <cell r="P118">
            <v>21000</v>
          </cell>
          <cell r="Q118">
            <v>1632000</v>
          </cell>
          <cell r="R118">
            <v>1.2867647058823529E-2</v>
          </cell>
          <cell r="S118">
            <v>-331000</v>
          </cell>
          <cell r="T118">
            <v>758000</v>
          </cell>
          <cell r="U118">
            <v>-0.4366754617414248</v>
          </cell>
          <cell r="V118">
            <v>1653000</v>
          </cell>
          <cell r="W118">
            <v>4484000</v>
          </cell>
          <cell r="X118">
            <v>0.36864406779661019</v>
          </cell>
          <cell r="Y118">
            <v>427000</v>
          </cell>
          <cell r="Z118">
            <v>4484000</v>
          </cell>
          <cell r="AA118">
            <v>9.5227475468331851E-2</v>
          </cell>
          <cell r="AB118">
            <v>277000</v>
          </cell>
          <cell r="AC118">
            <v>4484000</v>
          </cell>
          <cell r="AD118">
            <v>6.1775200713648531E-2</v>
          </cell>
          <cell r="AE118">
            <v>1914000</v>
          </cell>
          <cell r="AF118">
            <v>4484000</v>
          </cell>
          <cell r="AG118">
            <v>0.42685102586975915</v>
          </cell>
          <cell r="AH118">
            <v>74000</v>
          </cell>
          <cell r="AI118">
            <v>4484000</v>
          </cell>
          <cell r="AJ118">
            <v>1.6503122212310439E-2</v>
          </cell>
          <cell r="AK118">
            <v>139000</v>
          </cell>
          <cell r="AL118">
            <v>4484000</v>
          </cell>
          <cell r="AM118">
            <v>3.0999107939339875E-2</v>
          </cell>
          <cell r="AN118">
            <v>3857000</v>
          </cell>
          <cell r="AO118">
            <v>2701</v>
          </cell>
          <cell r="AP118">
            <v>1427.9896334690854</v>
          </cell>
          <cell r="AQ118">
            <v>1246000</v>
          </cell>
          <cell r="AR118">
            <v>3662000</v>
          </cell>
          <cell r="AS118">
            <v>0.34025122883670128</v>
          </cell>
          <cell r="AT118">
            <v>1142000</v>
          </cell>
          <cell r="AU118">
            <v>3662000</v>
          </cell>
          <cell r="AV118">
            <v>0.31185144729655928</v>
          </cell>
          <cell r="AW118">
            <v>13000</v>
          </cell>
          <cell r="AX118">
            <v>3662000</v>
          </cell>
          <cell r="AY118">
            <v>3.5499726925177499E-3</v>
          </cell>
          <cell r="AZ118">
            <v>795000</v>
          </cell>
          <cell r="BA118">
            <v>3662000</v>
          </cell>
          <cell r="BB118">
            <v>0.21709448388858546</v>
          </cell>
          <cell r="BC118">
            <v>466000</v>
          </cell>
          <cell r="BD118">
            <v>3662000</v>
          </cell>
          <cell r="BE118">
            <v>0.12725286728563626</v>
          </cell>
          <cell r="BF118">
            <v>3388000</v>
          </cell>
          <cell r="BG118">
            <v>2701</v>
          </cell>
          <cell r="BH118">
            <v>1254.3502406516104</v>
          </cell>
          <cell r="BI118">
            <v>5014000</v>
          </cell>
          <cell r="BJ118">
            <v>527000</v>
          </cell>
          <cell r="BK118">
            <v>9.5142314990512329</v>
          </cell>
          <cell r="BL118">
            <v>91000</v>
          </cell>
          <cell r="BM118">
            <v>3682000</v>
          </cell>
          <cell r="BN118">
            <v>2.4714828897338403E-2</v>
          </cell>
          <cell r="BO118">
            <v>1712000</v>
          </cell>
          <cell r="BP118">
            <v>678000</v>
          </cell>
          <cell r="BQ118">
            <v>2.5250737463126844</v>
          </cell>
          <cell r="BR118">
            <v>33</v>
          </cell>
          <cell r="BS118" t="str">
            <v>&lt;=2</v>
          </cell>
          <cell r="BT118" t="str">
            <v>&lt;=2</v>
          </cell>
          <cell r="BU118" t="str">
            <v>&lt;=2</v>
          </cell>
          <cell r="BV118">
            <v>32000</v>
          </cell>
          <cell r="BW118">
            <v>2701</v>
          </cell>
          <cell r="BX118">
            <v>11.847463902258422</v>
          </cell>
          <cell r="BY118">
            <v>11039</v>
          </cell>
          <cell r="BZ118">
            <v>2701</v>
          </cell>
          <cell r="CA118">
            <v>4.0870048130322099</v>
          </cell>
          <cell r="CB118">
            <v>68000</v>
          </cell>
          <cell r="CC118">
            <v>778</v>
          </cell>
          <cell r="CD118">
            <v>87.40359897172236</v>
          </cell>
          <cell r="CE118">
            <v>40671</v>
          </cell>
          <cell r="CF118">
            <v>693</v>
          </cell>
          <cell r="CG118">
            <v>58.688311688311686</v>
          </cell>
          <cell r="CI118">
            <v>2701</v>
          </cell>
          <cell r="CJ118" t="str">
            <v>N/A</v>
          </cell>
          <cell r="CK118">
            <v>925200</v>
          </cell>
          <cell r="CL118">
            <v>2701</v>
          </cell>
          <cell r="CM118">
            <v>342.53980007404664</v>
          </cell>
          <cell r="CN118">
            <v>329.39204783513298</v>
          </cell>
          <cell r="CO118">
            <v>206.144434100279</v>
          </cell>
          <cell r="CP118">
            <v>262</v>
          </cell>
          <cell r="CQ118">
            <v>149.25373134328399</v>
          </cell>
          <cell r="CR118">
            <v>75</v>
          </cell>
          <cell r="CS118">
            <v>1886</v>
          </cell>
          <cell r="CT118">
            <v>75</v>
          </cell>
          <cell r="CU118">
            <v>25.146666666666668</v>
          </cell>
          <cell r="CV118">
            <v>20.5</v>
          </cell>
          <cell r="CW118">
            <v>0</v>
          </cell>
          <cell r="CX118">
            <v>95000</v>
          </cell>
          <cell r="CY118">
            <v>0</v>
          </cell>
          <cell r="CZ118">
            <v>69000</v>
          </cell>
          <cell r="DA118">
            <v>2701</v>
          </cell>
          <cell r="DB118">
            <v>25.546094039244725</v>
          </cell>
          <cell r="DC118">
            <v>147000</v>
          </cell>
          <cell r="DD118">
            <v>2701</v>
          </cell>
          <cell r="DE118">
            <v>54.42428730099963</v>
          </cell>
          <cell r="DF118">
            <v>77000</v>
          </cell>
          <cell r="DG118">
            <v>2701</v>
          </cell>
          <cell r="DH118">
            <v>28.507960014809331</v>
          </cell>
          <cell r="DI118">
            <v>3505</v>
          </cell>
          <cell r="DJ118">
            <v>0.77061340941512124</v>
          </cell>
          <cell r="DK118">
            <v>1.8704453441295548E-2</v>
          </cell>
          <cell r="DL118">
            <v>6.73</v>
          </cell>
          <cell r="DM118">
            <v>1.5</v>
          </cell>
        </row>
        <row r="119">
          <cell r="B119" t="str">
            <v>Murrurundi Shire Council</v>
          </cell>
          <cell r="C119">
            <v>9</v>
          </cell>
          <cell r="D119">
            <v>141000</v>
          </cell>
          <cell r="E119">
            <v>693</v>
          </cell>
          <cell r="F119">
            <v>203.46320346320346</v>
          </cell>
          <cell r="G119">
            <v>1217000</v>
          </cell>
          <cell r="H119">
            <v>524</v>
          </cell>
          <cell r="I119">
            <v>2322.5190839694656</v>
          </cell>
          <cell r="J119">
            <v>29000</v>
          </cell>
          <cell r="K119">
            <v>64</v>
          </cell>
          <cell r="L119">
            <v>453.125</v>
          </cell>
          <cell r="M119">
            <v>285000</v>
          </cell>
          <cell r="N119">
            <v>2145000</v>
          </cell>
          <cell r="O119">
            <v>0.13286713286713286</v>
          </cell>
          <cell r="P119">
            <v>149000</v>
          </cell>
          <cell r="Q119">
            <v>1733000</v>
          </cell>
          <cell r="R119">
            <v>8.5978072706289668E-2</v>
          </cell>
          <cell r="S119">
            <v>62000</v>
          </cell>
          <cell r="T119">
            <v>201000</v>
          </cell>
          <cell r="U119">
            <v>0.30845771144278605</v>
          </cell>
          <cell r="V119">
            <v>1882000</v>
          </cell>
          <cell r="W119">
            <v>4091000</v>
          </cell>
          <cell r="X119">
            <v>0.46003422146174527</v>
          </cell>
          <cell r="Y119">
            <v>263000</v>
          </cell>
          <cell r="Z119">
            <v>4091000</v>
          </cell>
          <cell r="AA119">
            <v>6.4287460278660474E-2</v>
          </cell>
          <cell r="AB119">
            <v>170000</v>
          </cell>
          <cell r="AC119">
            <v>4091000</v>
          </cell>
          <cell r="AD119">
            <v>4.1554632119286235E-2</v>
          </cell>
          <cell r="AE119">
            <v>1682000</v>
          </cell>
          <cell r="AF119">
            <v>4091000</v>
          </cell>
          <cell r="AG119">
            <v>0.41114641896846738</v>
          </cell>
          <cell r="AH119">
            <v>23000</v>
          </cell>
          <cell r="AI119">
            <v>4091000</v>
          </cell>
          <cell r="AJ119">
            <v>5.622097286726962E-3</v>
          </cell>
          <cell r="AK119">
            <v>71000</v>
          </cell>
          <cell r="AL119">
            <v>4091000</v>
          </cell>
          <cell r="AM119">
            <v>1.7355169885113663E-2</v>
          </cell>
          <cell r="AN119">
            <v>3532000</v>
          </cell>
          <cell r="AO119">
            <v>2170</v>
          </cell>
          <cell r="AP119">
            <v>1627.6497695852534</v>
          </cell>
          <cell r="AQ119">
            <v>1672000</v>
          </cell>
          <cell r="AR119">
            <v>4245000</v>
          </cell>
          <cell r="AS119">
            <v>0.3938751472320377</v>
          </cell>
          <cell r="AT119">
            <v>1170000</v>
          </cell>
          <cell r="AU119">
            <v>4245000</v>
          </cell>
          <cell r="AV119">
            <v>0.2756183745583039</v>
          </cell>
          <cell r="AW119">
            <v>27000</v>
          </cell>
          <cell r="AX119">
            <v>4245000</v>
          </cell>
          <cell r="AY119">
            <v>6.3604240282685515E-3</v>
          </cell>
          <cell r="AZ119">
            <v>807000</v>
          </cell>
          <cell r="BA119">
            <v>4245000</v>
          </cell>
          <cell r="BB119">
            <v>0.19010600706713782</v>
          </cell>
          <cell r="BC119">
            <v>569000</v>
          </cell>
          <cell r="BD119">
            <v>4245000</v>
          </cell>
          <cell r="BE119">
            <v>0.13404004711425205</v>
          </cell>
          <cell r="BF119">
            <v>3857000</v>
          </cell>
          <cell r="BG119">
            <v>2170</v>
          </cell>
          <cell r="BH119">
            <v>1777.4193548387098</v>
          </cell>
          <cell r="BI119">
            <v>1620000</v>
          </cell>
          <cell r="BJ119">
            <v>389000</v>
          </cell>
          <cell r="BK119">
            <v>4.1645244215938302</v>
          </cell>
          <cell r="BL119">
            <v>78000</v>
          </cell>
          <cell r="BM119">
            <v>3118000</v>
          </cell>
          <cell r="BN119">
            <v>2.5016035920461834E-2</v>
          </cell>
          <cell r="BO119">
            <v>-777000</v>
          </cell>
          <cell r="BP119">
            <v>657000</v>
          </cell>
          <cell r="BQ119">
            <v>-1.182648401826484</v>
          </cell>
          <cell r="BR119">
            <v>43</v>
          </cell>
          <cell r="BS119" t="str">
            <v>&lt;=16</v>
          </cell>
          <cell r="BT119" t="str">
            <v>&lt;=16</v>
          </cell>
          <cell r="BU119" t="str">
            <v>On Time</v>
          </cell>
          <cell r="BV119">
            <v>67000</v>
          </cell>
          <cell r="BW119">
            <v>2170</v>
          </cell>
          <cell r="BX119">
            <v>30.875576036866359</v>
          </cell>
          <cell r="BY119">
            <v>12640</v>
          </cell>
          <cell r="BZ119">
            <v>2170</v>
          </cell>
          <cell r="CA119">
            <v>5.8248847926267278</v>
          </cell>
          <cell r="CB119">
            <v>44000</v>
          </cell>
          <cell r="CC119">
            <v>649</v>
          </cell>
          <cell r="CD119">
            <v>67.79661016949153</v>
          </cell>
          <cell r="CE119">
            <v>31587</v>
          </cell>
          <cell r="CF119">
            <v>582</v>
          </cell>
          <cell r="CG119">
            <v>54.273195876288661</v>
          </cell>
          <cell r="CI119">
            <v>2170</v>
          </cell>
          <cell r="CJ119" t="str">
            <v>N/A</v>
          </cell>
          <cell r="CL119">
            <v>2170</v>
          </cell>
          <cell r="CM119" t="str">
            <v>N/A</v>
          </cell>
          <cell r="CN119">
            <v>460</v>
          </cell>
          <cell r="CO119">
            <v>401</v>
          </cell>
          <cell r="CP119">
            <v>277</v>
          </cell>
          <cell r="CQ119">
            <v>295</v>
          </cell>
          <cell r="CR119">
            <v>71</v>
          </cell>
          <cell r="CS119">
            <v>2228</v>
          </cell>
          <cell r="CT119">
            <v>71</v>
          </cell>
          <cell r="CU119">
            <v>31.380281690140844</v>
          </cell>
          <cell r="CV119">
            <v>27</v>
          </cell>
          <cell r="CW119">
            <v>0</v>
          </cell>
          <cell r="CX119">
            <v>55000</v>
          </cell>
          <cell r="CY119">
            <v>0</v>
          </cell>
          <cell r="CZ119">
            <v>82000</v>
          </cell>
          <cell r="DA119">
            <v>2170</v>
          </cell>
          <cell r="DB119">
            <v>37.788018433179722</v>
          </cell>
          <cell r="DC119">
            <v>139000</v>
          </cell>
          <cell r="DD119">
            <v>2170</v>
          </cell>
          <cell r="DE119">
            <v>64.055299539170505</v>
          </cell>
          <cell r="DF119">
            <v>106000</v>
          </cell>
          <cell r="DG119">
            <v>2170</v>
          </cell>
          <cell r="DH119">
            <v>48.847926267281103</v>
          </cell>
          <cell r="DI119">
            <v>2480.6</v>
          </cell>
          <cell r="DJ119">
            <v>0.87478835765540597</v>
          </cell>
          <cell r="DK119">
            <v>-2.2131147540983605E-2</v>
          </cell>
          <cell r="DL119">
            <v>2.12</v>
          </cell>
          <cell r="DM119">
            <v>1.55</v>
          </cell>
        </row>
        <row r="120">
          <cell r="B120" t="str">
            <v>Muswellbrook Shire Council</v>
          </cell>
          <cell r="C120">
            <v>11</v>
          </cell>
          <cell r="D120">
            <v>2276000</v>
          </cell>
          <cell r="E120">
            <v>5084</v>
          </cell>
          <cell r="F120">
            <v>447.67899291896146</v>
          </cell>
          <cell r="G120">
            <v>928000</v>
          </cell>
          <cell r="H120">
            <v>643</v>
          </cell>
          <cell r="I120">
            <v>1443.2348367029549</v>
          </cell>
          <cell r="J120">
            <v>579000</v>
          </cell>
          <cell r="K120">
            <v>508</v>
          </cell>
          <cell r="L120">
            <v>1139.7637795275591</v>
          </cell>
          <cell r="M120">
            <v>998000</v>
          </cell>
          <cell r="N120">
            <v>11095000</v>
          </cell>
          <cell r="O120">
            <v>8.9950428120775125E-2</v>
          </cell>
          <cell r="P120">
            <v>438000</v>
          </cell>
          <cell r="Q120">
            <v>6690000</v>
          </cell>
          <cell r="R120">
            <v>6.5470852017937217E-2</v>
          </cell>
          <cell r="S120">
            <v>-683000</v>
          </cell>
          <cell r="T120">
            <v>4650000</v>
          </cell>
          <cell r="U120">
            <v>-0.14688172043010753</v>
          </cell>
          <cell r="V120">
            <v>7128000</v>
          </cell>
          <cell r="W120">
            <v>17400000</v>
          </cell>
          <cell r="X120">
            <v>0.40965517241379312</v>
          </cell>
          <cell r="Y120">
            <v>3967000</v>
          </cell>
          <cell r="Z120">
            <v>17400000</v>
          </cell>
          <cell r="AA120">
            <v>0.22798850574712642</v>
          </cell>
          <cell r="AB120">
            <v>665000</v>
          </cell>
          <cell r="AC120">
            <v>17400000</v>
          </cell>
          <cell r="AD120">
            <v>3.8218390804597699E-2</v>
          </cell>
          <cell r="AE120">
            <v>2775000</v>
          </cell>
          <cell r="AF120">
            <v>17400000</v>
          </cell>
          <cell r="AG120">
            <v>0.15948275862068967</v>
          </cell>
          <cell r="AH120">
            <v>2718000</v>
          </cell>
          <cell r="AI120">
            <v>17400000</v>
          </cell>
          <cell r="AJ120">
            <v>0.15620689655172415</v>
          </cell>
          <cell r="AK120">
            <v>147000</v>
          </cell>
          <cell r="AL120">
            <v>17400000</v>
          </cell>
          <cell r="AM120">
            <v>8.4482758620689647E-3</v>
          </cell>
          <cell r="AN120">
            <v>11091000</v>
          </cell>
          <cell r="AO120">
            <v>15291</v>
          </cell>
          <cell r="AP120">
            <v>725.32862468118503</v>
          </cell>
          <cell r="AQ120">
            <v>4621000</v>
          </cell>
          <cell r="AR120">
            <v>16217000</v>
          </cell>
          <cell r="AS120">
            <v>0.2849478941851144</v>
          </cell>
          <cell r="AT120">
            <v>5257000</v>
          </cell>
          <cell r="AU120">
            <v>16217000</v>
          </cell>
          <cell r="AV120">
            <v>0.3241659986433989</v>
          </cell>
          <cell r="AW120">
            <v>55000</v>
          </cell>
          <cell r="AX120">
            <v>16217000</v>
          </cell>
          <cell r="AY120">
            <v>3.3915027440340382E-3</v>
          </cell>
          <cell r="AZ120">
            <v>4944000</v>
          </cell>
          <cell r="BA120">
            <v>16217000</v>
          </cell>
          <cell r="BB120">
            <v>0.30486526484553245</v>
          </cell>
          <cell r="BC120">
            <v>1340000</v>
          </cell>
          <cell r="BD120">
            <v>16217000</v>
          </cell>
          <cell r="BE120">
            <v>8.2629339581920203E-2</v>
          </cell>
          <cell r="BF120">
            <v>13023000</v>
          </cell>
          <cell r="BG120">
            <v>15291</v>
          </cell>
          <cell r="BH120">
            <v>851.67745732783987</v>
          </cell>
          <cell r="BI120">
            <v>9369000</v>
          </cell>
          <cell r="BJ120">
            <v>2077000</v>
          </cell>
          <cell r="BK120">
            <v>4.5108329321136251</v>
          </cell>
          <cell r="BL120">
            <v>207000</v>
          </cell>
          <cell r="BM120">
            <v>14417000</v>
          </cell>
          <cell r="BN120">
            <v>1.4358049524866478E-2</v>
          </cell>
          <cell r="BO120">
            <v>3023000</v>
          </cell>
          <cell r="BP120">
            <v>4021000</v>
          </cell>
          <cell r="BQ120">
            <v>0.75180303407112659</v>
          </cell>
          <cell r="BR120">
            <v>105</v>
          </cell>
          <cell r="BS120" t="str">
            <v>On Time</v>
          </cell>
          <cell r="BT120" t="str">
            <v>On Time</v>
          </cell>
          <cell r="BU120" t="str">
            <v>On Time</v>
          </cell>
          <cell r="BV120">
            <v>353000</v>
          </cell>
          <cell r="BW120">
            <v>15291</v>
          </cell>
          <cell r="BX120">
            <v>23.085475116081355</v>
          </cell>
          <cell r="BY120">
            <v>93202</v>
          </cell>
          <cell r="BZ120">
            <v>15291</v>
          </cell>
          <cell r="CA120">
            <v>6.0952194101105226</v>
          </cell>
          <cell r="CB120">
            <v>575000</v>
          </cell>
          <cell r="CC120">
            <v>4331</v>
          </cell>
          <cell r="CD120">
            <v>132.76379589009466</v>
          </cell>
          <cell r="CE120">
            <v>316495</v>
          </cell>
          <cell r="CF120">
            <v>4331</v>
          </cell>
          <cell r="CG120">
            <v>73.076656661279145</v>
          </cell>
          <cell r="CH120">
            <v>3820350</v>
          </cell>
          <cell r="CI120">
            <v>15291</v>
          </cell>
          <cell r="CJ120">
            <v>249.84304492838925</v>
          </cell>
          <cell r="CK120">
            <v>11610580</v>
          </cell>
          <cell r="CL120">
            <v>15291</v>
          </cell>
          <cell r="CM120">
            <v>759.30808972598265</v>
          </cell>
          <cell r="CN120">
            <v>364.113298861251</v>
          </cell>
          <cell r="CO120">
            <v>381.974705069614</v>
          </cell>
          <cell r="CP120">
            <v>374</v>
          </cell>
          <cell r="CQ120">
            <v>400</v>
          </cell>
          <cell r="CR120">
            <v>330</v>
          </cell>
          <cell r="CS120">
            <v>6735</v>
          </cell>
          <cell r="CT120">
            <v>330</v>
          </cell>
          <cell r="CU120">
            <v>20.40909090909091</v>
          </cell>
          <cell r="CV120">
            <v>25</v>
          </cell>
          <cell r="CW120">
            <v>0</v>
          </cell>
          <cell r="CX120">
            <v>178000</v>
          </cell>
          <cell r="CY120">
            <v>0</v>
          </cell>
          <cell r="CZ120">
            <v>405000</v>
          </cell>
          <cell r="DA120">
            <v>15291</v>
          </cell>
          <cell r="DB120">
            <v>26.486168334314304</v>
          </cell>
          <cell r="DC120">
            <v>920000</v>
          </cell>
          <cell r="DD120">
            <v>15291</v>
          </cell>
          <cell r="DE120">
            <v>60.166110784121379</v>
          </cell>
          <cell r="DF120">
            <v>283000</v>
          </cell>
          <cell r="DG120">
            <v>15291</v>
          </cell>
          <cell r="DH120">
            <v>18.507618860767771</v>
          </cell>
          <cell r="DI120">
            <v>3405.6</v>
          </cell>
          <cell r="DJ120">
            <v>4.4899577167019027</v>
          </cell>
          <cell r="DK120">
            <v>-1.0167597765363129E-2</v>
          </cell>
          <cell r="DL120">
            <v>2.46</v>
          </cell>
          <cell r="DM120">
            <v>2.36</v>
          </cell>
        </row>
        <row r="121">
          <cell r="B121" t="str">
            <v>Nambucca Shire Council</v>
          </cell>
          <cell r="C121">
            <v>11</v>
          </cell>
          <cell r="D121">
            <v>3313000</v>
          </cell>
          <cell r="E121">
            <v>7184</v>
          </cell>
          <cell r="F121">
            <v>461.16369710467706</v>
          </cell>
          <cell r="G121">
            <v>569000</v>
          </cell>
          <cell r="H121">
            <v>504</v>
          </cell>
          <cell r="I121">
            <v>1128.968253968254</v>
          </cell>
          <cell r="J121">
            <v>500000</v>
          </cell>
          <cell r="K121">
            <v>551</v>
          </cell>
          <cell r="L121">
            <v>907.44101633393825</v>
          </cell>
          <cell r="M121">
            <v>1138000</v>
          </cell>
          <cell r="N121">
            <v>10527000</v>
          </cell>
          <cell r="O121">
            <v>0.10810297330673506</v>
          </cell>
          <cell r="P121">
            <v>383000</v>
          </cell>
          <cell r="Q121">
            <v>7710000</v>
          </cell>
          <cell r="R121">
            <v>4.9675745784695198E-2</v>
          </cell>
          <cell r="S121">
            <v>122000</v>
          </cell>
          <cell r="T121">
            <v>2312000</v>
          </cell>
          <cell r="U121">
            <v>5.2768166089965395E-2</v>
          </cell>
          <cell r="V121">
            <v>8093000</v>
          </cell>
          <cell r="W121">
            <v>19060000</v>
          </cell>
          <cell r="X121">
            <v>0.4246065057712487</v>
          </cell>
          <cell r="Y121">
            <v>2434000</v>
          </cell>
          <cell r="Z121">
            <v>19060000</v>
          </cell>
          <cell r="AA121">
            <v>0.12770199370409235</v>
          </cell>
          <cell r="AB121">
            <v>695000</v>
          </cell>
          <cell r="AC121">
            <v>19060000</v>
          </cell>
          <cell r="AD121">
            <v>3.6463798530954876E-2</v>
          </cell>
          <cell r="AE121">
            <v>4739000</v>
          </cell>
          <cell r="AF121">
            <v>19060000</v>
          </cell>
          <cell r="AG121">
            <v>0.24863588667366213</v>
          </cell>
          <cell r="AH121">
            <v>2907000</v>
          </cell>
          <cell r="AI121">
            <v>19060000</v>
          </cell>
          <cell r="AJ121">
            <v>0.1525183630640084</v>
          </cell>
          <cell r="AK121">
            <v>192000</v>
          </cell>
          <cell r="AL121">
            <v>19060000</v>
          </cell>
          <cell r="AM121">
            <v>1.0073452256033578E-2</v>
          </cell>
          <cell r="AN121">
            <v>12100000</v>
          </cell>
          <cell r="AO121">
            <v>18213</v>
          </cell>
          <cell r="AP121">
            <v>664.36062153406908</v>
          </cell>
          <cell r="AQ121">
            <v>5375000</v>
          </cell>
          <cell r="AR121">
            <v>18186000</v>
          </cell>
          <cell r="AS121">
            <v>0.29555702188496646</v>
          </cell>
          <cell r="AT121">
            <v>3586000</v>
          </cell>
          <cell r="AU121">
            <v>18186000</v>
          </cell>
          <cell r="AV121">
            <v>0.19718464753106785</v>
          </cell>
          <cell r="AW121">
            <v>707000</v>
          </cell>
          <cell r="AX121">
            <v>18186000</v>
          </cell>
          <cell r="AY121">
            <v>3.8876058506543493E-2</v>
          </cell>
          <cell r="AZ121">
            <v>6223000</v>
          </cell>
          <cell r="BA121">
            <v>18186000</v>
          </cell>
          <cell r="BB121">
            <v>0.34218629715165511</v>
          </cell>
          <cell r="BC121">
            <v>2295000</v>
          </cell>
          <cell r="BD121">
            <v>18186000</v>
          </cell>
          <cell r="BE121">
            <v>0.12619597492576706</v>
          </cell>
          <cell r="BF121">
            <v>14724000</v>
          </cell>
          <cell r="BG121">
            <v>18213</v>
          </cell>
          <cell r="BH121">
            <v>808.43353648492837</v>
          </cell>
          <cell r="BI121">
            <v>6706000</v>
          </cell>
          <cell r="BJ121">
            <v>5191000</v>
          </cell>
          <cell r="BK121">
            <v>1.2918512810633789</v>
          </cell>
          <cell r="BL121">
            <v>1922000</v>
          </cell>
          <cell r="BM121">
            <v>14379000</v>
          </cell>
          <cell r="BN121">
            <v>0.13366715348772515</v>
          </cell>
          <cell r="BO121">
            <v>5230000</v>
          </cell>
          <cell r="BP121">
            <v>5131000</v>
          </cell>
          <cell r="BQ121">
            <v>1.0192944845059442</v>
          </cell>
          <cell r="BR121">
            <v>122</v>
          </cell>
          <cell r="BS121" t="str">
            <v>Not Received</v>
          </cell>
          <cell r="BT121" t="str">
            <v>Not Received</v>
          </cell>
          <cell r="BU121" t="str">
            <v>On Time</v>
          </cell>
          <cell r="BV121">
            <v>327000</v>
          </cell>
          <cell r="BW121">
            <v>18213</v>
          </cell>
          <cell r="BX121">
            <v>17.954208532366991</v>
          </cell>
          <cell r="BY121">
            <v>118269</v>
          </cell>
          <cell r="BZ121">
            <v>18213</v>
          </cell>
          <cell r="CA121">
            <v>6.4936583758853565</v>
          </cell>
          <cell r="CB121">
            <v>939000</v>
          </cell>
          <cell r="CC121">
            <v>5670</v>
          </cell>
          <cell r="CD121">
            <v>165.60846560846562</v>
          </cell>
          <cell r="CE121">
            <v>217180</v>
          </cell>
          <cell r="CF121">
            <v>5670</v>
          </cell>
          <cell r="CG121">
            <v>38.30335097001764</v>
          </cell>
          <cell r="CH121">
            <v>910860</v>
          </cell>
          <cell r="CI121">
            <v>18213</v>
          </cell>
          <cell r="CJ121">
            <v>50.011530225662987</v>
          </cell>
          <cell r="CK121">
            <v>8210000</v>
          </cell>
          <cell r="CL121">
            <v>18213</v>
          </cell>
          <cell r="CM121">
            <v>450.77691758633944</v>
          </cell>
          <cell r="CN121">
            <v>233.317105713925</v>
          </cell>
          <cell r="CO121">
            <v>217.29087609305401</v>
          </cell>
          <cell r="CP121">
            <v>343.90430622009598</v>
          </cell>
          <cell r="CQ121">
            <v>370</v>
          </cell>
          <cell r="CR121">
            <v>351</v>
          </cell>
          <cell r="CS121">
            <v>10841</v>
          </cell>
          <cell r="CT121">
            <v>351</v>
          </cell>
          <cell r="CU121">
            <v>30.886039886039885</v>
          </cell>
          <cell r="CV121">
            <v>31</v>
          </cell>
          <cell r="CW121">
            <v>68000</v>
          </cell>
          <cell r="CX121">
            <v>862000</v>
          </cell>
          <cell r="CY121">
            <v>7.8886310904872387E-2</v>
          </cell>
          <cell r="CZ121">
            <v>524000</v>
          </cell>
          <cell r="DA121">
            <v>18213</v>
          </cell>
          <cell r="DB121">
            <v>28.770658320979521</v>
          </cell>
          <cell r="DC121">
            <v>715000</v>
          </cell>
          <cell r="DD121">
            <v>18213</v>
          </cell>
          <cell r="DE121">
            <v>39.257673090649533</v>
          </cell>
          <cell r="DF121">
            <v>405000</v>
          </cell>
          <cell r="DG121">
            <v>18213</v>
          </cell>
          <cell r="DH121">
            <v>22.236863778619668</v>
          </cell>
          <cell r="DI121">
            <v>1490.5</v>
          </cell>
          <cell r="DJ121">
            <v>12.219389466621939</v>
          </cell>
          <cell r="DK121">
            <v>-7.6838638858397362E-5</v>
          </cell>
          <cell r="DL121">
            <v>4.51</v>
          </cell>
          <cell r="DM121">
            <v>2.27</v>
          </cell>
        </row>
        <row r="122">
          <cell r="B122" t="str">
            <v>Narrabri Shire Council</v>
          </cell>
          <cell r="C122">
            <v>11</v>
          </cell>
          <cell r="D122">
            <v>2131000</v>
          </cell>
          <cell r="E122">
            <v>4182</v>
          </cell>
          <cell r="F122">
            <v>509.56480153036824</v>
          </cell>
          <cell r="G122">
            <v>3425000</v>
          </cell>
          <cell r="H122">
            <v>1743</v>
          </cell>
          <cell r="I122">
            <v>1965.0028686173264</v>
          </cell>
          <cell r="J122">
            <v>741000</v>
          </cell>
          <cell r="K122">
            <v>556</v>
          </cell>
          <cell r="L122">
            <v>1332.7338129496402</v>
          </cell>
          <cell r="M122">
            <v>1461000</v>
          </cell>
          <cell r="N122">
            <v>13186000</v>
          </cell>
          <cell r="O122">
            <v>0.11079933262551191</v>
          </cell>
          <cell r="P122">
            <v>577000</v>
          </cell>
          <cell r="Q122">
            <v>8815000</v>
          </cell>
          <cell r="R122">
            <v>6.5456608054452636E-2</v>
          </cell>
          <cell r="S122">
            <v>-102000</v>
          </cell>
          <cell r="T122">
            <v>3896000</v>
          </cell>
          <cell r="U122">
            <v>-2.6180698151950718E-2</v>
          </cell>
          <cell r="V122">
            <v>9392000</v>
          </cell>
          <cell r="W122">
            <v>24296000</v>
          </cell>
          <cell r="X122">
            <v>0.38656568982548567</v>
          </cell>
          <cell r="Y122">
            <v>3794000</v>
          </cell>
          <cell r="Z122">
            <v>24296000</v>
          </cell>
          <cell r="AA122">
            <v>0.15615739216331906</v>
          </cell>
          <cell r="AB122">
            <v>541000</v>
          </cell>
          <cell r="AC122">
            <v>24296000</v>
          </cell>
          <cell r="AD122">
            <v>2.226703984194929E-2</v>
          </cell>
          <cell r="AE122">
            <v>4728000</v>
          </cell>
          <cell r="AF122">
            <v>24296000</v>
          </cell>
          <cell r="AG122">
            <v>0.19459993414553836</v>
          </cell>
          <cell r="AH122">
            <v>5358000</v>
          </cell>
          <cell r="AI122">
            <v>24296000</v>
          </cell>
          <cell r="AJ122">
            <v>0.22053012841620021</v>
          </cell>
          <cell r="AK122">
            <v>483000</v>
          </cell>
          <cell r="AL122">
            <v>24296000</v>
          </cell>
          <cell r="AM122">
            <v>1.9879815607507408E-2</v>
          </cell>
          <cell r="AN122">
            <v>20852000</v>
          </cell>
          <cell r="AO122">
            <v>14522</v>
          </cell>
          <cell r="AP122">
            <v>1435.8903732268282</v>
          </cell>
          <cell r="AQ122">
            <v>5347000</v>
          </cell>
          <cell r="AR122">
            <v>29983000</v>
          </cell>
          <cell r="AS122">
            <v>0.17833438948737618</v>
          </cell>
          <cell r="AT122">
            <v>11348000</v>
          </cell>
          <cell r="AU122">
            <v>29983000</v>
          </cell>
          <cell r="AV122">
            <v>0.37848113931227695</v>
          </cell>
          <cell r="AW122">
            <v>284000</v>
          </cell>
          <cell r="AX122">
            <v>29983000</v>
          </cell>
          <cell r="AY122">
            <v>9.4720341526865221E-3</v>
          </cell>
          <cell r="AZ122">
            <v>11254000</v>
          </cell>
          <cell r="BA122">
            <v>29983000</v>
          </cell>
          <cell r="BB122">
            <v>0.37534602941666945</v>
          </cell>
          <cell r="BC122">
            <v>1750000</v>
          </cell>
          <cell r="BD122">
            <v>29983000</v>
          </cell>
          <cell r="BE122">
            <v>5.8366407630990894E-2</v>
          </cell>
          <cell r="BF122">
            <v>27818000</v>
          </cell>
          <cell r="BG122">
            <v>14522</v>
          </cell>
          <cell r="BH122">
            <v>1915.5763668916127</v>
          </cell>
          <cell r="BI122">
            <v>3478000</v>
          </cell>
          <cell r="BJ122">
            <v>1886000</v>
          </cell>
          <cell r="BK122">
            <v>1.8441145281018028</v>
          </cell>
          <cell r="BL122">
            <v>602000</v>
          </cell>
          <cell r="BM122">
            <v>17937000</v>
          </cell>
          <cell r="BN122">
            <v>3.3561911133411386E-2</v>
          </cell>
          <cell r="BO122">
            <v>3920000</v>
          </cell>
          <cell r="BP122">
            <v>10332000</v>
          </cell>
          <cell r="BQ122">
            <v>0.37940379403794039</v>
          </cell>
          <cell r="BR122">
            <v>102</v>
          </cell>
          <cell r="BS122" t="str">
            <v>&lt;=2</v>
          </cell>
          <cell r="BT122" t="str">
            <v>&lt;=2</v>
          </cell>
          <cell r="BU122" t="str">
            <v>On Time</v>
          </cell>
          <cell r="BV122">
            <v>263000</v>
          </cell>
          <cell r="BW122">
            <v>14522</v>
          </cell>
          <cell r="BX122">
            <v>18.110453105632832</v>
          </cell>
          <cell r="BY122">
            <v>106017</v>
          </cell>
          <cell r="BZ122">
            <v>14522</v>
          </cell>
          <cell r="CA122">
            <v>7.3004407106459164</v>
          </cell>
          <cell r="CB122">
            <v>659000</v>
          </cell>
          <cell r="CC122">
            <v>3335</v>
          </cell>
          <cell r="CD122">
            <v>197.60119940029986</v>
          </cell>
          <cell r="CE122">
            <v>635669</v>
          </cell>
          <cell r="CF122">
            <v>3886</v>
          </cell>
          <cell r="CG122">
            <v>163.57925887802367</v>
          </cell>
          <cell r="CI122">
            <v>14522</v>
          </cell>
          <cell r="CJ122" t="str">
            <v>N/A</v>
          </cell>
          <cell r="CK122">
            <v>3712000</v>
          </cell>
          <cell r="CL122">
            <v>14522</v>
          </cell>
          <cell r="CM122">
            <v>255.61217463159343</v>
          </cell>
          <cell r="CN122">
            <v>332.31135675877698</v>
          </cell>
          <cell r="CO122">
            <v>256.31681243926101</v>
          </cell>
          <cell r="CP122">
            <v>286.47377318274198</v>
          </cell>
          <cell r="CQ122">
            <v>405</v>
          </cell>
          <cell r="CR122">
            <v>197</v>
          </cell>
          <cell r="CS122">
            <v>2634</v>
          </cell>
          <cell r="CT122">
            <v>197</v>
          </cell>
          <cell r="CU122">
            <v>13.370558375634518</v>
          </cell>
          <cell r="CV122">
            <v>12</v>
          </cell>
          <cell r="CW122">
            <v>4000</v>
          </cell>
          <cell r="CX122">
            <v>225000</v>
          </cell>
          <cell r="CY122">
            <v>1.7777777777777778E-2</v>
          </cell>
          <cell r="CZ122">
            <v>802000</v>
          </cell>
          <cell r="DA122">
            <v>14522</v>
          </cell>
          <cell r="DB122">
            <v>55.226552816416472</v>
          </cell>
          <cell r="DC122">
            <v>1718000</v>
          </cell>
          <cell r="DD122">
            <v>14522</v>
          </cell>
          <cell r="DE122">
            <v>118.30326401322132</v>
          </cell>
          <cell r="DF122">
            <v>417000</v>
          </cell>
          <cell r="DG122">
            <v>14522</v>
          </cell>
          <cell r="DH122">
            <v>28.715053022999587</v>
          </cell>
          <cell r="DI122">
            <v>13030.6</v>
          </cell>
          <cell r="DJ122">
            <v>1.1144536705907633</v>
          </cell>
          <cell r="DK122">
            <v>5.8011049723756905E-4</v>
          </cell>
          <cell r="DL122">
            <v>7.24</v>
          </cell>
          <cell r="DM122">
            <v>1.76</v>
          </cell>
        </row>
        <row r="123">
          <cell r="B123" t="str">
            <v>Narrandera Shire Council</v>
          </cell>
          <cell r="C123">
            <v>10</v>
          </cell>
          <cell r="D123">
            <v>707000</v>
          </cell>
          <cell r="E123">
            <v>2316</v>
          </cell>
          <cell r="F123">
            <v>305.26770293609673</v>
          </cell>
          <cell r="G123">
            <v>1857000</v>
          </cell>
          <cell r="H123">
            <v>789</v>
          </cell>
          <cell r="I123">
            <v>2353.6121673003804</v>
          </cell>
          <cell r="J123">
            <v>193000</v>
          </cell>
          <cell r="K123">
            <v>365</v>
          </cell>
          <cell r="L123">
            <v>528.76712328767121</v>
          </cell>
          <cell r="M123">
            <v>324000</v>
          </cell>
          <cell r="N123">
            <v>5842000</v>
          </cell>
          <cell r="O123">
            <v>5.5460458747004449E-2</v>
          </cell>
          <cell r="P123">
            <v>128000</v>
          </cell>
          <cell r="Q123">
            <v>4063000</v>
          </cell>
          <cell r="R123">
            <v>3.1503814915087372E-2</v>
          </cell>
          <cell r="S123">
            <v>257000</v>
          </cell>
          <cell r="T123">
            <v>1394000</v>
          </cell>
          <cell r="U123">
            <v>0.18436154949784792</v>
          </cell>
          <cell r="V123">
            <v>4191000</v>
          </cell>
          <cell r="W123">
            <v>11766000</v>
          </cell>
          <cell r="X123">
            <v>0.35619581845996939</v>
          </cell>
          <cell r="Y123">
            <v>1651000</v>
          </cell>
          <cell r="Z123">
            <v>11766000</v>
          </cell>
          <cell r="AA123">
            <v>0.14031956484786673</v>
          </cell>
          <cell r="AB123">
            <v>529000</v>
          </cell>
          <cell r="AC123">
            <v>11766000</v>
          </cell>
          <cell r="AD123">
            <v>4.4960054394016659E-2</v>
          </cell>
          <cell r="AE123">
            <v>3958000</v>
          </cell>
          <cell r="AF123">
            <v>11766000</v>
          </cell>
          <cell r="AG123">
            <v>0.33639299677035528</v>
          </cell>
          <cell r="AH123">
            <v>1176000</v>
          </cell>
          <cell r="AI123">
            <v>11766000</v>
          </cell>
          <cell r="AJ123">
            <v>9.9949005609382968E-2</v>
          </cell>
          <cell r="AK123">
            <v>261000</v>
          </cell>
          <cell r="AL123">
            <v>11766000</v>
          </cell>
          <cell r="AM123">
            <v>2.2182559918408975E-2</v>
          </cell>
          <cell r="AN123">
            <v>8688000</v>
          </cell>
          <cell r="AO123">
            <v>6716</v>
          </cell>
          <cell r="AP123">
            <v>1293.6271590232282</v>
          </cell>
          <cell r="AQ123">
            <v>3999000</v>
          </cell>
          <cell r="AR123">
            <v>9651000</v>
          </cell>
          <cell r="AS123">
            <v>0.41436120609263288</v>
          </cell>
          <cell r="AT123">
            <v>2591000</v>
          </cell>
          <cell r="AU123">
            <v>9651000</v>
          </cell>
          <cell r="AV123">
            <v>0.26846958864366388</v>
          </cell>
          <cell r="AW123">
            <v>11000</v>
          </cell>
          <cell r="AX123">
            <v>9651000</v>
          </cell>
          <cell r="AY123">
            <v>1.1397782613200705E-3</v>
          </cell>
          <cell r="AZ123">
            <v>1878000</v>
          </cell>
          <cell r="BA123">
            <v>9651000</v>
          </cell>
          <cell r="BB123">
            <v>0.19459123406900838</v>
          </cell>
          <cell r="BC123">
            <v>1172000</v>
          </cell>
          <cell r="BD123">
            <v>9651000</v>
          </cell>
          <cell r="BE123">
            <v>0.12143819293337478</v>
          </cell>
          <cell r="BF123">
            <v>8572000</v>
          </cell>
          <cell r="BG123">
            <v>6716</v>
          </cell>
          <cell r="BH123">
            <v>1276.3549731983323</v>
          </cell>
          <cell r="BI123">
            <v>4120000</v>
          </cell>
          <cell r="BJ123">
            <v>1042000</v>
          </cell>
          <cell r="BK123">
            <v>3.9539347408829175</v>
          </cell>
          <cell r="BL123">
            <v>71000</v>
          </cell>
          <cell r="BM123">
            <v>9300000</v>
          </cell>
          <cell r="BN123">
            <v>7.6344086021505374E-3</v>
          </cell>
          <cell r="BO123">
            <v>-142000</v>
          </cell>
          <cell r="BP123">
            <v>1585000</v>
          </cell>
          <cell r="BQ123">
            <v>-8.9589905362776029E-2</v>
          </cell>
          <cell r="BR123">
            <v>81</v>
          </cell>
          <cell r="BS123" t="str">
            <v>On Time</v>
          </cell>
          <cell r="BT123" t="str">
            <v>On Time</v>
          </cell>
          <cell r="BU123" t="str">
            <v>On Time</v>
          </cell>
          <cell r="BV123">
            <v>198000</v>
          </cell>
          <cell r="BW123">
            <v>6716</v>
          </cell>
          <cell r="BX123">
            <v>29.481834425253126</v>
          </cell>
          <cell r="BY123">
            <v>50243</v>
          </cell>
          <cell r="BZ123">
            <v>6716</v>
          </cell>
          <cell r="CA123">
            <v>7.4810899344848121</v>
          </cell>
          <cell r="CB123">
            <v>240000</v>
          </cell>
          <cell r="CC123">
            <v>2019</v>
          </cell>
          <cell r="CD123">
            <v>118.87072808320951</v>
          </cell>
          <cell r="CE123">
            <v>156604</v>
          </cell>
          <cell r="CF123">
            <v>1959</v>
          </cell>
          <cell r="CG123">
            <v>79.940786115364986</v>
          </cell>
          <cell r="CH123">
            <v>215000</v>
          </cell>
          <cell r="CI123">
            <v>6716</v>
          </cell>
          <cell r="CJ123">
            <v>32.013103037522335</v>
          </cell>
          <cell r="CK123">
            <v>2302400</v>
          </cell>
          <cell r="CL123">
            <v>6716</v>
          </cell>
          <cell r="CM123">
            <v>342.8231089934485</v>
          </cell>
          <cell r="CN123">
            <v>489.406902900891</v>
          </cell>
          <cell r="CO123">
            <v>278.00040072129798</v>
          </cell>
          <cell r="CP123">
            <v>381</v>
          </cell>
          <cell r="CQ123">
            <v>308</v>
          </cell>
          <cell r="CR123">
            <v>99</v>
          </cell>
          <cell r="CS123">
            <v>1863</v>
          </cell>
          <cell r="CT123">
            <v>99</v>
          </cell>
          <cell r="CU123">
            <v>18.818181818181817</v>
          </cell>
          <cell r="CV123">
            <v>8</v>
          </cell>
          <cell r="CW123">
            <v>5000</v>
          </cell>
          <cell r="CX123">
            <v>134000</v>
          </cell>
          <cell r="CY123">
            <v>3.7313432835820892E-2</v>
          </cell>
          <cell r="CZ123">
            <v>173000</v>
          </cell>
          <cell r="DA123">
            <v>6716</v>
          </cell>
          <cell r="DB123">
            <v>25.759380583680763</v>
          </cell>
          <cell r="DC123">
            <v>634000</v>
          </cell>
          <cell r="DD123">
            <v>6716</v>
          </cell>
          <cell r="DE123">
            <v>94.401429422275157</v>
          </cell>
          <cell r="DF123">
            <v>1338000</v>
          </cell>
          <cell r="DG123">
            <v>6716</v>
          </cell>
          <cell r="DH123">
            <v>199.22572960095295</v>
          </cell>
          <cell r="DI123">
            <v>4116.6000000000004</v>
          </cell>
          <cell r="DJ123">
            <v>1.6314434241850069</v>
          </cell>
          <cell r="DK123">
            <v>-1.5240715268225584E-2</v>
          </cell>
          <cell r="DL123">
            <v>7.6</v>
          </cell>
          <cell r="DM123">
            <v>2.0299999999999998</v>
          </cell>
        </row>
        <row r="124">
          <cell r="B124" t="str">
            <v>Narromine Shire Council</v>
          </cell>
          <cell r="C124">
            <v>10</v>
          </cell>
          <cell r="D124">
            <v>631000</v>
          </cell>
          <cell r="E124">
            <v>2037</v>
          </cell>
          <cell r="F124">
            <v>309.76926853215514</v>
          </cell>
          <cell r="G124">
            <v>1940000</v>
          </cell>
          <cell r="H124">
            <v>871</v>
          </cell>
          <cell r="I124">
            <v>2227.3249138920783</v>
          </cell>
          <cell r="J124">
            <v>238000</v>
          </cell>
          <cell r="K124">
            <v>284</v>
          </cell>
          <cell r="L124">
            <v>838.02816901408448</v>
          </cell>
          <cell r="M124">
            <v>424000</v>
          </cell>
          <cell r="N124">
            <v>5214000</v>
          </cell>
          <cell r="O124">
            <v>8.1319524357499035E-2</v>
          </cell>
          <cell r="P124">
            <v>130000</v>
          </cell>
          <cell r="Q124">
            <v>4043000</v>
          </cell>
          <cell r="R124">
            <v>3.215434083601286E-2</v>
          </cell>
          <cell r="S124">
            <v>361000</v>
          </cell>
          <cell r="T124">
            <v>680000</v>
          </cell>
          <cell r="U124">
            <v>0.53088235294117647</v>
          </cell>
          <cell r="V124">
            <v>4173000</v>
          </cell>
          <cell r="W124">
            <v>11802000</v>
          </cell>
          <cell r="X124">
            <v>0.3535841382816472</v>
          </cell>
          <cell r="Y124">
            <v>1041000</v>
          </cell>
          <cell r="Z124">
            <v>11802000</v>
          </cell>
          <cell r="AA124">
            <v>8.8205388917132685E-2</v>
          </cell>
          <cell r="AB124">
            <v>349000</v>
          </cell>
          <cell r="AC124">
            <v>11802000</v>
          </cell>
          <cell r="AD124">
            <v>2.9571259108625656E-2</v>
          </cell>
          <cell r="AE124">
            <v>4343000</v>
          </cell>
          <cell r="AF124">
            <v>11802000</v>
          </cell>
          <cell r="AG124">
            <v>0.36798847652940181</v>
          </cell>
          <cell r="AH124">
            <v>1346000</v>
          </cell>
          <cell r="AI124">
            <v>11802000</v>
          </cell>
          <cell r="AJ124">
            <v>0.11404846636163363</v>
          </cell>
          <cell r="AK124">
            <v>550000</v>
          </cell>
          <cell r="AL124">
            <v>11802000</v>
          </cell>
          <cell r="AM124">
            <v>4.6602270801559056E-2</v>
          </cell>
          <cell r="AN124">
            <v>8097000</v>
          </cell>
          <cell r="AO124">
            <v>7084</v>
          </cell>
          <cell r="AP124">
            <v>1142.9983060417842</v>
          </cell>
          <cell r="AQ124">
            <v>3605000</v>
          </cell>
          <cell r="AR124">
            <v>14849000</v>
          </cell>
          <cell r="AS124">
            <v>0.24277729140009427</v>
          </cell>
          <cell r="AT124">
            <v>4379000</v>
          </cell>
          <cell r="AU124">
            <v>14849000</v>
          </cell>
          <cell r="AV124">
            <v>0.29490201360360968</v>
          </cell>
          <cell r="AW124">
            <v>19000</v>
          </cell>
          <cell r="AX124">
            <v>14849000</v>
          </cell>
          <cell r="AY124">
            <v>1.2795474442723416E-3</v>
          </cell>
          <cell r="AZ124">
            <v>5377000</v>
          </cell>
          <cell r="BA124">
            <v>14849000</v>
          </cell>
          <cell r="BB124">
            <v>0.36211192672907266</v>
          </cell>
          <cell r="BC124">
            <v>1469000</v>
          </cell>
          <cell r="BD124">
            <v>14849000</v>
          </cell>
          <cell r="BE124">
            <v>9.8929220822951039E-2</v>
          </cell>
          <cell r="BF124">
            <v>13199000</v>
          </cell>
          <cell r="BG124">
            <v>7084</v>
          </cell>
          <cell r="BH124">
            <v>1863.2128740824394</v>
          </cell>
          <cell r="BI124">
            <v>2296000</v>
          </cell>
          <cell r="BJ124">
            <v>1281000</v>
          </cell>
          <cell r="BK124">
            <v>1.7923497267759563</v>
          </cell>
          <cell r="BL124">
            <v>81000</v>
          </cell>
          <cell r="BM124">
            <v>8498000</v>
          </cell>
          <cell r="BN124">
            <v>9.5316545069428094E-3</v>
          </cell>
          <cell r="BO124">
            <v>2243000</v>
          </cell>
          <cell r="BP124">
            <v>4847000</v>
          </cell>
          <cell r="BQ124">
            <v>0.46276047039405815</v>
          </cell>
          <cell r="BR124">
            <v>72.900000000000006</v>
          </cell>
          <cell r="BS124" t="str">
            <v>On Time</v>
          </cell>
          <cell r="BT124" t="str">
            <v>On Time</v>
          </cell>
          <cell r="BU124" t="str">
            <v>On Time</v>
          </cell>
          <cell r="BV124">
            <v>184000</v>
          </cell>
          <cell r="BW124">
            <v>7084</v>
          </cell>
          <cell r="BX124">
            <v>25.974025974025974</v>
          </cell>
          <cell r="BY124">
            <v>35160</v>
          </cell>
          <cell r="BZ124">
            <v>7084</v>
          </cell>
          <cell r="CA124">
            <v>4.9632975719932242</v>
          </cell>
          <cell r="CB124">
            <v>168000</v>
          </cell>
          <cell r="CC124">
            <v>1722</v>
          </cell>
          <cell r="CD124">
            <v>97.560975609756099</v>
          </cell>
          <cell r="CE124">
            <v>119396</v>
          </cell>
          <cell r="CF124">
            <v>1889</v>
          </cell>
          <cell r="CG124">
            <v>63.205929062996297</v>
          </cell>
          <cell r="CH124">
            <v>1720000</v>
          </cell>
          <cell r="CI124">
            <v>7084</v>
          </cell>
          <cell r="CJ124">
            <v>242.80067758328627</v>
          </cell>
          <cell r="CK124">
            <v>1969000</v>
          </cell>
          <cell r="CL124">
            <v>7084</v>
          </cell>
          <cell r="CM124">
            <v>277.9503105590062</v>
          </cell>
          <cell r="CN124">
            <v>355</v>
          </cell>
          <cell r="CO124">
            <v>370.95141700404901</v>
          </cell>
          <cell r="CP124">
            <v>425</v>
          </cell>
          <cell r="CQ124">
            <v>510</v>
          </cell>
          <cell r="CR124">
            <v>106</v>
          </cell>
          <cell r="CS124">
            <v>2553</v>
          </cell>
          <cell r="CT124">
            <v>106</v>
          </cell>
          <cell r="CU124">
            <v>24.084905660377359</v>
          </cell>
          <cell r="CV124">
            <v>15</v>
          </cell>
          <cell r="CW124">
            <v>25000</v>
          </cell>
          <cell r="CX124">
            <v>178000</v>
          </cell>
          <cell r="CY124">
            <v>0.1404494382022472</v>
          </cell>
          <cell r="CZ124">
            <v>132000</v>
          </cell>
          <cell r="DA124">
            <v>7084</v>
          </cell>
          <cell r="DB124">
            <v>18.633540372670808</v>
          </cell>
          <cell r="DC124">
            <v>604000</v>
          </cell>
          <cell r="DD124">
            <v>7084</v>
          </cell>
          <cell r="DE124">
            <v>85.262563523433087</v>
          </cell>
          <cell r="DF124">
            <v>533000</v>
          </cell>
          <cell r="DG124">
            <v>7084</v>
          </cell>
          <cell r="DH124">
            <v>75.239977413890458</v>
          </cell>
          <cell r="DI124">
            <v>5263.6</v>
          </cell>
          <cell r="DJ124">
            <v>1.3458469488562961</v>
          </cell>
          <cell r="DK124">
            <v>-6.4480874316939895E-3</v>
          </cell>
          <cell r="DL124">
            <v>11.95</v>
          </cell>
          <cell r="DM124">
            <v>1.46</v>
          </cell>
        </row>
        <row r="125">
          <cell r="B125" t="str">
            <v>Newcastle City Council</v>
          </cell>
          <cell r="C125">
            <v>5</v>
          </cell>
          <cell r="D125">
            <v>33297000</v>
          </cell>
          <cell r="E125">
            <v>54799</v>
          </cell>
          <cell r="F125">
            <v>607.62057701782874</v>
          </cell>
          <cell r="G125">
            <v>41000</v>
          </cell>
          <cell r="H125">
            <v>27</v>
          </cell>
          <cell r="I125">
            <v>1518.5185185185185</v>
          </cell>
          <cell r="J125">
            <v>21538000</v>
          </cell>
          <cell r="K125">
            <v>4127</v>
          </cell>
          <cell r="L125">
            <v>5218.8030046038284</v>
          </cell>
          <cell r="M125">
            <v>8070000</v>
          </cell>
          <cell r="N125">
            <v>91129000</v>
          </cell>
          <cell r="O125">
            <v>8.8555783559569404E-2</v>
          </cell>
          <cell r="P125">
            <v>3504000</v>
          </cell>
          <cell r="Q125">
            <v>61497000</v>
          </cell>
          <cell r="R125">
            <v>5.6978389189716573E-2</v>
          </cell>
          <cell r="S125">
            <v>-527000</v>
          </cell>
          <cell r="T125">
            <v>26655000</v>
          </cell>
          <cell r="U125">
            <v>-1.9771149878071655E-2</v>
          </cell>
          <cell r="V125">
            <v>65001000</v>
          </cell>
          <cell r="W125">
            <v>118088000</v>
          </cell>
          <cell r="X125">
            <v>0.55044543052638706</v>
          </cell>
          <cell r="Y125">
            <v>26128000</v>
          </cell>
          <cell r="Z125">
            <v>118088000</v>
          </cell>
          <cell r="AA125">
            <v>0.22125872230878665</v>
          </cell>
          <cell r="AB125">
            <v>3762000</v>
          </cell>
          <cell r="AC125">
            <v>118088000</v>
          </cell>
          <cell r="AD125">
            <v>3.1857597723731451E-2</v>
          </cell>
          <cell r="AE125">
            <v>15748000</v>
          </cell>
          <cell r="AF125">
            <v>118088000</v>
          </cell>
          <cell r="AG125">
            <v>0.13335817356547661</v>
          </cell>
          <cell r="AH125">
            <v>6633000</v>
          </cell>
          <cell r="AI125">
            <v>118088000</v>
          </cell>
          <cell r="AJ125">
            <v>5.6169974933947563E-2</v>
          </cell>
          <cell r="AK125">
            <v>816000</v>
          </cell>
          <cell r="AL125">
            <v>118088000</v>
          </cell>
          <cell r="AM125">
            <v>6.9101009416706188E-3</v>
          </cell>
          <cell r="AN125">
            <v>111641000</v>
          </cell>
          <cell r="AO125">
            <v>143074</v>
          </cell>
          <cell r="AP125">
            <v>780.30250080377982</v>
          </cell>
          <cell r="AQ125">
            <v>52849000</v>
          </cell>
          <cell r="AR125">
            <v>120140000</v>
          </cell>
          <cell r="AS125">
            <v>0.43989512235724987</v>
          </cell>
          <cell r="AT125">
            <v>28404000</v>
          </cell>
          <cell r="AU125">
            <v>120140000</v>
          </cell>
          <cell r="AV125">
            <v>0.23642417179956718</v>
          </cell>
          <cell r="AW125">
            <v>1162000</v>
          </cell>
          <cell r="AX125">
            <v>120140000</v>
          </cell>
          <cell r="AY125">
            <v>9.6720492758448472E-3</v>
          </cell>
          <cell r="AZ125">
            <v>26199000</v>
          </cell>
          <cell r="BA125">
            <v>120140000</v>
          </cell>
          <cell r="BB125">
            <v>0.21807058431829532</v>
          </cell>
          <cell r="BC125">
            <v>11526000</v>
          </cell>
          <cell r="BD125">
            <v>120140000</v>
          </cell>
          <cell r="BE125">
            <v>9.5938072249042786E-2</v>
          </cell>
          <cell r="BF125">
            <v>120140000</v>
          </cell>
          <cell r="BG125">
            <v>143074</v>
          </cell>
          <cell r="BH125">
            <v>839.7053273131387</v>
          </cell>
          <cell r="BI125">
            <v>31078000</v>
          </cell>
          <cell r="BJ125">
            <v>18100000</v>
          </cell>
          <cell r="BK125">
            <v>1.7170165745856354</v>
          </cell>
          <cell r="BL125">
            <v>5734000</v>
          </cell>
          <cell r="BM125">
            <v>107169000</v>
          </cell>
          <cell r="BN125">
            <v>5.3504278289430711E-2</v>
          </cell>
          <cell r="BO125">
            <v>12781000</v>
          </cell>
          <cell r="BP125">
            <v>26199000</v>
          </cell>
          <cell r="BQ125">
            <v>0.48784304744455897</v>
          </cell>
          <cell r="BR125">
            <v>924.5</v>
          </cell>
          <cell r="BS125" t="str">
            <v>On Time</v>
          </cell>
          <cell r="BT125" t="str">
            <v>On Time</v>
          </cell>
          <cell r="BU125" t="str">
            <v>On Time</v>
          </cell>
          <cell r="BV125">
            <v>5452000</v>
          </cell>
          <cell r="BW125">
            <v>143074</v>
          </cell>
          <cell r="BX125">
            <v>38.106154856927184</v>
          </cell>
          <cell r="BY125">
            <v>1584734</v>
          </cell>
          <cell r="BZ125">
            <v>143074</v>
          </cell>
          <cell r="CA125">
            <v>11.076324139955547</v>
          </cell>
          <cell r="CB125">
            <v>8807000</v>
          </cell>
          <cell r="CC125">
            <v>54807</v>
          </cell>
          <cell r="CD125">
            <v>160.69115258999761</v>
          </cell>
          <cell r="CE125">
            <v>6909988</v>
          </cell>
          <cell r="CF125">
            <v>54807</v>
          </cell>
          <cell r="CG125">
            <v>126.07856660645538</v>
          </cell>
          <cell r="CH125">
            <v>28008914</v>
          </cell>
          <cell r="CI125">
            <v>143074</v>
          </cell>
          <cell r="CJ125">
            <v>195.76522638634552</v>
          </cell>
          <cell r="CK125">
            <v>43407967</v>
          </cell>
          <cell r="CL125">
            <v>143074</v>
          </cell>
          <cell r="CM125">
            <v>303.39521506353356</v>
          </cell>
          <cell r="CN125" t="str">
            <v>N/A</v>
          </cell>
          <cell r="CO125" t="str">
            <v>N/A</v>
          </cell>
          <cell r="CP125" t="str">
            <v>N/A</v>
          </cell>
          <cell r="CQ125" t="str">
            <v>N/A</v>
          </cell>
          <cell r="CR125">
            <v>2659</v>
          </cell>
          <cell r="CS125">
            <v>89989</v>
          </cell>
          <cell r="CT125">
            <v>2659</v>
          </cell>
          <cell r="CU125">
            <v>33.843174125611135</v>
          </cell>
          <cell r="CV125">
            <v>22</v>
          </cell>
          <cell r="CW125">
            <v>213000</v>
          </cell>
          <cell r="CX125">
            <v>6122000</v>
          </cell>
          <cell r="CY125">
            <v>3.4792551453773274E-2</v>
          </cell>
          <cell r="CZ125">
            <v>3637000</v>
          </cell>
          <cell r="DA125">
            <v>143074</v>
          </cell>
          <cell r="DB125">
            <v>25.420411814865034</v>
          </cell>
          <cell r="DC125">
            <v>15396000</v>
          </cell>
          <cell r="DD125">
            <v>143074</v>
          </cell>
          <cell r="DE125">
            <v>107.60865006919497</v>
          </cell>
          <cell r="DF125">
            <v>3476000</v>
          </cell>
          <cell r="DG125">
            <v>143074</v>
          </cell>
          <cell r="DH125">
            <v>24.295120007828118</v>
          </cell>
          <cell r="DI125">
            <v>182.6</v>
          </cell>
          <cell r="DJ125">
            <v>783.53778751369111</v>
          </cell>
          <cell r="DK125">
            <v>6.1287998847428327E-3</v>
          </cell>
          <cell r="DL125">
            <v>1.4</v>
          </cell>
          <cell r="DM125">
            <v>7.36</v>
          </cell>
        </row>
        <row r="126">
          <cell r="B126" t="str">
            <v>North Sydney Council</v>
          </cell>
          <cell r="C126">
            <v>2</v>
          </cell>
          <cell r="D126">
            <v>10617000</v>
          </cell>
          <cell r="E126">
            <v>29998</v>
          </cell>
          <cell r="F126">
            <v>353.92359490632708</v>
          </cell>
          <cell r="G126">
            <v>0</v>
          </cell>
          <cell r="H126">
            <v>0</v>
          </cell>
          <cell r="I126" t="str">
            <v>N/A</v>
          </cell>
          <cell r="J126">
            <v>6797000</v>
          </cell>
          <cell r="K126">
            <v>2970</v>
          </cell>
          <cell r="L126">
            <v>2288.5521885521885</v>
          </cell>
          <cell r="M126">
            <v>1038000</v>
          </cell>
          <cell r="N126">
            <v>40523000</v>
          </cell>
          <cell r="O126">
            <v>2.5615082792488218E-2</v>
          </cell>
          <cell r="P126">
            <v>1247000</v>
          </cell>
          <cell r="Q126">
            <v>22461000</v>
          </cell>
          <cell r="R126">
            <v>5.5518454209518724E-2</v>
          </cell>
          <cell r="S126">
            <v>2051000</v>
          </cell>
          <cell r="T126">
            <v>14764000</v>
          </cell>
          <cell r="U126">
            <v>0.13891899214305067</v>
          </cell>
          <cell r="V126">
            <v>23708000</v>
          </cell>
          <cell r="W126">
            <v>52114000</v>
          </cell>
          <cell r="X126">
            <v>0.45492573972445022</v>
          </cell>
          <cell r="Y126">
            <v>16815000</v>
          </cell>
          <cell r="Z126">
            <v>52114000</v>
          </cell>
          <cell r="AA126">
            <v>0.32265801895843726</v>
          </cell>
          <cell r="AB126">
            <v>1622000</v>
          </cell>
          <cell r="AC126">
            <v>52114000</v>
          </cell>
          <cell r="AD126">
            <v>3.112407414514334E-2</v>
          </cell>
          <cell r="AE126">
            <v>2631000</v>
          </cell>
          <cell r="AF126">
            <v>52114000</v>
          </cell>
          <cell r="AG126">
            <v>5.0485474152818823E-2</v>
          </cell>
          <cell r="AH126">
            <v>5756000</v>
          </cell>
          <cell r="AI126">
            <v>52114000</v>
          </cell>
          <cell r="AJ126">
            <v>0.11045016694170473</v>
          </cell>
          <cell r="AK126">
            <v>1582000</v>
          </cell>
          <cell r="AL126">
            <v>52114000</v>
          </cell>
          <cell r="AM126">
            <v>3.03565260774456E-2</v>
          </cell>
          <cell r="AN126">
            <v>46610000</v>
          </cell>
          <cell r="AO126">
            <v>59387</v>
          </cell>
          <cell r="AP126">
            <v>784.85190361526929</v>
          </cell>
          <cell r="AQ126">
            <v>18036000</v>
          </cell>
          <cell r="AR126">
            <v>49487000</v>
          </cell>
          <cell r="AS126">
            <v>0.36445935296138382</v>
          </cell>
          <cell r="AT126">
            <v>14701000</v>
          </cell>
          <cell r="AU126">
            <v>49487000</v>
          </cell>
          <cell r="AV126">
            <v>0.29706791682664135</v>
          </cell>
          <cell r="AW126">
            <v>0</v>
          </cell>
          <cell r="AX126">
            <v>49487000</v>
          </cell>
          <cell r="AY126">
            <v>0</v>
          </cell>
          <cell r="AZ126">
            <v>10466000</v>
          </cell>
          <cell r="BA126">
            <v>49487000</v>
          </cell>
          <cell r="BB126">
            <v>0.211489886232748</v>
          </cell>
          <cell r="BC126">
            <v>6284000</v>
          </cell>
          <cell r="BD126">
            <v>49487000</v>
          </cell>
          <cell r="BE126">
            <v>0.12698284397922688</v>
          </cell>
          <cell r="BF126">
            <v>49506000</v>
          </cell>
          <cell r="BG126">
            <v>59387</v>
          </cell>
          <cell r="BH126">
            <v>833.61678481822617</v>
          </cell>
          <cell r="BI126">
            <v>24014000</v>
          </cell>
          <cell r="BJ126">
            <v>9211000</v>
          </cell>
          <cell r="BK126">
            <v>2.6071002062751059</v>
          </cell>
          <cell r="BL126">
            <v>0</v>
          </cell>
          <cell r="BM126">
            <v>45168000</v>
          </cell>
          <cell r="BN126">
            <v>0</v>
          </cell>
          <cell r="BO126">
            <v>12124000</v>
          </cell>
          <cell r="BP126">
            <v>10466000</v>
          </cell>
          <cell r="BQ126">
            <v>1.1584177336136059</v>
          </cell>
          <cell r="BR126">
            <v>280</v>
          </cell>
          <cell r="BS126" t="str">
            <v>On Time</v>
          </cell>
          <cell r="BT126" t="str">
            <v>&lt;=2</v>
          </cell>
          <cell r="BU126" t="str">
            <v>On Time</v>
          </cell>
          <cell r="BV126">
            <v>2137000</v>
          </cell>
          <cell r="BW126">
            <v>59387</v>
          </cell>
          <cell r="BX126">
            <v>35.984306329668108</v>
          </cell>
          <cell r="BY126">
            <v>571041</v>
          </cell>
          <cell r="BZ126">
            <v>59387</v>
          </cell>
          <cell r="CA126">
            <v>9.61558927037904</v>
          </cell>
          <cell r="CB126">
            <v>5685000</v>
          </cell>
          <cell r="CC126">
            <v>32677</v>
          </cell>
          <cell r="CD126">
            <v>173.97557915353306</v>
          </cell>
          <cell r="CE126">
            <v>3955000</v>
          </cell>
          <cell r="CF126">
            <v>32677</v>
          </cell>
          <cell r="CG126">
            <v>121.03314257734799</v>
          </cell>
          <cell r="CH126">
            <v>9013000</v>
          </cell>
          <cell r="CI126">
            <v>59387</v>
          </cell>
          <cell r="CJ126">
            <v>151.76722178254499</v>
          </cell>
          <cell r="CK126">
            <v>11902000</v>
          </cell>
          <cell r="CL126">
            <v>59387</v>
          </cell>
          <cell r="CM126">
            <v>200.41423207099197</v>
          </cell>
          <cell r="CN126" t="str">
            <v>N/A</v>
          </cell>
          <cell r="CO126" t="str">
            <v>N/A</v>
          </cell>
          <cell r="CP126" t="str">
            <v>N/A</v>
          </cell>
          <cell r="CQ126" t="str">
            <v>N/A</v>
          </cell>
          <cell r="CR126">
            <v>1093</v>
          </cell>
          <cell r="CS126">
            <v>104381</v>
          </cell>
          <cell r="CT126">
            <v>1093</v>
          </cell>
          <cell r="CU126">
            <v>95.499542543458375</v>
          </cell>
          <cell r="CV126">
            <v>71</v>
          </cell>
          <cell r="CW126">
            <v>933000</v>
          </cell>
          <cell r="CX126">
            <v>2397000</v>
          </cell>
          <cell r="CY126">
            <v>0.38923654568210264</v>
          </cell>
          <cell r="CZ126">
            <v>1673000</v>
          </cell>
          <cell r="DA126">
            <v>59387</v>
          </cell>
          <cell r="DB126">
            <v>28.171148567868389</v>
          </cell>
          <cell r="DC126">
            <v>4297000</v>
          </cell>
          <cell r="DD126">
            <v>59387</v>
          </cell>
          <cell r="DE126">
            <v>72.355902807011631</v>
          </cell>
          <cell r="DF126">
            <v>1772000</v>
          </cell>
          <cell r="DG126">
            <v>59387</v>
          </cell>
          <cell r="DH126">
            <v>29.838180073079968</v>
          </cell>
          <cell r="DI126">
            <v>10.5</v>
          </cell>
          <cell r="DJ126">
            <v>5655.9047619047615</v>
          </cell>
          <cell r="DK126">
            <v>2.242322097378277E-2</v>
          </cell>
          <cell r="DL126">
            <v>0.15</v>
          </cell>
          <cell r="DM126">
            <v>16.690000000000001</v>
          </cell>
        </row>
        <row r="127">
          <cell r="B127" t="str">
            <v>Nundle Shire Council</v>
          </cell>
          <cell r="C127">
            <v>8</v>
          </cell>
          <cell r="D127">
            <v>123000</v>
          </cell>
          <cell r="E127">
            <v>527</v>
          </cell>
          <cell r="F127">
            <v>233.39658444022771</v>
          </cell>
          <cell r="G127">
            <v>378000</v>
          </cell>
          <cell r="H127">
            <v>263</v>
          </cell>
          <cell r="I127">
            <v>1437.2623574144486</v>
          </cell>
          <cell r="J127">
            <v>15000</v>
          </cell>
          <cell r="K127">
            <v>59</v>
          </cell>
          <cell r="L127">
            <v>254.23728813559322</v>
          </cell>
          <cell r="M127">
            <v>197000</v>
          </cell>
          <cell r="N127">
            <v>899000</v>
          </cell>
          <cell r="O127">
            <v>0.21913236929922136</v>
          </cell>
          <cell r="P127">
            <v>20000</v>
          </cell>
          <cell r="Q127">
            <v>599000</v>
          </cell>
          <cell r="R127">
            <v>3.3388981636060099E-2</v>
          </cell>
          <cell r="S127">
            <v>168000</v>
          </cell>
          <cell r="T127">
            <v>112000</v>
          </cell>
          <cell r="U127">
            <v>1.5</v>
          </cell>
          <cell r="V127">
            <v>619000</v>
          </cell>
          <cell r="W127">
            <v>3705000</v>
          </cell>
          <cell r="X127">
            <v>0.16707152496626182</v>
          </cell>
          <cell r="Y127">
            <v>280000</v>
          </cell>
          <cell r="Z127">
            <v>3705000</v>
          </cell>
          <cell r="AA127">
            <v>7.5573549257759789E-2</v>
          </cell>
          <cell r="AB127">
            <v>10000</v>
          </cell>
          <cell r="AC127">
            <v>3705000</v>
          </cell>
          <cell r="AD127">
            <v>2.6990553306342779E-3</v>
          </cell>
          <cell r="AE127">
            <v>2215000</v>
          </cell>
          <cell r="AF127">
            <v>3705000</v>
          </cell>
          <cell r="AG127">
            <v>0.59784075573549256</v>
          </cell>
          <cell r="AH127">
            <v>560000</v>
          </cell>
          <cell r="AI127">
            <v>3705000</v>
          </cell>
          <cell r="AJ127">
            <v>0.15114709851551958</v>
          </cell>
          <cell r="AK127">
            <v>21000</v>
          </cell>
          <cell r="AL127">
            <v>3705000</v>
          </cell>
          <cell r="AM127">
            <v>5.6680161943319842E-3</v>
          </cell>
          <cell r="AN127">
            <v>2558000</v>
          </cell>
          <cell r="AO127">
            <v>1337</v>
          </cell>
          <cell r="AP127">
            <v>1913.238593866866</v>
          </cell>
          <cell r="AQ127">
            <v>927000</v>
          </cell>
          <cell r="AR127">
            <v>3438000</v>
          </cell>
          <cell r="AS127">
            <v>0.26963350785340312</v>
          </cell>
          <cell r="AT127">
            <v>1176000</v>
          </cell>
          <cell r="AU127">
            <v>3438000</v>
          </cell>
          <cell r="AV127">
            <v>0.34205933682373474</v>
          </cell>
          <cell r="AW127">
            <v>26000</v>
          </cell>
          <cell r="AX127">
            <v>3438000</v>
          </cell>
          <cell r="AY127">
            <v>7.5625363583478765E-3</v>
          </cell>
          <cell r="AZ127">
            <v>934000</v>
          </cell>
          <cell r="BA127">
            <v>3438000</v>
          </cell>
          <cell r="BB127">
            <v>0.27166957533449682</v>
          </cell>
          <cell r="BC127">
            <v>375000</v>
          </cell>
          <cell r="BD127">
            <v>3438000</v>
          </cell>
          <cell r="BE127">
            <v>0.10907504363001745</v>
          </cell>
          <cell r="BF127">
            <v>3232000</v>
          </cell>
          <cell r="BG127">
            <v>1337</v>
          </cell>
          <cell r="BH127">
            <v>2417.3522812266269</v>
          </cell>
          <cell r="BI127">
            <v>523000</v>
          </cell>
          <cell r="BJ127">
            <v>544000</v>
          </cell>
          <cell r="BK127">
            <v>0.96139705882352944</v>
          </cell>
          <cell r="BL127">
            <v>59000</v>
          </cell>
          <cell r="BM127">
            <v>1394000</v>
          </cell>
          <cell r="BN127">
            <v>4.2324246771879487E-2</v>
          </cell>
          <cell r="BO127">
            <v>768000</v>
          </cell>
          <cell r="BP127">
            <v>878000</v>
          </cell>
          <cell r="BQ127">
            <v>0.87471526195899774</v>
          </cell>
          <cell r="BR127">
            <v>24</v>
          </cell>
          <cell r="BS127" t="str">
            <v>Not Received</v>
          </cell>
          <cell r="BT127" t="str">
            <v>Not Received</v>
          </cell>
          <cell r="BU127" t="str">
            <v>On Time</v>
          </cell>
          <cell r="BV127">
            <v>41000</v>
          </cell>
          <cell r="BW127">
            <v>1337</v>
          </cell>
          <cell r="BX127">
            <v>30.665669409124906</v>
          </cell>
          <cell r="BY127">
            <v>9407</v>
          </cell>
          <cell r="BZ127">
            <v>1337</v>
          </cell>
          <cell r="CA127">
            <v>7.0359012715033655</v>
          </cell>
          <cell r="CB127">
            <v>0</v>
          </cell>
          <cell r="CC127">
            <v>0</v>
          </cell>
          <cell r="CD127" t="str">
            <v>N/A</v>
          </cell>
          <cell r="CE127">
            <v>0</v>
          </cell>
          <cell r="CF127">
            <v>0</v>
          </cell>
          <cell r="CG127" t="str">
            <v>N/A</v>
          </cell>
          <cell r="CI127">
            <v>1337</v>
          </cell>
          <cell r="CJ127" t="str">
            <v>N/A</v>
          </cell>
          <cell r="CL127">
            <v>1337</v>
          </cell>
          <cell r="CM127" t="str">
            <v>N/A</v>
          </cell>
          <cell r="CN127">
            <v>524.85639564750397</v>
          </cell>
          <cell r="CO127">
            <v>912</v>
          </cell>
          <cell r="CP127" t="str">
            <v>N/A</v>
          </cell>
          <cell r="CQ127" t="str">
            <v>N/A</v>
          </cell>
          <cell r="CR127">
            <v>29</v>
          </cell>
          <cell r="CS127">
            <v>1723</v>
          </cell>
          <cell r="CT127">
            <v>29</v>
          </cell>
          <cell r="CU127">
            <v>59.413793103448278</v>
          </cell>
          <cell r="CV127">
            <v>51</v>
          </cell>
          <cell r="CW127">
            <v>0</v>
          </cell>
          <cell r="CX127">
            <v>32000</v>
          </cell>
          <cell r="CY127">
            <v>0</v>
          </cell>
          <cell r="CZ127">
            <v>30000</v>
          </cell>
          <cell r="DA127">
            <v>1337</v>
          </cell>
          <cell r="DB127">
            <v>22.438294689603591</v>
          </cell>
          <cell r="DC127">
            <v>71000</v>
          </cell>
          <cell r="DD127">
            <v>1337</v>
          </cell>
          <cell r="DE127">
            <v>53.103964098728497</v>
          </cell>
          <cell r="DF127">
            <v>62000</v>
          </cell>
          <cell r="DG127">
            <v>1337</v>
          </cell>
          <cell r="DH127">
            <v>46.37247569184742</v>
          </cell>
          <cell r="DI127">
            <v>1601.1</v>
          </cell>
          <cell r="DJ127">
            <v>0.83505090250452818</v>
          </cell>
          <cell r="DK127">
            <v>-8.9999999999999993E-3</v>
          </cell>
          <cell r="DL127">
            <v>4.12</v>
          </cell>
          <cell r="DM127">
            <v>2.14</v>
          </cell>
        </row>
        <row r="128">
          <cell r="B128" t="str">
            <v>Nymboida Shire Council</v>
          </cell>
          <cell r="C128" t="str">
            <v>A</v>
          </cell>
          <cell r="F128">
            <v>0</v>
          </cell>
          <cell r="I128">
            <v>0</v>
          </cell>
          <cell r="L128">
            <v>0</v>
          </cell>
          <cell r="O128">
            <v>0</v>
          </cell>
          <cell r="R128">
            <v>0</v>
          </cell>
          <cell r="U128">
            <v>0</v>
          </cell>
          <cell r="X128">
            <v>0</v>
          </cell>
          <cell r="Z128">
            <v>0</v>
          </cell>
          <cell r="AA128">
            <v>0</v>
          </cell>
          <cell r="AC128">
            <v>0</v>
          </cell>
          <cell r="AD128">
            <v>0</v>
          </cell>
          <cell r="AF128">
            <v>0</v>
          </cell>
          <cell r="AG128">
            <v>0</v>
          </cell>
          <cell r="AI128">
            <v>0</v>
          </cell>
          <cell r="AJ128">
            <v>0</v>
          </cell>
          <cell r="AL128">
            <v>0</v>
          </cell>
          <cell r="AM128">
            <v>0</v>
          </cell>
          <cell r="AP128">
            <v>0</v>
          </cell>
          <cell r="AS128">
            <v>0</v>
          </cell>
          <cell r="AU128">
            <v>0</v>
          </cell>
          <cell r="AV128">
            <v>0</v>
          </cell>
          <cell r="AX128">
            <v>0</v>
          </cell>
          <cell r="AY128">
            <v>0</v>
          </cell>
          <cell r="BA128">
            <v>0</v>
          </cell>
          <cell r="BB128">
            <v>0</v>
          </cell>
          <cell r="BD128">
            <v>0</v>
          </cell>
          <cell r="BE128">
            <v>0</v>
          </cell>
          <cell r="BG128">
            <v>0</v>
          </cell>
          <cell r="BH128">
            <v>0</v>
          </cell>
          <cell r="BK128">
            <v>0</v>
          </cell>
          <cell r="BN128">
            <v>0</v>
          </cell>
          <cell r="BQ128">
            <v>0</v>
          </cell>
          <cell r="BW128">
            <v>0</v>
          </cell>
          <cell r="BX128">
            <v>0</v>
          </cell>
          <cell r="BZ128">
            <v>0</v>
          </cell>
          <cell r="CA128">
            <v>0</v>
          </cell>
          <cell r="CD128">
            <v>0</v>
          </cell>
          <cell r="CG128">
            <v>0</v>
          </cell>
          <cell r="CI128">
            <v>0</v>
          </cell>
          <cell r="CJ128">
            <v>0</v>
          </cell>
          <cell r="CL128">
            <v>0</v>
          </cell>
          <cell r="CM128">
            <v>0</v>
          </cell>
          <cell r="CT128">
            <v>0</v>
          </cell>
          <cell r="CU128">
            <v>0</v>
          </cell>
          <cell r="CY128">
            <v>0</v>
          </cell>
          <cell r="DA128">
            <v>0</v>
          </cell>
          <cell r="DB128">
            <v>0</v>
          </cell>
          <cell r="DD128">
            <v>0</v>
          </cell>
          <cell r="DE128">
            <v>0</v>
          </cell>
          <cell r="DG128">
            <v>0</v>
          </cell>
          <cell r="DH128">
            <v>0</v>
          </cell>
          <cell r="DK128">
            <v>-0.2</v>
          </cell>
        </row>
        <row r="129">
          <cell r="B129" t="str">
            <v>Oberon Council</v>
          </cell>
          <cell r="C129">
            <v>9</v>
          </cell>
          <cell r="D129">
            <v>562000</v>
          </cell>
          <cell r="E129">
            <v>1757</v>
          </cell>
          <cell r="F129">
            <v>319.8634035287422</v>
          </cell>
          <cell r="G129">
            <v>826000</v>
          </cell>
          <cell r="H129">
            <v>789</v>
          </cell>
          <cell r="I129">
            <v>1046.8948035487958</v>
          </cell>
          <cell r="J129">
            <v>92000</v>
          </cell>
          <cell r="K129">
            <v>201</v>
          </cell>
          <cell r="L129">
            <v>457.71144278606965</v>
          </cell>
          <cell r="M129">
            <v>672000</v>
          </cell>
          <cell r="N129">
            <v>4972000</v>
          </cell>
          <cell r="O129">
            <v>0.13515687851971037</v>
          </cell>
          <cell r="P129">
            <v>87000</v>
          </cell>
          <cell r="Q129">
            <v>2365000</v>
          </cell>
          <cell r="R129">
            <v>3.6786469344608878E-2</v>
          </cell>
          <cell r="S129">
            <v>-228000</v>
          </cell>
          <cell r="T129">
            <v>2748000</v>
          </cell>
          <cell r="U129">
            <v>-8.296943231441048E-2</v>
          </cell>
          <cell r="V129">
            <v>2452000</v>
          </cell>
          <cell r="W129">
            <v>9257000</v>
          </cell>
          <cell r="X129">
            <v>0.26488063087393326</v>
          </cell>
          <cell r="Y129">
            <v>2520000</v>
          </cell>
          <cell r="Z129">
            <v>9257000</v>
          </cell>
          <cell r="AA129">
            <v>0.27222642324727231</v>
          </cell>
          <cell r="AB129">
            <v>255000</v>
          </cell>
          <cell r="AC129">
            <v>9257000</v>
          </cell>
          <cell r="AD129">
            <v>2.7546721400021606E-2</v>
          </cell>
          <cell r="AE129">
            <v>2280000</v>
          </cell>
          <cell r="AF129">
            <v>9257000</v>
          </cell>
          <cell r="AG129">
            <v>0.24630009722372259</v>
          </cell>
          <cell r="AH129">
            <v>1371000</v>
          </cell>
          <cell r="AI129">
            <v>9257000</v>
          </cell>
          <cell r="AJ129">
            <v>0.14810413740952794</v>
          </cell>
          <cell r="AK129">
            <v>379000</v>
          </cell>
          <cell r="AL129">
            <v>9257000</v>
          </cell>
          <cell r="AM129">
            <v>4.094198984552231E-2</v>
          </cell>
          <cell r="AN129">
            <v>6019000</v>
          </cell>
          <cell r="AO129">
            <v>5036</v>
          </cell>
          <cell r="AP129">
            <v>1195.1945988880063</v>
          </cell>
          <cell r="AQ129">
            <v>2832000</v>
          </cell>
          <cell r="AR129">
            <v>8293000</v>
          </cell>
          <cell r="AS129">
            <v>0.34149282527432773</v>
          </cell>
          <cell r="AT129">
            <v>1995000</v>
          </cell>
          <cell r="AU129">
            <v>8293000</v>
          </cell>
          <cell r="AV129">
            <v>0.24056433136380079</v>
          </cell>
          <cell r="AW129">
            <v>114000</v>
          </cell>
          <cell r="AX129">
            <v>8293000</v>
          </cell>
          <cell r="AY129">
            <v>1.3746533220788617E-2</v>
          </cell>
          <cell r="AZ129">
            <v>2549000</v>
          </cell>
          <cell r="BA129">
            <v>8293000</v>
          </cell>
          <cell r="BB129">
            <v>0.30736765947184375</v>
          </cell>
          <cell r="BC129">
            <v>803000</v>
          </cell>
          <cell r="BD129">
            <v>8293000</v>
          </cell>
          <cell r="BE129">
            <v>9.6828650669239111E-2</v>
          </cell>
          <cell r="BF129">
            <v>6955000</v>
          </cell>
          <cell r="BG129">
            <v>5036</v>
          </cell>
          <cell r="BH129">
            <v>1381.0563939634631</v>
          </cell>
          <cell r="BI129">
            <v>3980000</v>
          </cell>
          <cell r="BJ129">
            <v>854000</v>
          </cell>
          <cell r="BK129">
            <v>4.6604215456674476</v>
          </cell>
          <cell r="BL129">
            <v>328000</v>
          </cell>
          <cell r="BM129">
            <v>6654000</v>
          </cell>
          <cell r="BN129">
            <v>4.9293657950105201E-2</v>
          </cell>
          <cell r="BO129">
            <v>1820000</v>
          </cell>
          <cell r="BP129">
            <v>2377000</v>
          </cell>
          <cell r="BQ129">
            <v>0.76567101388304581</v>
          </cell>
          <cell r="BR129">
            <v>60</v>
          </cell>
          <cell r="BS129" t="str">
            <v>On Time</v>
          </cell>
          <cell r="BT129" t="str">
            <v>On Time</v>
          </cell>
          <cell r="BU129" t="str">
            <v>On Time</v>
          </cell>
          <cell r="BV129">
            <v>156000</v>
          </cell>
          <cell r="BW129">
            <v>5036</v>
          </cell>
          <cell r="BX129">
            <v>30.976965845909451</v>
          </cell>
          <cell r="BY129">
            <v>23438</v>
          </cell>
          <cell r="BZ129">
            <v>5036</v>
          </cell>
          <cell r="CA129">
            <v>4.6540905480540111</v>
          </cell>
          <cell r="CB129">
            <v>116000</v>
          </cell>
          <cell r="CC129">
            <v>978</v>
          </cell>
          <cell r="CD129">
            <v>118.60940695296523</v>
          </cell>
          <cell r="CE129">
            <v>113000</v>
          </cell>
          <cell r="CF129">
            <v>978</v>
          </cell>
          <cell r="CG129">
            <v>115.54192229038854</v>
          </cell>
          <cell r="CI129">
            <v>5036</v>
          </cell>
          <cell r="CJ129" t="str">
            <v>N/A</v>
          </cell>
          <cell r="CK129">
            <v>2413000</v>
          </cell>
          <cell r="CL129">
            <v>5036</v>
          </cell>
          <cell r="CM129">
            <v>479.15011914217632</v>
          </cell>
          <cell r="CN129">
            <v>352.65850934364897</v>
          </cell>
          <cell r="CO129">
            <v>453.82245216215398</v>
          </cell>
          <cell r="CP129">
            <v>266</v>
          </cell>
          <cell r="CQ129">
            <v>401</v>
          </cell>
          <cell r="CR129">
            <v>167</v>
          </cell>
          <cell r="CS129">
            <v>4831</v>
          </cell>
          <cell r="CT129">
            <v>167</v>
          </cell>
          <cell r="CU129">
            <v>28.928143712574851</v>
          </cell>
          <cell r="CV129">
            <v>21</v>
          </cell>
          <cell r="CW129">
            <v>16000</v>
          </cell>
          <cell r="CX129">
            <v>341000</v>
          </cell>
          <cell r="CY129">
            <v>4.6920821114369501E-2</v>
          </cell>
          <cell r="CZ129">
            <v>134000</v>
          </cell>
          <cell r="DA129">
            <v>5036</v>
          </cell>
          <cell r="DB129">
            <v>26.608419380460685</v>
          </cell>
          <cell r="DC129">
            <v>334000</v>
          </cell>
          <cell r="DD129">
            <v>5036</v>
          </cell>
          <cell r="DE129">
            <v>66.322478157267668</v>
          </cell>
          <cell r="DF129">
            <v>75000</v>
          </cell>
          <cell r="DG129">
            <v>5036</v>
          </cell>
          <cell r="DH129">
            <v>14.892772041302621</v>
          </cell>
          <cell r="DI129">
            <v>2908.2</v>
          </cell>
          <cell r="DJ129">
            <v>1.7316553194415791</v>
          </cell>
          <cell r="DK129">
            <v>2.2831858407079644E-2</v>
          </cell>
          <cell r="DL129">
            <v>2.1</v>
          </cell>
          <cell r="DM129">
            <v>3.71</v>
          </cell>
        </row>
        <row r="130">
          <cell r="B130" t="str">
            <v>Orange City Council</v>
          </cell>
          <cell r="C130">
            <v>4</v>
          </cell>
          <cell r="D130">
            <v>10902000</v>
          </cell>
          <cell r="E130">
            <v>13268</v>
          </cell>
          <cell r="F130">
            <v>821.67621344588485</v>
          </cell>
          <cell r="G130">
            <v>469000</v>
          </cell>
          <cell r="H130">
            <v>374</v>
          </cell>
          <cell r="I130">
            <v>1254.0106951871658</v>
          </cell>
          <cell r="J130">
            <v>2771000</v>
          </cell>
          <cell r="K130">
            <v>1036</v>
          </cell>
          <cell r="L130">
            <v>2674.7104247104248</v>
          </cell>
          <cell r="M130">
            <v>1660000</v>
          </cell>
          <cell r="N130">
            <v>32132000</v>
          </cell>
          <cell r="O130">
            <v>5.1661894684426737E-2</v>
          </cell>
          <cell r="P130">
            <v>676000</v>
          </cell>
          <cell r="Q130">
            <v>24816000</v>
          </cell>
          <cell r="R130">
            <v>2.7240490006447453E-2</v>
          </cell>
          <cell r="S130">
            <v>37000</v>
          </cell>
          <cell r="T130">
            <v>6603000</v>
          </cell>
          <cell r="U130">
            <v>5.6035135544449492E-3</v>
          </cell>
          <cell r="V130">
            <v>25492000</v>
          </cell>
          <cell r="W130">
            <v>48213000</v>
          </cell>
          <cell r="X130">
            <v>0.52873706261796616</v>
          </cell>
          <cell r="Y130">
            <v>6640000</v>
          </cell>
          <cell r="Z130">
            <v>48213000</v>
          </cell>
          <cell r="AA130">
            <v>0.13772219111028147</v>
          </cell>
          <cell r="AB130">
            <v>1631000</v>
          </cell>
          <cell r="AC130">
            <v>48213000</v>
          </cell>
          <cell r="AD130">
            <v>3.3829050256154979E-2</v>
          </cell>
          <cell r="AE130">
            <v>6609000</v>
          </cell>
          <cell r="AF130">
            <v>48213000</v>
          </cell>
          <cell r="AG130">
            <v>0.13707921100118226</v>
          </cell>
          <cell r="AH130">
            <v>6183000</v>
          </cell>
          <cell r="AI130">
            <v>48213000</v>
          </cell>
          <cell r="AJ130">
            <v>0.12824341982452866</v>
          </cell>
          <cell r="AK130">
            <v>1658000</v>
          </cell>
          <cell r="AL130">
            <v>48213000</v>
          </cell>
          <cell r="AM130">
            <v>3.4389065189886547E-2</v>
          </cell>
          <cell r="AN130">
            <v>42202000</v>
          </cell>
          <cell r="AO130">
            <v>37021</v>
          </cell>
          <cell r="AP130">
            <v>1139.9475973096351</v>
          </cell>
          <cell r="AQ130">
            <v>14590000</v>
          </cell>
          <cell r="AR130">
            <v>42383000</v>
          </cell>
          <cell r="AS130">
            <v>0.34424179505933983</v>
          </cell>
          <cell r="AT130">
            <v>15863000</v>
          </cell>
          <cell r="AU130">
            <v>42383000</v>
          </cell>
          <cell r="AV130">
            <v>0.37427742255149471</v>
          </cell>
          <cell r="AW130">
            <v>971000</v>
          </cell>
          <cell r="AX130">
            <v>42383000</v>
          </cell>
          <cell r="AY130">
            <v>2.2910129061180191E-2</v>
          </cell>
          <cell r="AZ130">
            <v>9446000</v>
          </cell>
          <cell r="BA130">
            <v>42383000</v>
          </cell>
          <cell r="BB130">
            <v>0.22287237807611543</v>
          </cell>
          <cell r="BC130">
            <v>1513000</v>
          </cell>
          <cell r="BD130">
            <v>42383000</v>
          </cell>
          <cell r="BE130">
            <v>3.5698275251869853E-2</v>
          </cell>
          <cell r="BF130">
            <v>29728000</v>
          </cell>
          <cell r="BG130">
            <v>37021</v>
          </cell>
          <cell r="BH130">
            <v>803.00370060236082</v>
          </cell>
          <cell r="BI130">
            <v>10195000</v>
          </cell>
          <cell r="BJ130">
            <v>6395000</v>
          </cell>
          <cell r="BK130">
            <v>1.5942142298670836</v>
          </cell>
          <cell r="BL130">
            <v>2797000</v>
          </cell>
          <cell r="BM130">
            <v>38602000</v>
          </cell>
          <cell r="BN130">
            <v>7.2457385627687679E-2</v>
          </cell>
          <cell r="BO130">
            <v>9070000</v>
          </cell>
          <cell r="BP130">
            <v>7560000</v>
          </cell>
          <cell r="BQ130">
            <v>1.1997354497354498</v>
          </cell>
          <cell r="BR130">
            <v>297</v>
          </cell>
          <cell r="BS130" t="str">
            <v>On Time</v>
          </cell>
          <cell r="BT130" t="str">
            <v>On Time</v>
          </cell>
          <cell r="BU130" t="str">
            <v>On Time</v>
          </cell>
          <cell r="BV130">
            <v>1157000</v>
          </cell>
          <cell r="BW130">
            <v>37021</v>
          </cell>
          <cell r="BX130">
            <v>31.252532346506037</v>
          </cell>
          <cell r="BY130">
            <v>301393</v>
          </cell>
          <cell r="BZ130">
            <v>37021</v>
          </cell>
          <cell r="CA130">
            <v>8.1411361119364685</v>
          </cell>
          <cell r="CB130">
            <v>2256000</v>
          </cell>
          <cell r="CC130">
            <v>13549</v>
          </cell>
          <cell r="CD130">
            <v>166.50675326592369</v>
          </cell>
          <cell r="CE130">
            <v>1908000</v>
          </cell>
          <cell r="CF130">
            <v>14782</v>
          </cell>
          <cell r="CG130">
            <v>129.0759031254228</v>
          </cell>
          <cell r="CH130">
            <v>6944410</v>
          </cell>
          <cell r="CI130">
            <v>37021</v>
          </cell>
          <cell r="CJ130">
            <v>187.58029226655142</v>
          </cell>
          <cell r="CK130">
            <v>18784010</v>
          </cell>
          <cell r="CL130">
            <v>37021</v>
          </cell>
          <cell r="CM130">
            <v>507.38796899057292</v>
          </cell>
          <cell r="CN130">
            <v>399.60632193892297</v>
          </cell>
          <cell r="CO130">
            <v>472</v>
          </cell>
          <cell r="CP130">
            <v>259.32218760669201</v>
          </cell>
          <cell r="CQ130">
            <v>366.70064065230099</v>
          </cell>
          <cell r="CR130">
            <v>820</v>
          </cell>
          <cell r="CS130">
            <v>16030</v>
          </cell>
          <cell r="CT130">
            <v>820</v>
          </cell>
          <cell r="CU130">
            <v>19.548780487804876</v>
          </cell>
          <cell r="CV130">
            <v>13</v>
          </cell>
          <cell r="CW130">
            <v>9000</v>
          </cell>
          <cell r="CX130">
            <v>1410000</v>
          </cell>
          <cell r="CY130">
            <v>6.382978723404255E-3</v>
          </cell>
          <cell r="CZ130">
            <v>221000</v>
          </cell>
          <cell r="DA130">
            <v>37021</v>
          </cell>
          <cell r="DB130">
            <v>5.96958483023149</v>
          </cell>
          <cell r="DC130">
            <v>2914000</v>
          </cell>
          <cell r="DD130">
            <v>37021</v>
          </cell>
          <cell r="DE130">
            <v>78.712082331649597</v>
          </cell>
          <cell r="DF130">
            <v>4278000</v>
          </cell>
          <cell r="DG130">
            <v>37021</v>
          </cell>
          <cell r="DH130">
            <v>115.5560357634856</v>
          </cell>
          <cell r="DI130">
            <v>284.8</v>
          </cell>
          <cell r="DJ130">
            <v>129.98946629213484</v>
          </cell>
          <cell r="DK130">
            <v>9.9886557005104942E-3</v>
          </cell>
          <cell r="DL130">
            <v>2.95</v>
          </cell>
          <cell r="DM130">
            <v>3.95</v>
          </cell>
        </row>
        <row r="131">
          <cell r="B131" t="str">
            <v>Parkes Shire Council</v>
          </cell>
          <cell r="C131">
            <v>11</v>
          </cell>
          <cell r="D131">
            <v>1951000</v>
          </cell>
          <cell r="E131">
            <v>5440</v>
          </cell>
          <cell r="F131">
            <v>358.63970588235293</v>
          </cell>
          <cell r="G131">
            <v>1525000</v>
          </cell>
          <cell r="H131">
            <v>1361</v>
          </cell>
          <cell r="I131">
            <v>1120.4996326230712</v>
          </cell>
          <cell r="J131">
            <v>847000</v>
          </cell>
          <cell r="K131">
            <v>562</v>
          </cell>
          <cell r="L131">
            <v>1507.1174377224199</v>
          </cell>
          <cell r="M131">
            <v>1478000</v>
          </cell>
          <cell r="N131">
            <v>14520000</v>
          </cell>
          <cell r="O131">
            <v>0.10179063360881542</v>
          </cell>
          <cell r="P131">
            <v>306000</v>
          </cell>
          <cell r="Q131">
            <v>8056000</v>
          </cell>
          <cell r="R131">
            <v>3.7984111221449852E-2</v>
          </cell>
          <cell r="S131">
            <v>1969000</v>
          </cell>
          <cell r="T131">
            <v>4189000</v>
          </cell>
          <cell r="U131">
            <v>0.47004058247791836</v>
          </cell>
          <cell r="V131">
            <v>8362000</v>
          </cell>
          <cell r="W131">
            <v>23136000</v>
          </cell>
          <cell r="X131">
            <v>0.3614280774550484</v>
          </cell>
          <cell r="Y131">
            <v>6158000</v>
          </cell>
          <cell r="Z131">
            <v>23136000</v>
          </cell>
          <cell r="AA131">
            <v>0.26616528354080221</v>
          </cell>
          <cell r="AB131">
            <v>1024000</v>
          </cell>
          <cell r="AC131">
            <v>23136000</v>
          </cell>
          <cell r="AD131">
            <v>4.4260027662517291E-2</v>
          </cell>
          <cell r="AE131">
            <v>6191000</v>
          </cell>
          <cell r="AF131">
            <v>23136000</v>
          </cell>
          <cell r="AG131">
            <v>0.26759163208852005</v>
          </cell>
          <cell r="AH131">
            <v>1207000</v>
          </cell>
          <cell r="AI131">
            <v>23136000</v>
          </cell>
          <cell r="AJ131">
            <v>5.2169778699861689E-2</v>
          </cell>
          <cell r="AK131">
            <v>194000</v>
          </cell>
          <cell r="AL131">
            <v>23136000</v>
          </cell>
          <cell r="AM131">
            <v>8.3852005532503455E-3</v>
          </cell>
          <cell r="AN131">
            <v>15928000</v>
          </cell>
          <cell r="AO131">
            <v>15099</v>
          </cell>
          <cell r="AP131">
            <v>1054.9042982979006</v>
          </cell>
          <cell r="AQ131">
            <v>6993000</v>
          </cell>
          <cell r="AR131">
            <v>21568000</v>
          </cell>
          <cell r="AS131">
            <v>0.3242303412462908</v>
          </cell>
          <cell r="AT131">
            <v>6925000</v>
          </cell>
          <cell r="AU131">
            <v>21568000</v>
          </cell>
          <cell r="AV131">
            <v>0.32107752225519287</v>
          </cell>
          <cell r="AW131">
            <v>0</v>
          </cell>
          <cell r="AX131">
            <v>21568000</v>
          </cell>
          <cell r="AY131">
            <v>0</v>
          </cell>
          <cell r="AZ131">
            <v>6082000</v>
          </cell>
          <cell r="BA131">
            <v>21568000</v>
          </cell>
          <cell r="BB131">
            <v>0.28199183976261127</v>
          </cell>
          <cell r="BC131">
            <v>1568000</v>
          </cell>
          <cell r="BD131">
            <v>21568000</v>
          </cell>
          <cell r="BE131">
            <v>7.2700296735905043E-2</v>
          </cell>
          <cell r="BF131">
            <v>17274000</v>
          </cell>
          <cell r="BG131">
            <v>15099</v>
          </cell>
          <cell r="BH131">
            <v>1144.0492747864098</v>
          </cell>
          <cell r="BI131">
            <v>8735000</v>
          </cell>
          <cell r="BJ131">
            <v>1912000</v>
          </cell>
          <cell r="BK131">
            <v>4.5685146443514641</v>
          </cell>
          <cell r="BL131">
            <v>0</v>
          </cell>
          <cell r="BM131">
            <v>19350000</v>
          </cell>
          <cell r="BN131">
            <v>0</v>
          </cell>
          <cell r="BO131">
            <v>4332000</v>
          </cell>
          <cell r="BP131">
            <v>4916000</v>
          </cell>
          <cell r="BQ131">
            <v>0.8812042310821806</v>
          </cell>
          <cell r="BR131">
            <v>143</v>
          </cell>
          <cell r="BS131" t="str">
            <v>On Time</v>
          </cell>
          <cell r="BT131" t="str">
            <v>On Time</v>
          </cell>
          <cell r="BU131" t="str">
            <v>On Time</v>
          </cell>
          <cell r="BV131">
            <v>381000</v>
          </cell>
          <cell r="BW131">
            <v>15099</v>
          </cell>
          <cell r="BX131">
            <v>25.233459169481424</v>
          </cell>
          <cell r="BY131">
            <v>91290</v>
          </cell>
          <cell r="BZ131">
            <v>15099</v>
          </cell>
          <cell r="CA131">
            <v>6.0460957679316509</v>
          </cell>
          <cell r="CB131">
            <v>532000</v>
          </cell>
          <cell r="CC131">
            <v>4488</v>
          </cell>
          <cell r="CD131">
            <v>118.53832442067736</v>
          </cell>
          <cell r="CE131">
            <v>391000</v>
          </cell>
          <cell r="CF131">
            <v>4802</v>
          </cell>
          <cell r="CG131">
            <v>81.424406497292793</v>
          </cell>
          <cell r="CH131">
            <v>215000</v>
          </cell>
          <cell r="CI131">
            <v>15099</v>
          </cell>
          <cell r="CJ131">
            <v>14.23935359957613</v>
          </cell>
          <cell r="CK131">
            <v>9029400</v>
          </cell>
          <cell r="CL131">
            <v>15099</v>
          </cell>
          <cell r="CM131">
            <v>598.0131134512219</v>
          </cell>
          <cell r="CN131">
            <v>513.64430032427003</v>
          </cell>
          <cell r="CO131">
            <v>574.87091222030995</v>
          </cell>
          <cell r="CP131">
            <v>186.72943355456101</v>
          </cell>
          <cell r="CQ131">
            <v>203.04093567251499</v>
          </cell>
          <cell r="CR131">
            <v>224</v>
          </cell>
          <cell r="CS131">
            <v>3233</v>
          </cell>
          <cell r="CT131">
            <v>224</v>
          </cell>
          <cell r="CU131">
            <v>14.433035714285714</v>
          </cell>
          <cell r="CV131">
            <v>14</v>
          </cell>
          <cell r="CW131">
            <v>0</v>
          </cell>
          <cell r="CX131">
            <v>223000</v>
          </cell>
          <cell r="CY131">
            <v>0</v>
          </cell>
          <cell r="CZ131">
            <v>407000</v>
          </cell>
          <cell r="DA131">
            <v>15099</v>
          </cell>
          <cell r="DB131">
            <v>26.955427511755744</v>
          </cell>
          <cell r="DC131">
            <v>1160000</v>
          </cell>
          <cell r="DD131">
            <v>15099</v>
          </cell>
          <cell r="DE131">
            <v>76.826279886085175</v>
          </cell>
          <cell r="DF131">
            <v>1242000</v>
          </cell>
          <cell r="DG131">
            <v>15099</v>
          </cell>
          <cell r="DH131">
            <v>82.25710311941188</v>
          </cell>
          <cell r="DI131">
            <v>5958</v>
          </cell>
          <cell r="DJ131">
            <v>2.5342396777442096</v>
          </cell>
          <cell r="DK131">
            <v>4.5934959349593499E-3</v>
          </cell>
          <cell r="DL131">
            <v>4.3</v>
          </cell>
          <cell r="DM131">
            <v>2.0299999999999998</v>
          </cell>
        </row>
        <row r="132">
          <cell r="B132" t="str">
            <v>Parramatta City Council</v>
          </cell>
          <cell r="C132">
            <v>3</v>
          </cell>
          <cell r="D132">
            <v>23642000</v>
          </cell>
          <cell r="E132">
            <v>49367</v>
          </cell>
          <cell r="F132">
            <v>478.90291085137846</v>
          </cell>
          <cell r="G132">
            <v>0</v>
          </cell>
          <cell r="H132">
            <v>0</v>
          </cell>
          <cell r="I132" t="str">
            <v>N/A</v>
          </cell>
          <cell r="J132">
            <v>27237000</v>
          </cell>
          <cell r="K132">
            <v>3875</v>
          </cell>
          <cell r="L132">
            <v>7028.9032258064517</v>
          </cell>
          <cell r="M132">
            <v>1976000</v>
          </cell>
          <cell r="N132">
            <v>71797000</v>
          </cell>
          <cell r="O132">
            <v>2.7522041310918285E-2</v>
          </cell>
          <cell r="P132">
            <v>2174000</v>
          </cell>
          <cell r="Q132">
            <v>62039000</v>
          </cell>
          <cell r="R132">
            <v>3.504247328293493E-2</v>
          </cell>
          <cell r="S132">
            <v>526000</v>
          </cell>
          <cell r="T132">
            <v>7058000</v>
          </cell>
          <cell r="U132">
            <v>7.4525361292150746E-2</v>
          </cell>
          <cell r="V132">
            <v>64213000</v>
          </cell>
          <cell r="W132">
            <v>103792000</v>
          </cell>
          <cell r="X132">
            <v>0.61867003237243723</v>
          </cell>
          <cell r="Y132">
            <v>7584000</v>
          </cell>
          <cell r="Z132">
            <v>103792000</v>
          </cell>
          <cell r="AA132">
            <v>7.3069215353784495E-2</v>
          </cell>
          <cell r="AB132">
            <v>2633000</v>
          </cell>
          <cell r="AC132">
            <v>103792000</v>
          </cell>
          <cell r="AD132">
            <v>2.5368043779867427E-2</v>
          </cell>
          <cell r="AE132">
            <v>13397000</v>
          </cell>
          <cell r="AF132">
            <v>103792000</v>
          </cell>
          <cell r="AG132">
            <v>0.12907545860952674</v>
          </cell>
          <cell r="AH132">
            <v>6532000</v>
          </cell>
          <cell r="AI132">
            <v>103792000</v>
          </cell>
          <cell r="AJ132">
            <v>6.2933559426545396E-2</v>
          </cell>
          <cell r="AK132">
            <v>9433000</v>
          </cell>
          <cell r="AL132">
            <v>103792000</v>
          </cell>
          <cell r="AM132">
            <v>9.0883690457838756E-2</v>
          </cell>
          <cell r="AN132">
            <v>95107000</v>
          </cell>
          <cell r="AO132">
            <v>148854</v>
          </cell>
          <cell r="AP132">
            <v>638.92807717629353</v>
          </cell>
          <cell r="AQ132">
            <v>33981000</v>
          </cell>
          <cell r="AR132">
            <v>96156000</v>
          </cell>
          <cell r="AS132">
            <v>0.35339448396355921</v>
          </cell>
          <cell r="AT132">
            <v>22089000</v>
          </cell>
          <cell r="AU132">
            <v>96156000</v>
          </cell>
          <cell r="AV132">
            <v>0.22972045426182452</v>
          </cell>
          <cell r="AW132">
            <v>1574000</v>
          </cell>
          <cell r="AX132">
            <v>96156000</v>
          </cell>
          <cell r="AY132">
            <v>1.6369233329173425E-2</v>
          </cell>
          <cell r="AZ132">
            <v>17877000</v>
          </cell>
          <cell r="BA132">
            <v>96156000</v>
          </cell>
          <cell r="BB132">
            <v>0.18591663546736553</v>
          </cell>
          <cell r="BC132">
            <v>20635000</v>
          </cell>
          <cell r="BD132">
            <v>96156000</v>
          </cell>
          <cell r="BE132">
            <v>0.21459919297807728</v>
          </cell>
          <cell r="BF132">
            <v>96156000</v>
          </cell>
          <cell r="BG132">
            <v>148854</v>
          </cell>
          <cell r="BH132">
            <v>645.97525091700595</v>
          </cell>
          <cell r="BI132">
            <v>33065000</v>
          </cell>
          <cell r="BJ132">
            <v>14116000</v>
          </cell>
          <cell r="BK132">
            <v>2.3423774440351375</v>
          </cell>
          <cell r="BL132">
            <v>5987000</v>
          </cell>
          <cell r="BM132">
            <v>90544000</v>
          </cell>
          <cell r="BN132">
            <v>6.6122548153383989E-2</v>
          </cell>
          <cell r="BO132">
            <v>19528000</v>
          </cell>
          <cell r="BP132">
            <v>17877000</v>
          </cell>
          <cell r="BQ132">
            <v>1.0923533031269228</v>
          </cell>
          <cell r="BR132">
            <v>654</v>
          </cell>
          <cell r="BS132" t="str">
            <v>On Time</v>
          </cell>
          <cell r="BT132" t="str">
            <v>On Time</v>
          </cell>
          <cell r="BU132" t="str">
            <v>On Time</v>
          </cell>
          <cell r="BV132">
            <v>4028000</v>
          </cell>
          <cell r="BW132">
            <v>148854</v>
          </cell>
          <cell r="BX132">
            <v>27.060072285595282</v>
          </cell>
          <cell r="BY132">
            <v>873559</v>
          </cell>
          <cell r="BZ132">
            <v>148854</v>
          </cell>
          <cell r="CA132">
            <v>5.8685624840447685</v>
          </cell>
          <cell r="CB132">
            <v>8766000</v>
          </cell>
          <cell r="CC132">
            <v>49776</v>
          </cell>
          <cell r="CD132">
            <v>176.10896817743492</v>
          </cell>
          <cell r="CE132">
            <v>5749800</v>
          </cell>
          <cell r="CF132">
            <v>49776</v>
          </cell>
          <cell r="CG132">
            <v>115.51350048216008</v>
          </cell>
          <cell r="CH132">
            <v>20455000</v>
          </cell>
          <cell r="CI132">
            <v>148854</v>
          </cell>
          <cell r="CJ132">
            <v>137.41652894782808</v>
          </cell>
          <cell r="CK132">
            <v>35291000</v>
          </cell>
          <cell r="CL132">
            <v>148854</v>
          </cell>
          <cell r="CM132">
            <v>237.08466013677833</v>
          </cell>
          <cell r="CN132" t="str">
            <v>N/A</v>
          </cell>
          <cell r="CO132" t="str">
            <v>N/A</v>
          </cell>
          <cell r="CP132" t="str">
            <v>N/A</v>
          </cell>
          <cell r="CQ132" t="str">
            <v>N/A</v>
          </cell>
          <cell r="CR132">
            <v>2347</v>
          </cell>
          <cell r="CS132">
            <v>117768</v>
          </cell>
          <cell r="CT132">
            <v>2347</v>
          </cell>
          <cell r="CU132">
            <v>50.178099701746909</v>
          </cell>
          <cell r="CV132">
            <v>36</v>
          </cell>
          <cell r="CW132">
            <v>429000</v>
          </cell>
          <cell r="CX132">
            <v>3448000</v>
          </cell>
          <cell r="CY132">
            <v>0.1244199535962877</v>
          </cell>
          <cell r="CZ132">
            <v>1712000</v>
          </cell>
          <cell r="DA132">
            <v>148854</v>
          </cell>
          <cell r="DB132">
            <v>11.501202520590645</v>
          </cell>
          <cell r="DC132">
            <v>5271000</v>
          </cell>
          <cell r="DD132">
            <v>148854</v>
          </cell>
          <cell r="DE132">
            <v>35.410536498851222</v>
          </cell>
          <cell r="DF132">
            <v>5638000</v>
          </cell>
          <cell r="DG132">
            <v>148854</v>
          </cell>
          <cell r="DH132">
            <v>37.876039609281577</v>
          </cell>
          <cell r="DI132">
            <v>61</v>
          </cell>
          <cell r="DJ132">
            <v>2440.2295081967213</v>
          </cell>
          <cell r="DK132">
            <v>1.4409794742527907E-2</v>
          </cell>
          <cell r="DL132">
            <v>0.79</v>
          </cell>
          <cell r="DM132">
            <v>27.31</v>
          </cell>
        </row>
        <row r="133">
          <cell r="B133" t="str">
            <v>Parry Shire Council</v>
          </cell>
          <cell r="C133">
            <v>11</v>
          </cell>
          <cell r="D133">
            <v>1155000</v>
          </cell>
          <cell r="E133">
            <v>3518</v>
          </cell>
          <cell r="F133">
            <v>328.3115406480955</v>
          </cell>
          <cell r="G133">
            <v>1298000</v>
          </cell>
          <cell r="H133">
            <v>1887</v>
          </cell>
          <cell r="I133">
            <v>687.86433492315848</v>
          </cell>
          <cell r="J133">
            <v>43000</v>
          </cell>
          <cell r="K133">
            <v>187</v>
          </cell>
          <cell r="L133">
            <v>229.94652406417111</v>
          </cell>
          <cell r="M133">
            <v>1195000</v>
          </cell>
          <cell r="N133">
            <v>6555000</v>
          </cell>
          <cell r="O133">
            <v>0.18230358504958047</v>
          </cell>
          <cell r="P133">
            <v>146000</v>
          </cell>
          <cell r="Q133">
            <v>3912000</v>
          </cell>
          <cell r="R133">
            <v>3.7321063394683024E-2</v>
          </cell>
          <cell r="S133">
            <v>389000</v>
          </cell>
          <cell r="T133">
            <v>2108000</v>
          </cell>
          <cell r="U133">
            <v>0.18453510436432638</v>
          </cell>
          <cell r="V133">
            <v>4058000</v>
          </cell>
          <cell r="W133">
            <v>13032000</v>
          </cell>
          <cell r="X133">
            <v>0.31138735420503377</v>
          </cell>
          <cell r="Y133">
            <v>2497000</v>
          </cell>
          <cell r="Z133">
            <v>13032000</v>
          </cell>
          <cell r="AA133">
            <v>0.19160527931246163</v>
          </cell>
          <cell r="AB133">
            <v>374000</v>
          </cell>
          <cell r="AC133">
            <v>13032000</v>
          </cell>
          <cell r="AD133">
            <v>2.8698588090853284E-2</v>
          </cell>
          <cell r="AE133">
            <v>4437000</v>
          </cell>
          <cell r="AF133">
            <v>13032000</v>
          </cell>
          <cell r="AG133">
            <v>0.34046961325966851</v>
          </cell>
          <cell r="AH133">
            <v>1622000</v>
          </cell>
          <cell r="AI133">
            <v>13032000</v>
          </cell>
          <cell r="AJ133">
            <v>0.12446286065070596</v>
          </cell>
          <cell r="AK133">
            <v>44000</v>
          </cell>
          <cell r="AL133">
            <v>13032000</v>
          </cell>
          <cell r="AM133">
            <v>3.376304481276857E-3</v>
          </cell>
          <cell r="AN133">
            <v>10291000</v>
          </cell>
          <cell r="AO133">
            <v>12795</v>
          </cell>
          <cell r="AP133">
            <v>804.29855412270422</v>
          </cell>
          <cell r="AQ133">
            <v>3970000</v>
          </cell>
          <cell r="AR133">
            <v>12104000</v>
          </cell>
          <cell r="AS133">
            <v>0.32799074686054197</v>
          </cell>
          <cell r="AT133">
            <v>2724000</v>
          </cell>
          <cell r="AU133">
            <v>12104000</v>
          </cell>
          <cell r="AV133">
            <v>0.22504957038995374</v>
          </cell>
          <cell r="AW133">
            <v>298000</v>
          </cell>
          <cell r="AX133">
            <v>12104000</v>
          </cell>
          <cell r="AY133">
            <v>2.4619960343688036E-2</v>
          </cell>
          <cell r="AZ133">
            <v>3989000</v>
          </cell>
          <cell r="BA133">
            <v>12104000</v>
          </cell>
          <cell r="BB133">
            <v>0.32956047587574355</v>
          </cell>
          <cell r="BC133">
            <v>1123000</v>
          </cell>
          <cell r="BD133">
            <v>12104000</v>
          </cell>
          <cell r="BE133">
            <v>9.2779246530072704E-2</v>
          </cell>
          <cell r="BF133">
            <v>10667000</v>
          </cell>
          <cell r="BG133">
            <v>12795</v>
          </cell>
          <cell r="BH133">
            <v>833.68503321610001</v>
          </cell>
          <cell r="BI133">
            <v>6191000</v>
          </cell>
          <cell r="BJ133">
            <v>1459000</v>
          </cell>
          <cell r="BK133">
            <v>4.2433173406442766</v>
          </cell>
          <cell r="BL133">
            <v>633000</v>
          </cell>
          <cell r="BM133">
            <v>9582000</v>
          </cell>
          <cell r="BN133">
            <v>6.6061365059486538E-2</v>
          </cell>
          <cell r="BO133">
            <v>2886000</v>
          </cell>
          <cell r="BP133">
            <v>3650000</v>
          </cell>
          <cell r="BQ133">
            <v>0.79068493150684926</v>
          </cell>
          <cell r="BR133">
            <v>91</v>
          </cell>
          <cell r="BS133" t="str">
            <v>On Time</v>
          </cell>
          <cell r="BT133" t="str">
            <v>On Time</v>
          </cell>
          <cell r="BU133" t="str">
            <v>On Time</v>
          </cell>
          <cell r="BV133">
            <v>157000</v>
          </cell>
          <cell r="BW133">
            <v>12795</v>
          </cell>
          <cell r="BX133">
            <v>12.270418132082845</v>
          </cell>
          <cell r="BY133">
            <v>40612</v>
          </cell>
          <cell r="BZ133">
            <v>12795</v>
          </cell>
          <cell r="CA133">
            <v>3.1740523642047673</v>
          </cell>
          <cell r="CB133">
            <v>442000</v>
          </cell>
          <cell r="CC133">
            <v>2785</v>
          </cell>
          <cell r="CD133">
            <v>158.70736086175941</v>
          </cell>
          <cell r="CE133">
            <v>210000</v>
          </cell>
          <cell r="CF133">
            <v>2785</v>
          </cell>
          <cell r="CG133">
            <v>75.403949730700177</v>
          </cell>
          <cell r="CH133">
            <v>1200000</v>
          </cell>
          <cell r="CI133">
            <v>12795</v>
          </cell>
          <cell r="CJ133">
            <v>93.78663540445487</v>
          </cell>
          <cell r="CK133">
            <v>5097000</v>
          </cell>
          <cell r="CL133">
            <v>12795</v>
          </cell>
          <cell r="CM133">
            <v>398.35873388042205</v>
          </cell>
          <cell r="CN133">
            <v>430</v>
          </cell>
          <cell r="CO133">
            <v>388</v>
          </cell>
          <cell r="CP133">
            <v>409</v>
          </cell>
          <cell r="CQ133">
            <v>399</v>
          </cell>
          <cell r="CR133">
            <v>197</v>
          </cell>
          <cell r="CS133">
            <v>2876</v>
          </cell>
          <cell r="CT133">
            <v>197</v>
          </cell>
          <cell r="CU133">
            <v>14.598984771573605</v>
          </cell>
          <cell r="CV133">
            <v>13</v>
          </cell>
          <cell r="CW133">
            <v>7000</v>
          </cell>
          <cell r="CX133">
            <v>315000</v>
          </cell>
          <cell r="CY133">
            <v>2.2222222222222223E-2</v>
          </cell>
          <cell r="CZ133">
            <v>269000</v>
          </cell>
          <cell r="DA133">
            <v>12795</v>
          </cell>
          <cell r="DB133">
            <v>21.023837436498631</v>
          </cell>
          <cell r="DC133">
            <v>272000</v>
          </cell>
          <cell r="DD133">
            <v>12795</v>
          </cell>
          <cell r="DE133">
            <v>21.258304025009771</v>
          </cell>
          <cell r="DF133">
            <v>103000</v>
          </cell>
          <cell r="DG133">
            <v>12795</v>
          </cell>
          <cell r="DH133">
            <v>8.0500195388823759</v>
          </cell>
          <cell r="DI133">
            <v>4403.8</v>
          </cell>
          <cell r="DJ133">
            <v>2.9054452972432898</v>
          </cell>
          <cell r="DK133">
            <v>-2.0881670533642693E-3</v>
          </cell>
          <cell r="DL133">
            <v>3.14</v>
          </cell>
          <cell r="DM133">
            <v>1.82</v>
          </cell>
        </row>
        <row r="134">
          <cell r="B134" t="str">
            <v>Penrith City Council</v>
          </cell>
          <cell r="C134">
            <v>7</v>
          </cell>
          <cell r="D134">
            <v>32368000</v>
          </cell>
          <cell r="E134">
            <v>57755</v>
          </cell>
          <cell r="F134">
            <v>560.43632585923297</v>
          </cell>
          <cell r="G134">
            <v>748000</v>
          </cell>
          <cell r="H134">
            <v>402</v>
          </cell>
          <cell r="I134">
            <v>1860.6965174129352</v>
          </cell>
          <cell r="J134">
            <v>9357000</v>
          </cell>
          <cell r="K134">
            <v>2821</v>
          </cell>
          <cell r="L134">
            <v>3316.908897554059</v>
          </cell>
          <cell r="M134">
            <v>3902000</v>
          </cell>
          <cell r="N134">
            <v>78919000</v>
          </cell>
          <cell r="O134">
            <v>4.9443099887226144E-2</v>
          </cell>
          <cell r="P134">
            <v>3101000</v>
          </cell>
          <cell r="Q134">
            <v>52194000</v>
          </cell>
          <cell r="R134">
            <v>5.9412959343985897E-2</v>
          </cell>
          <cell r="S134">
            <v>3126000</v>
          </cell>
          <cell r="T134">
            <v>20498000</v>
          </cell>
          <cell r="U134">
            <v>0.15250268318860377</v>
          </cell>
          <cell r="V134">
            <v>55295000</v>
          </cell>
          <cell r="W134">
            <v>117318000</v>
          </cell>
          <cell r="X134">
            <v>0.47132579825772686</v>
          </cell>
          <cell r="Y134">
            <v>23624000</v>
          </cell>
          <cell r="Z134">
            <v>117318000</v>
          </cell>
          <cell r="AA134">
            <v>0.2013672241258801</v>
          </cell>
          <cell r="AB134">
            <v>3121000</v>
          </cell>
          <cell r="AC134">
            <v>117318000</v>
          </cell>
          <cell r="AD134">
            <v>2.6602908334611909E-2</v>
          </cell>
          <cell r="AE134">
            <v>23163000</v>
          </cell>
          <cell r="AF134">
            <v>117318000</v>
          </cell>
          <cell r="AG134">
            <v>0.19743773334015241</v>
          </cell>
          <cell r="AH134">
            <v>11148000</v>
          </cell>
          <cell r="AI134">
            <v>117318000</v>
          </cell>
          <cell r="AJ134">
            <v>9.5023781516902772E-2</v>
          </cell>
          <cell r="AK134">
            <v>967000</v>
          </cell>
          <cell r="AL134">
            <v>117318000</v>
          </cell>
          <cell r="AM134">
            <v>8.2425544247259584E-3</v>
          </cell>
          <cell r="AN134">
            <v>98897000</v>
          </cell>
          <cell r="AO134">
            <v>178405</v>
          </cell>
          <cell r="AP134">
            <v>554.33984473529324</v>
          </cell>
          <cell r="AQ134">
            <v>44996000</v>
          </cell>
          <cell r="AR134">
            <v>103972000</v>
          </cell>
          <cell r="AS134">
            <v>0.43277036125110607</v>
          </cell>
          <cell r="AT134">
            <v>27153000</v>
          </cell>
          <cell r="AU134">
            <v>103972000</v>
          </cell>
          <cell r="AV134">
            <v>0.26115684992113264</v>
          </cell>
          <cell r="AW134">
            <v>4440000</v>
          </cell>
          <cell r="AX134">
            <v>103972000</v>
          </cell>
          <cell r="AY134">
            <v>4.2703804870542067E-2</v>
          </cell>
          <cell r="AZ134">
            <v>16954000</v>
          </cell>
          <cell r="BA134">
            <v>103972000</v>
          </cell>
          <cell r="BB134">
            <v>0.1630631323817951</v>
          </cell>
          <cell r="BC134">
            <v>10429000</v>
          </cell>
          <cell r="BD134">
            <v>103972000</v>
          </cell>
          <cell r="BE134">
            <v>0.10030585157542415</v>
          </cell>
          <cell r="BF134">
            <v>104116000</v>
          </cell>
          <cell r="BG134">
            <v>178405</v>
          </cell>
          <cell r="BH134">
            <v>583.59350915052835</v>
          </cell>
          <cell r="BI134">
            <v>34768000</v>
          </cell>
          <cell r="BJ134">
            <v>21133000</v>
          </cell>
          <cell r="BK134">
            <v>1.6451994510954431</v>
          </cell>
          <cell r="BL134">
            <v>10098000</v>
          </cell>
          <cell r="BM134">
            <v>92255000</v>
          </cell>
          <cell r="BN134">
            <v>0.10945748197929651</v>
          </cell>
          <cell r="BO134">
            <v>19075000</v>
          </cell>
          <cell r="BP134">
            <v>16954000</v>
          </cell>
          <cell r="BQ134">
            <v>1.1251032204789431</v>
          </cell>
          <cell r="BR134">
            <v>929</v>
          </cell>
          <cell r="BS134" t="str">
            <v>On Time</v>
          </cell>
          <cell r="BT134" t="str">
            <v>Not Received</v>
          </cell>
          <cell r="BU134" t="str">
            <v>On Time</v>
          </cell>
          <cell r="BV134">
            <v>3259000</v>
          </cell>
          <cell r="BW134">
            <v>178405</v>
          </cell>
          <cell r="BX134">
            <v>18.267425240323981</v>
          </cell>
          <cell r="BY134">
            <v>770183</v>
          </cell>
          <cell r="BZ134">
            <v>178405</v>
          </cell>
          <cell r="CA134">
            <v>4.3170482890053528</v>
          </cell>
          <cell r="CB134">
            <v>12893000</v>
          </cell>
          <cell r="CC134">
            <v>57282</v>
          </cell>
          <cell r="CD134">
            <v>225.07943158409273</v>
          </cell>
          <cell r="CE134">
            <v>8240000</v>
          </cell>
          <cell r="CF134">
            <v>57282</v>
          </cell>
          <cell r="CG134">
            <v>143.84972591739114</v>
          </cell>
          <cell r="CH134">
            <v>13214000</v>
          </cell>
          <cell r="CI134">
            <v>178405</v>
          </cell>
          <cell r="CJ134">
            <v>74.067430845548046</v>
          </cell>
          <cell r="CK134">
            <v>56260000</v>
          </cell>
          <cell r="CL134">
            <v>178405</v>
          </cell>
          <cell r="CM134">
            <v>315.34990611249685</v>
          </cell>
          <cell r="CN134" t="str">
            <v>N/A</v>
          </cell>
          <cell r="CO134" t="str">
            <v>N/A</v>
          </cell>
          <cell r="CP134" t="str">
            <v>N/A</v>
          </cell>
          <cell r="CQ134" t="str">
            <v>N/A</v>
          </cell>
          <cell r="CR134">
            <v>3143</v>
          </cell>
          <cell r="CS134">
            <v>104760</v>
          </cell>
          <cell r="CT134">
            <v>3143</v>
          </cell>
          <cell r="CU134">
            <v>33.331212217626472</v>
          </cell>
          <cell r="CV134">
            <v>22</v>
          </cell>
          <cell r="CW134">
            <v>298000</v>
          </cell>
          <cell r="CX134">
            <v>3653000</v>
          </cell>
          <cell r="CY134">
            <v>8.1576786203120727E-2</v>
          </cell>
          <cell r="CZ134">
            <v>1557000</v>
          </cell>
          <cell r="DA134">
            <v>178405</v>
          </cell>
          <cell r="DB134">
            <v>8.7273338751716594</v>
          </cell>
          <cell r="DC134">
            <v>6224000</v>
          </cell>
          <cell r="DD134">
            <v>178405</v>
          </cell>
          <cell r="DE134">
            <v>34.886914604411309</v>
          </cell>
          <cell r="DF134">
            <v>13958000</v>
          </cell>
          <cell r="DG134">
            <v>178405</v>
          </cell>
          <cell r="DH134">
            <v>78.237717552759165</v>
          </cell>
          <cell r="DI134">
            <v>404.8</v>
          </cell>
          <cell r="DJ134">
            <v>440.723814229249</v>
          </cell>
          <cell r="DK134">
            <v>1.1819531018106262E-2</v>
          </cell>
          <cell r="DL134">
            <v>1.69</v>
          </cell>
          <cell r="DM134">
            <v>12.58</v>
          </cell>
        </row>
        <row r="135">
          <cell r="B135" t="str">
            <v>Pittwater Council</v>
          </cell>
          <cell r="C135">
            <v>2</v>
          </cell>
          <cell r="D135">
            <v>19361000</v>
          </cell>
          <cell r="E135">
            <v>20971</v>
          </cell>
          <cell r="F135">
            <v>923.22731390968477</v>
          </cell>
          <cell r="G135">
            <v>47000</v>
          </cell>
          <cell r="H135">
            <v>22</v>
          </cell>
          <cell r="I135">
            <v>2136.3636363636365</v>
          </cell>
          <cell r="J135">
            <v>2589000</v>
          </cell>
          <cell r="K135">
            <v>1339</v>
          </cell>
          <cell r="L135">
            <v>1933.5324869305452</v>
          </cell>
          <cell r="M135">
            <v>1349000</v>
          </cell>
          <cell r="N135">
            <v>35697000</v>
          </cell>
          <cell r="O135">
            <v>3.7790290500602293E-2</v>
          </cell>
          <cell r="P135">
            <v>1865000</v>
          </cell>
          <cell r="Q135">
            <v>25721000</v>
          </cell>
          <cell r="R135">
            <v>7.2508844912717238E-2</v>
          </cell>
          <cell r="S135">
            <v>510000</v>
          </cell>
          <cell r="T135">
            <v>7601000</v>
          </cell>
          <cell r="U135">
            <v>6.7096434679647418E-2</v>
          </cell>
          <cell r="V135">
            <v>27586000</v>
          </cell>
          <cell r="W135">
            <v>46658000</v>
          </cell>
          <cell r="X135">
            <v>0.59123837284067038</v>
          </cell>
          <cell r="Y135">
            <v>8111000</v>
          </cell>
          <cell r="Z135">
            <v>46658000</v>
          </cell>
          <cell r="AA135">
            <v>0.17383942732221699</v>
          </cell>
          <cell r="AB135">
            <v>678000</v>
          </cell>
          <cell r="AC135">
            <v>46658000</v>
          </cell>
          <cell r="AD135">
            <v>1.4531270093017275E-2</v>
          </cell>
          <cell r="AE135">
            <v>4420000</v>
          </cell>
          <cell r="AF135">
            <v>46658000</v>
          </cell>
          <cell r="AG135">
            <v>9.4731878777487247E-2</v>
          </cell>
          <cell r="AH135">
            <v>4107000</v>
          </cell>
          <cell r="AI135">
            <v>46658000</v>
          </cell>
          <cell r="AJ135">
            <v>8.8023490076728536E-2</v>
          </cell>
          <cell r="AK135">
            <v>1756000</v>
          </cell>
          <cell r="AL135">
            <v>46658000</v>
          </cell>
          <cell r="AM135">
            <v>3.763556088987955E-2</v>
          </cell>
          <cell r="AN135">
            <v>43091000</v>
          </cell>
          <cell r="AO135">
            <v>56642</v>
          </cell>
          <cell r="AP135">
            <v>760.76056636418207</v>
          </cell>
          <cell r="AQ135">
            <v>15218000</v>
          </cell>
          <cell r="AR135">
            <v>40805000</v>
          </cell>
          <cell r="AS135">
            <v>0.37294449209655678</v>
          </cell>
          <cell r="AT135">
            <v>8207000</v>
          </cell>
          <cell r="AU135">
            <v>40805000</v>
          </cell>
          <cell r="AV135">
            <v>0.20112731282931012</v>
          </cell>
          <cell r="AW135">
            <v>474000</v>
          </cell>
          <cell r="AX135">
            <v>40805000</v>
          </cell>
          <cell r="AY135">
            <v>1.1616223502021811E-2</v>
          </cell>
          <cell r="AZ135">
            <v>5185000</v>
          </cell>
          <cell r="BA135">
            <v>40805000</v>
          </cell>
          <cell r="BB135">
            <v>0.12706776130376179</v>
          </cell>
          <cell r="BC135">
            <v>11721000</v>
          </cell>
          <cell r="BD135">
            <v>40805000</v>
          </cell>
          <cell r="BE135">
            <v>0.28724421026834945</v>
          </cell>
          <cell r="BF135">
            <v>40785000</v>
          </cell>
          <cell r="BG135">
            <v>56642</v>
          </cell>
          <cell r="BH135">
            <v>720.0487270929699</v>
          </cell>
          <cell r="BI135">
            <v>11085000</v>
          </cell>
          <cell r="BJ135">
            <v>6943000</v>
          </cell>
          <cell r="BK135">
            <v>1.5965720869940947</v>
          </cell>
          <cell r="BL135">
            <v>3906000</v>
          </cell>
          <cell r="BM135">
            <v>41166000</v>
          </cell>
          <cell r="BN135">
            <v>9.4884127678181024E-2</v>
          </cell>
          <cell r="BO135">
            <v>7080000</v>
          </cell>
          <cell r="BP135">
            <v>5185000</v>
          </cell>
          <cell r="BQ135">
            <v>1.3654773384763741</v>
          </cell>
          <cell r="BR135">
            <v>282</v>
          </cell>
          <cell r="BS135" t="str">
            <v>On Time</v>
          </cell>
          <cell r="BT135" t="str">
            <v>On Time</v>
          </cell>
          <cell r="BU135" t="str">
            <v>On Time</v>
          </cell>
          <cell r="BV135">
            <v>1261000</v>
          </cell>
          <cell r="BW135">
            <v>56642</v>
          </cell>
          <cell r="BX135">
            <v>22.262631969210126</v>
          </cell>
          <cell r="BY135">
            <v>414727</v>
          </cell>
          <cell r="BZ135">
            <v>56642</v>
          </cell>
          <cell r="CA135">
            <v>7.3218989442463194</v>
          </cell>
          <cell r="CB135">
            <v>5589000</v>
          </cell>
          <cell r="CC135">
            <v>20098</v>
          </cell>
          <cell r="CD135">
            <v>278.08737187779877</v>
          </cell>
          <cell r="CE135">
            <v>3892540</v>
          </cell>
          <cell r="CF135">
            <v>20098</v>
          </cell>
          <cell r="CG135">
            <v>193.67797790824957</v>
          </cell>
          <cell r="CH135">
            <v>9566000</v>
          </cell>
          <cell r="CI135">
            <v>56642</v>
          </cell>
          <cell r="CJ135">
            <v>168.88527947459482</v>
          </cell>
          <cell r="CK135">
            <v>13631000</v>
          </cell>
          <cell r="CL135">
            <v>56642</v>
          </cell>
          <cell r="CM135">
            <v>240.65181314219132</v>
          </cell>
          <cell r="CN135" t="str">
            <v>N/A</v>
          </cell>
          <cell r="CO135" t="str">
            <v>N/A</v>
          </cell>
          <cell r="CP135" t="str">
            <v>N/A</v>
          </cell>
          <cell r="CQ135" t="str">
            <v>N/A</v>
          </cell>
          <cell r="CR135">
            <v>1175</v>
          </cell>
          <cell r="CS135">
            <v>108100</v>
          </cell>
          <cell r="CT135">
            <v>1175</v>
          </cell>
          <cell r="CU135">
            <v>92</v>
          </cell>
          <cell r="CV135">
            <v>78</v>
          </cell>
          <cell r="CW135">
            <v>414000</v>
          </cell>
          <cell r="CX135">
            <v>3190000</v>
          </cell>
          <cell r="CY135">
            <v>0.12978056426332288</v>
          </cell>
          <cell r="CZ135">
            <v>843000</v>
          </cell>
          <cell r="DA135">
            <v>56642</v>
          </cell>
          <cell r="DB135">
            <v>14.882949048409307</v>
          </cell>
          <cell r="DC135">
            <v>3555000</v>
          </cell>
          <cell r="DD135">
            <v>56642</v>
          </cell>
          <cell r="DE135">
            <v>62.762614314466298</v>
          </cell>
          <cell r="DF135">
            <v>2004000</v>
          </cell>
          <cell r="DG135">
            <v>56642</v>
          </cell>
          <cell r="DH135">
            <v>35.380106634652734</v>
          </cell>
          <cell r="DI135">
            <v>90.6</v>
          </cell>
          <cell r="DJ135">
            <v>625.18763796909491</v>
          </cell>
          <cell r="DK135">
            <v>1.577904761904762E-2</v>
          </cell>
          <cell r="DL135">
            <v>0.27</v>
          </cell>
          <cell r="DM135">
            <v>7.77</v>
          </cell>
        </row>
        <row r="136">
          <cell r="B136" t="str">
            <v>Port Stephens Council</v>
          </cell>
          <cell r="C136">
            <v>4</v>
          </cell>
          <cell r="D136">
            <v>15618000</v>
          </cell>
          <cell r="E136">
            <v>24207</v>
          </cell>
          <cell r="F136">
            <v>645.18527698599576</v>
          </cell>
          <cell r="G136">
            <v>764000</v>
          </cell>
          <cell r="H136">
            <v>586</v>
          </cell>
          <cell r="I136">
            <v>1303.7542662116041</v>
          </cell>
          <cell r="J136">
            <v>2424000</v>
          </cell>
          <cell r="K136">
            <v>2345</v>
          </cell>
          <cell r="L136">
            <v>1033.6886993603412</v>
          </cell>
          <cell r="M136">
            <v>1666000</v>
          </cell>
          <cell r="N136">
            <v>40118000</v>
          </cell>
          <cell r="O136">
            <v>4.1527493893015605E-2</v>
          </cell>
          <cell r="P136">
            <v>1873000</v>
          </cell>
          <cell r="Q136">
            <v>22179000</v>
          </cell>
          <cell r="R136">
            <v>8.4449253798638352E-2</v>
          </cell>
          <cell r="S136">
            <v>667000</v>
          </cell>
          <cell r="T136">
            <v>15399000</v>
          </cell>
          <cell r="U136">
            <v>4.3314500941619587E-2</v>
          </cell>
          <cell r="V136">
            <v>24052000</v>
          </cell>
          <cell r="W136">
            <v>59869000</v>
          </cell>
          <cell r="X136">
            <v>0.40174380731263259</v>
          </cell>
          <cell r="Y136">
            <v>16066000</v>
          </cell>
          <cell r="Z136">
            <v>59869000</v>
          </cell>
          <cell r="AA136">
            <v>0.26835256977734723</v>
          </cell>
          <cell r="AB136">
            <v>1098000</v>
          </cell>
          <cell r="AC136">
            <v>59869000</v>
          </cell>
          <cell r="AD136">
            <v>1.8340042425963352E-2</v>
          </cell>
          <cell r="AE136">
            <v>7412000</v>
          </cell>
          <cell r="AF136">
            <v>59869000</v>
          </cell>
          <cell r="AG136">
            <v>0.12380363794284187</v>
          </cell>
          <cell r="AH136">
            <v>10107000</v>
          </cell>
          <cell r="AI136">
            <v>59869000</v>
          </cell>
          <cell r="AJ136">
            <v>0.16881858724882662</v>
          </cell>
          <cell r="AK136">
            <v>1134000</v>
          </cell>
          <cell r="AL136">
            <v>59869000</v>
          </cell>
          <cell r="AM136">
            <v>1.8941355292388381E-2</v>
          </cell>
          <cell r="AN136">
            <v>51157000</v>
          </cell>
          <cell r="AO136">
            <v>59210</v>
          </cell>
          <cell r="AP136">
            <v>863.99256882283396</v>
          </cell>
          <cell r="AQ136">
            <v>20540000</v>
          </cell>
          <cell r="AR136">
            <v>60145000</v>
          </cell>
          <cell r="AS136">
            <v>0.34150802227949123</v>
          </cell>
          <cell r="AT136">
            <v>20960000</v>
          </cell>
          <cell r="AU136">
            <v>60145000</v>
          </cell>
          <cell r="AV136">
            <v>0.34849114639620915</v>
          </cell>
          <cell r="AW136">
            <v>831000</v>
          </cell>
          <cell r="AX136">
            <v>60145000</v>
          </cell>
          <cell r="AY136">
            <v>1.3816609859506194E-2</v>
          </cell>
          <cell r="AZ136">
            <v>11166000</v>
          </cell>
          <cell r="BA136">
            <v>60145000</v>
          </cell>
          <cell r="BB136">
            <v>0.18565134258874386</v>
          </cell>
          <cell r="BC136">
            <v>6648000</v>
          </cell>
          <cell r="BD136">
            <v>60145000</v>
          </cell>
          <cell r="BE136">
            <v>0.11053287887604955</v>
          </cell>
          <cell r="BF136">
            <v>60145000</v>
          </cell>
          <cell r="BG136">
            <v>59210</v>
          </cell>
          <cell r="BH136">
            <v>1015.7912514777909</v>
          </cell>
          <cell r="BI136">
            <v>4939000</v>
          </cell>
          <cell r="BJ136">
            <v>8943000</v>
          </cell>
          <cell r="BK136">
            <v>0.55227552275522751</v>
          </cell>
          <cell r="BL136">
            <v>1322000</v>
          </cell>
          <cell r="BM136">
            <v>47046000</v>
          </cell>
          <cell r="BN136">
            <v>2.8100157292862304E-2</v>
          </cell>
          <cell r="BO136">
            <v>12432000</v>
          </cell>
          <cell r="BP136">
            <v>11166000</v>
          </cell>
          <cell r="BQ136">
            <v>1.1133799032778076</v>
          </cell>
          <cell r="BR136">
            <v>407.2</v>
          </cell>
          <cell r="BS136" t="str">
            <v>On Time</v>
          </cell>
          <cell r="BT136" t="str">
            <v>Not Received</v>
          </cell>
          <cell r="BU136" t="str">
            <v>&lt;=4</v>
          </cell>
          <cell r="BV136">
            <v>822000</v>
          </cell>
          <cell r="BW136">
            <v>59210</v>
          </cell>
          <cell r="BX136">
            <v>13.882790069245059</v>
          </cell>
          <cell r="BY136">
            <v>534238</v>
          </cell>
          <cell r="BZ136">
            <v>59210</v>
          </cell>
          <cell r="CA136">
            <v>9.02276642459044</v>
          </cell>
          <cell r="CB136">
            <v>5044000</v>
          </cell>
          <cell r="CC136">
            <v>25379</v>
          </cell>
          <cell r="CD136">
            <v>198.74699554749989</v>
          </cell>
          <cell r="CE136">
            <v>1713514</v>
          </cell>
          <cell r="CF136">
            <v>23844</v>
          </cell>
          <cell r="CG136">
            <v>71.86352960912599</v>
          </cell>
          <cell r="CH136">
            <v>12254000</v>
          </cell>
          <cell r="CI136">
            <v>59210</v>
          </cell>
          <cell r="CJ136">
            <v>206.95828407363621</v>
          </cell>
          <cell r="CK136">
            <v>21221000</v>
          </cell>
          <cell r="CL136">
            <v>59210</v>
          </cell>
          <cell r="CM136">
            <v>358.40229690930585</v>
          </cell>
          <cell r="CN136" t="str">
            <v>N/A</v>
          </cell>
          <cell r="CO136" t="str">
            <v>N/A</v>
          </cell>
          <cell r="CP136" t="str">
            <v>N/A</v>
          </cell>
          <cell r="CQ136" t="str">
            <v>N/A</v>
          </cell>
          <cell r="CR136">
            <v>1893</v>
          </cell>
          <cell r="CS136">
            <v>75150</v>
          </cell>
          <cell r="CT136">
            <v>1893</v>
          </cell>
          <cell r="CU136">
            <v>39.698890649762284</v>
          </cell>
          <cell r="CV136">
            <v>26</v>
          </cell>
          <cell r="CW136">
            <v>441000</v>
          </cell>
          <cell r="CX136">
            <v>2334000</v>
          </cell>
          <cell r="CY136">
            <v>0.18894601542416453</v>
          </cell>
          <cell r="CZ136">
            <v>1203000</v>
          </cell>
          <cell r="DA136">
            <v>59210</v>
          </cell>
          <cell r="DB136">
            <v>20.317513933457185</v>
          </cell>
          <cell r="DC136">
            <v>5978000</v>
          </cell>
          <cell r="DD136">
            <v>59210</v>
          </cell>
          <cell r="DE136">
            <v>100.96267522377977</v>
          </cell>
          <cell r="DF136">
            <v>3096000</v>
          </cell>
          <cell r="DG136">
            <v>59210</v>
          </cell>
          <cell r="DH136">
            <v>52.288464786353657</v>
          </cell>
          <cell r="DI136">
            <v>857.7</v>
          </cell>
          <cell r="DJ136">
            <v>69.033461583304188</v>
          </cell>
          <cell r="DK136">
            <v>2.2343221930153961E-2</v>
          </cell>
          <cell r="DL136">
            <v>1.97</v>
          </cell>
          <cell r="DM136">
            <v>3.76</v>
          </cell>
        </row>
        <row r="137">
          <cell r="B137" t="str">
            <v>Pristine Waters Council</v>
          </cell>
          <cell r="C137">
            <v>11</v>
          </cell>
          <cell r="D137">
            <v>1461000</v>
          </cell>
          <cell r="E137">
            <v>4391</v>
          </cell>
          <cell r="F137">
            <v>332.72603051696655</v>
          </cell>
          <cell r="G137">
            <v>982000</v>
          </cell>
          <cell r="H137">
            <v>1400</v>
          </cell>
          <cell r="I137">
            <v>701.42857142857144</v>
          </cell>
          <cell r="J137">
            <v>71000</v>
          </cell>
          <cell r="K137">
            <v>169</v>
          </cell>
          <cell r="L137">
            <v>420.11834319526628</v>
          </cell>
          <cell r="M137">
            <v>971000</v>
          </cell>
          <cell r="N137">
            <v>6415000</v>
          </cell>
          <cell r="O137">
            <v>0.15136399064692127</v>
          </cell>
          <cell r="P137">
            <v>151000</v>
          </cell>
          <cell r="Q137">
            <v>3769000</v>
          </cell>
          <cell r="R137">
            <v>4.0063677368002121E-2</v>
          </cell>
          <cell r="S137">
            <v>1122000</v>
          </cell>
          <cell r="T137">
            <v>1373000</v>
          </cell>
          <cell r="U137">
            <v>0.8171886380189366</v>
          </cell>
          <cell r="V137">
            <v>3920000</v>
          </cell>
          <cell r="W137">
            <v>18915000</v>
          </cell>
          <cell r="X137">
            <v>0.20724292889241344</v>
          </cell>
          <cell r="Y137">
            <v>2495000</v>
          </cell>
          <cell r="Z137">
            <v>18915000</v>
          </cell>
          <cell r="AA137">
            <v>0.13190589479249273</v>
          </cell>
          <cell r="AB137">
            <v>457000</v>
          </cell>
          <cell r="AC137">
            <v>18915000</v>
          </cell>
          <cell r="AD137">
            <v>2.4160719006079832E-2</v>
          </cell>
          <cell r="AE137">
            <v>10360000</v>
          </cell>
          <cell r="AF137">
            <v>18915000</v>
          </cell>
          <cell r="AG137">
            <v>0.54771345492994983</v>
          </cell>
          <cell r="AH137">
            <v>1595000</v>
          </cell>
          <cell r="AI137">
            <v>18915000</v>
          </cell>
          <cell r="AJ137">
            <v>8.432461009780598E-2</v>
          </cell>
          <cell r="AK137">
            <v>88000</v>
          </cell>
          <cell r="AL137">
            <v>18915000</v>
          </cell>
          <cell r="AM137">
            <v>4.6523922812582606E-3</v>
          </cell>
          <cell r="AN137">
            <v>13305000</v>
          </cell>
          <cell r="AO137">
            <v>10987</v>
          </cell>
          <cell r="AP137">
            <v>1210.9766087193957</v>
          </cell>
          <cell r="AQ137">
            <v>3601000</v>
          </cell>
          <cell r="AR137">
            <v>19185000</v>
          </cell>
          <cell r="AS137">
            <v>0.18769872296064632</v>
          </cell>
          <cell r="AT137">
            <v>5987000</v>
          </cell>
          <cell r="AU137">
            <v>19185000</v>
          </cell>
          <cell r="AV137">
            <v>0.3120667187907219</v>
          </cell>
          <cell r="AW137">
            <v>278000</v>
          </cell>
          <cell r="AX137">
            <v>19185000</v>
          </cell>
          <cell r="AY137">
            <v>1.4490487359916602E-2</v>
          </cell>
          <cell r="AZ137">
            <v>7358000</v>
          </cell>
          <cell r="BA137">
            <v>19185000</v>
          </cell>
          <cell r="BB137">
            <v>0.38352879854052646</v>
          </cell>
          <cell r="BC137">
            <v>1961000</v>
          </cell>
          <cell r="BD137">
            <v>19185000</v>
          </cell>
          <cell r="BE137">
            <v>0.1022152723481887</v>
          </cell>
          <cell r="BF137">
            <v>18244000</v>
          </cell>
          <cell r="BG137">
            <v>10987</v>
          </cell>
          <cell r="BH137">
            <v>1660.5078729407483</v>
          </cell>
          <cell r="BI137">
            <v>6732000</v>
          </cell>
          <cell r="BJ137">
            <v>1901000</v>
          </cell>
          <cell r="BK137">
            <v>3.5412940557601265</v>
          </cell>
          <cell r="BL137">
            <v>816000</v>
          </cell>
          <cell r="BM137">
            <v>9685000</v>
          </cell>
          <cell r="BN137">
            <v>8.425400103252452E-2</v>
          </cell>
          <cell r="BO137">
            <v>4480000</v>
          </cell>
          <cell r="BP137">
            <v>7154000</v>
          </cell>
          <cell r="BQ137">
            <v>0.6262230919765166</v>
          </cell>
          <cell r="BR137">
            <v>69.2</v>
          </cell>
          <cell r="BS137" t="str">
            <v>On Time</v>
          </cell>
          <cell r="BT137" t="str">
            <v>On Time</v>
          </cell>
          <cell r="BU137" t="str">
            <v>On Time</v>
          </cell>
          <cell r="BV137">
            <v>140000</v>
          </cell>
          <cell r="BW137">
            <v>10987</v>
          </cell>
          <cell r="BX137">
            <v>12.742331846727952</v>
          </cell>
          <cell r="BY137">
            <v>16625</v>
          </cell>
          <cell r="BZ137">
            <v>10987</v>
          </cell>
          <cell r="CA137">
            <v>1.5131519067989443</v>
          </cell>
          <cell r="CB137">
            <v>463000</v>
          </cell>
          <cell r="CC137">
            <v>3290</v>
          </cell>
          <cell r="CD137">
            <v>140.72948328267478</v>
          </cell>
          <cell r="CE137">
            <v>208177</v>
          </cell>
          <cell r="CF137">
            <v>3290</v>
          </cell>
          <cell r="CG137">
            <v>63.275683890577504</v>
          </cell>
          <cell r="CH137">
            <v>358000</v>
          </cell>
          <cell r="CI137">
            <v>10987</v>
          </cell>
          <cell r="CJ137">
            <v>32.583962865204334</v>
          </cell>
          <cell r="CK137">
            <v>2623000</v>
          </cell>
          <cell r="CL137">
            <v>10987</v>
          </cell>
          <cell r="CM137">
            <v>238.73668881405297</v>
          </cell>
          <cell r="CN137">
            <v>393.92712550607303</v>
          </cell>
          <cell r="CO137">
            <v>304.17122963346401</v>
          </cell>
          <cell r="CP137">
            <v>790.39704524469096</v>
          </cell>
          <cell r="CQ137">
            <v>426.59279778393397</v>
          </cell>
          <cell r="CR137">
            <v>282</v>
          </cell>
          <cell r="CS137">
            <v>3500</v>
          </cell>
          <cell r="CT137">
            <v>282</v>
          </cell>
          <cell r="CU137">
            <v>12.411347517730496</v>
          </cell>
          <cell r="CV137">
            <v>21</v>
          </cell>
          <cell r="CW137">
            <v>108000</v>
          </cell>
          <cell r="CX137">
            <v>546000</v>
          </cell>
          <cell r="CY137">
            <v>0.19780219780219779</v>
          </cell>
          <cell r="CZ137">
            <v>348000</v>
          </cell>
          <cell r="DA137">
            <v>10987</v>
          </cell>
          <cell r="DB137">
            <v>31.673796304723766</v>
          </cell>
          <cell r="DC137">
            <v>365000</v>
          </cell>
          <cell r="DD137">
            <v>10987</v>
          </cell>
          <cell r="DE137">
            <v>33.221079457540732</v>
          </cell>
          <cell r="DF137">
            <v>93000</v>
          </cell>
          <cell r="DG137">
            <v>10987</v>
          </cell>
          <cell r="DH137">
            <v>8.4645490124692824</v>
          </cell>
          <cell r="DI137">
            <v>6799.9</v>
          </cell>
          <cell r="DJ137">
            <v>1.6157590552802248</v>
          </cell>
          <cell r="DL137">
            <v>2.25</v>
          </cell>
          <cell r="DM137">
            <v>2.44</v>
          </cell>
        </row>
        <row r="138">
          <cell r="B138" t="str">
            <v>Queanbeyan City Council</v>
          </cell>
          <cell r="C138">
            <v>4</v>
          </cell>
          <cell r="D138">
            <v>7380000</v>
          </cell>
          <cell r="E138">
            <v>12865</v>
          </cell>
          <cell r="F138">
            <v>573.64943645549943</v>
          </cell>
          <cell r="G138">
            <v>22000</v>
          </cell>
          <cell r="H138">
            <v>12</v>
          </cell>
          <cell r="I138">
            <v>1833.3333333333333</v>
          </cell>
          <cell r="J138">
            <v>3752000</v>
          </cell>
          <cell r="K138">
            <v>941</v>
          </cell>
          <cell r="L138">
            <v>3987.2476089266738</v>
          </cell>
          <cell r="M138">
            <v>3406000</v>
          </cell>
          <cell r="N138">
            <v>27332000</v>
          </cell>
          <cell r="O138">
            <v>0.12461583491877652</v>
          </cell>
          <cell r="P138">
            <v>955000</v>
          </cell>
          <cell r="Q138">
            <v>19483000</v>
          </cell>
          <cell r="R138">
            <v>4.9017091823641126E-2</v>
          </cell>
          <cell r="S138">
            <v>522000</v>
          </cell>
          <cell r="T138">
            <v>6372000</v>
          </cell>
          <cell r="U138">
            <v>8.1920903954802254E-2</v>
          </cell>
          <cell r="V138">
            <v>20438000</v>
          </cell>
          <cell r="W138">
            <v>44119000</v>
          </cell>
          <cell r="X138">
            <v>0.46324712708810262</v>
          </cell>
          <cell r="Y138">
            <v>6894000</v>
          </cell>
          <cell r="Z138">
            <v>44119000</v>
          </cell>
          <cell r="AA138">
            <v>0.15625920805095311</v>
          </cell>
          <cell r="AB138">
            <v>1866000</v>
          </cell>
          <cell r="AC138">
            <v>44119000</v>
          </cell>
          <cell r="AD138">
            <v>4.2294702962442483E-2</v>
          </cell>
          <cell r="AE138">
            <v>6346000</v>
          </cell>
          <cell r="AF138">
            <v>44119000</v>
          </cell>
          <cell r="AG138">
            <v>0.14383825562682745</v>
          </cell>
          <cell r="AH138">
            <v>7529000</v>
          </cell>
          <cell r="AI138">
            <v>44119000</v>
          </cell>
          <cell r="AJ138">
            <v>0.1706521000022666</v>
          </cell>
          <cell r="AK138">
            <v>1046000</v>
          </cell>
          <cell r="AL138">
            <v>44119000</v>
          </cell>
          <cell r="AM138">
            <v>2.3708606269407739E-2</v>
          </cell>
          <cell r="AN138">
            <v>21447000</v>
          </cell>
          <cell r="AO138">
            <v>32690</v>
          </cell>
          <cell r="AP138">
            <v>656.07219333129399</v>
          </cell>
          <cell r="AQ138">
            <v>11026000</v>
          </cell>
          <cell r="AR138">
            <v>33580000</v>
          </cell>
          <cell r="AS138">
            <v>0.32835020845741514</v>
          </cell>
          <cell r="AT138">
            <v>11891000</v>
          </cell>
          <cell r="AU138">
            <v>33580000</v>
          </cell>
          <cell r="AV138">
            <v>0.35410958904109591</v>
          </cell>
          <cell r="AW138">
            <v>84000</v>
          </cell>
          <cell r="AX138">
            <v>33580000</v>
          </cell>
          <cell r="AY138">
            <v>2.5014889815366289E-3</v>
          </cell>
          <cell r="AZ138">
            <v>5413000</v>
          </cell>
          <cell r="BA138">
            <v>33580000</v>
          </cell>
          <cell r="BB138">
            <v>0.16119714115544967</v>
          </cell>
          <cell r="BC138">
            <v>5166000</v>
          </cell>
          <cell r="BD138">
            <v>33580000</v>
          </cell>
          <cell r="BE138">
            <v>0.15384157236450269</v>
          </cell>
          <cell r="BF138">
            <v>25181000</v>
          </cell>
          <cell r="BG138">
            <v>32690</v>
          </cell>
          <cell r="BH138">
            <v>770.29672682777607</v>
          </cell>
          <cell r="BI138">
            <v>9810000</v>
          </cell>
          <cell r="BJ138">
            <v>3766000</v>
          </cell>
          <cell r="BK138">
            <v>2.6048858204992036</v>
          </cell>
          <cell r="BL138">
            <v>733000</v>
          </cell>
          <cell r="BM138">
            <v>32658000</v>
          </cell>
          <cell r="BN138">
            <v>2.2444730234552023E-2</v>
          </cell>
          <cell r="BO138">
            <v>8045000</v>
          </cell>
          <cell r="BP138">
            <v>3442000</v>
          </cell>
          <cell r="BQ138">
            <v>2.3373038930854153</v>
          </cell>
          <cell r="BR138">
            <v>208</v>
          </cell>
          <cell r="BS138" t="str">
            <v>On Time</v>
          </cell>
          <cell r="BT138" t="str">
            <v>On Time</v>
          </cell>
          <cell r="BU138" t="str">
            <v>On Time</v>
          </cell>
          <cell r="BV138">
            <v>721000</v>
          </cell>
          <cell r="BW138">
            <v>32690</v>
          </cell>
          <cell r="BX138">
            <v>22.055674518201286</v>
          </cell>
          <cell r="BY138">
            <v>196761</v>
          </cell>
          <cell r="BZ138">
            <v>32690</v>
          </cell>
          <cell r="CA138">
            <v>6.0189966350565927</v>
          </cell>
          <cell r="CB138">
            <v>1991000</v>
          </cell>
          <cell r="CC138">
            <v>12337</v>
          </cell>
          <cell r="CD138">
            <v>161.38445327064926</v>
          </cell>
          <cell r="CE138">
            <v>1598592</v>
          </cell>
          <cell r="CF138">
            <v>12337</v>
          </cell>
          <cell r="CG138">
            <v>129.57704466239767</v>
          </cell>
          <cell r="CH138">
            <v>2600000</v>
          </cell>
          <cell r="CI138">
            <v>32690</v>
          </cell>
          <cell r="CJ138">
            <v>79.535026001835419</v>
          </cell>
          <cell r="CK138">
            <v>7142000</v>
          </cell>
          <cell r="CL138">
            <v>32690</v>
          </cell>
          <cell r="CM138">
            <v>218.4765983481187</v>
          </cell>
          <cell r="CN138">
            <v>377.53969540910401</v>
          </cell>
          <cell r="CO138">
            <v>243.492331504151</v>
          </cell>
          <cell r="CP138">
            <v>327.09518389273001</v>
          </cell>
          <cell r="CQ138">
            <v>272.12404833414797</v>
          </cell>
          <cell r="CR138">
            <v>696</v>
          </cell>
          <cell r="CS138">
            <v>33345</v>
          </cell>
          <cell r="CT138">
            <v>696</v>
          </cell>
          <cell r="CU138">
            <v>47.90948275862069</v>
          </cell>
          <cell r="CV138">
            <v>41</v>
          </cell>
          <cell r="CW138">
            <v>6000</v>
          </cell>
          <cell r="CX138">
            <v>1100000</v>
          </cell>
          <cell r="CY138">
            <v>5.454545454545455E-3</v>
          </cell>
          <cell r="CZ138">
            <v>414000</v>
          </cell>
          <cell r="DA138">
            <v>32690</v>
          </cell>
          <cell r="DB138">
            <v>12.664423371061487</v>
          </cell>
          <cell r="DC138">
            <v>2281000</v>
          </cell>
          <cell r="DD138">
            <v>32690</v>
          </cell>
          <cell r="DE138">
            <v>69.776690119302543</v>
          </cell>
          <cell r="DF138">
            <v>3608000</v>
          </cell>
          <cell r="DG138">
            <v>32690</v>
          </cell>
          <cell r="DH138">
            <v>110.3701437748547</v>
          </cell>
          <cell r="DI138">
            <v>52.2</v>
          </cell>
          <cell r="DJ138">
            <v>626.24521072796927</v>
          </cell>
          <cell r="DK138">
            <v>2.7963737796373778E-2</v>
          </cell>
          <cell r="DL138">
            <v>2.61</v>
          </cell>
          <cell r="DM138">
            <v>13.31</v>
          </cell>
        </row>
        <row r="139">
          <cell r="B139" t="str">
            <v>Quirindi Shire Council</v>
          </cell>
          <cell r="C139">
            <v>9</v>
          </cell>
          <cell r="D139">
            <v>643000</v>
          </cell>
          <cell r="E139">
            <v>1602</v>
          </cell>
          <cell r="F139">
            <v>401.37328339575532</v>
          </cell>
          <cell r="G139">
            <v>1368000</v>
          </cell>
          <cell r="H139">
            <v>604</v>
          </cell>
          <cell r="I139">
            <v>2264.9006622516558</v>
          </cell>
          <cell r="J139">
            <v>229000</v>
          </cell>
          <cell r="K139">
            <v>228</v>
          </cell>
          <cell r="L139">
            <v>1004.3859649122807</v>
          </cell>
          <cell r="M139">
            <v>427000</v>
          </cell>
          <cell r="N139">
            <v>5012000</v>
          </cell>
          <cell r="O139">
            <v>8.5195530726256977E-2</v>
          </cell>
          <cell r="P139">
            <v>82000</v>
          </cell>
          <cell r="Q139">
            <v>2971000</v>
          </cell>
          <cell r="R139">
            <v>2.7600134634803097E-2</v>
          </cell>
          <cell r="S139">
            <v>381000</v>
          </cell>
          <cell r="T139">
            <v>1578000</v>
          </cell>
          <cell r="U139">
            <v>0.2414448669201521</v>
          </cell>
          <cell r="V139">
            <v>3053000</v>
          </cell>
          <cell r="W139">
            <v>10211000</v>
          </cell>
          <cell r="X139">
            <v>0.29899128390950935</v>
          </cell>
          <cell r="Y139">
            <v>1959000</v>
          </cell>
          <cell r="Z139">
            <v>10211000</v>
          </cell>
          <cell r="AA139">
            <v>0.19185192439526003</v>
          </cell>
          <cell r="AB139">
            <v>324000</v>
          </cell>
          <cell r="AC139">
            <v>10211000</v>
          </cell>
          <cell r="AD139">
            <v>3.1730486729997065E-2</v>
          </cell>
          <cell r="AE139">
            <v>3986000</v>
          </cell>
          <cell r="AF139">
            <v>10211000</v>
          </cell>
          <cell r="AG139">
            <v>0.39036333365977866</v>
          </cell>
          <cell r="AH139">
            <v>879000</v>
          </cell>
          <cell r="AI139">
            <v>10211000</v>
          </cell>
          <cell r="AJ139">
            <v>8.60836352952698E-2</v>
          </cell>
          <cell r="AK139">
            <v>10000</v>
          </cell>
          <cell r="AL139">
            <v>10211000</v>
          </cell>
          <cell r="AM139">
            <v>9.7933601018509444E-4</v>
          </cell>
          <cell r="AN139">
            <v>7558000</v>
          </cell>
          <cell r="AO139">
            <v>4987</v>
          </cell>
          <cell r="AP139">
            <v>1515.5404050531381</v>
          </cell>
          <cell r="AQ139">
            <v>2962000</v>
          </cell>
          <cell r="AR139">
            <v>8850000</v>
          </cell>
          <cell r="AS139">
            <v>0.33468926553672318</v>
          </cell>
          <cell r="AT139">
            <v>1979000</v>
          </cell>
          <cell r="AU139">
            <v>8850000</v>
          </cell>
          <cell r="AV139">
            <v>0.22361581920903956</v>
          </cell>
          <cell r="AW139">
            <v>36000</v>
          </cell>
          <cell r="AX139">
            <v>8850000</v>
          </cell>
          <cell r="AY139">
            <v>4.0677966101694916E-3</v>
          </cell>
          <cell r="AZ139">
            <v>3191000</v>
          </cell>
          <cell r="BA139">
            <v>8850000</v>
          </cell>
          <cell r="BB139">
            <v>0.36056497175141244</v>
          </cell>
          <cell r="BC139">
            <v>682000</v>
          </cell>
          <cell r="BD139">
            <v>8850000</v>
          </cell>
          <cell r="BE139">
            <v>7.7062146892655364E-2</v>
          </cell>
          <cell r="BF139">
            <v>9206000</v>
          </cell>
          <cell r="BG139">
            <v>4987</v>
          </cell>
          <cell r="BH139">
            <v>1845.999598957289</v>
          </cell>
          <cell r="BI139">
            <v>5094000</v>
          </cell>
          <cell r="BJ139">
            <v>1014000</v>
          </cell>
          <cell r="BK139">
            <v>5.0236686390532546</v>
          </cell>
          <cell r="BL139">
            <v>202000</v>
          </cell>
          <cell r="BM139">
            <v>6221000</v>
          </cell>
          <cell r="BN139">
            <v>3.2470663880405079E-2</v>
          </cell>
          <cell r="BO139">
            <v>-646000</v>
          </cell>
          <cell r="BP139">
            <v>2946000</v>
          </cell>
          <cell r="BQ139">
            <v>-0.21928038017651053</v>
          </cell>
          <cell r="BR139">
            <v>86</v>
          </cell>
          <cell r="BS139" t="str">
            <v>On Time</v>
          </cell>
          <cell r="BT139" t="str">
            <v>On Time</v>
          </cell>
          <cell r="BU139" t="str">
            <v>On Time</v>
          </cell>
          <cell r="BV139">
            <v>137000</v>
          </cell>
          <cell r="BW139">
            <v>4987</v>
          </cell>
          <cell r="BX139">
            <v>27.471425706837778</v>
          </cell>
          <cell r="BY139">
            <v>31129</v>
          </cell>
          <cell r="BZ139">
            <v>4987</v>
          </cell>
          <cell r="CA139">
            <v>6.2420292761179068</v>
          </cell>
          <cell r="CB139">
            <v>117000</v>
          </cell>
          <cell r="CC139">
            <v>1331</v>
          </cell>
          <cell r="CD139">
            <v>87.903831705484592</v>
          </cell>
          <cell r="CE139">
            <v>62695</v>
          </cell>
          <cell r="CF139">
            <v>1331</v>
          </cell>
          <cell r="CG139">
            <v>47.103681442524419</v>
          </cell>
          <cell r="CH139">
            <v>656250</v>
          </cell>
          <cell r="CI139">
            <v>4987</v>
          </cell>
          <cell r="CJ139">
            <v>131.59213956286345</v>
          </cell>
          <cell r="CK139">
            <v>540000</v>
          </cell>
          <cell r="CL139">
            <v>4987</v>
          </cell>
          <cell r="CM139">
            <v>108.2815319831562</v>
          </cell>
          <cell r="CN139">
            <v>328.47844769307</v>
          </cell>
          <cell r="CO139">
            <v>266.35654261704701</v>
          </cell>
          <cell r="CP139">
            <v>287</v>
          </cell>
          <cell r="CQ139">
            <v>285.08771929824599</v>
          </cell>
          <cell r="CR139">
            <v>93</v>
          </cell>
          <cell r="CS139">
            <v>2163</v>
          </cell>
          <cell r="CT139">
            <v>93</v>
          </cell>
          <cell r="CU139">
            <v>23.258064516129032</v>
          </cell>
          <cell r="CV139">
            <v>17</v>
          </cell>
          <cell r="CW139">
            <v>0</v>
          </cell>
          <cell r="CX139">
            <v>26000</v>
          </cell>
          <cell r="CY139">
            <v>0</v>
          </cell>
          <cell r="CZ139">
            <v>347000</v>
          </cell>
          <cell r="DA139">
            <v>4987</v>
          </cell>
          <cell r="DB139">
            <v>69.580910366954086</v>
          </cell>
          <cell r="DC139">
            <v>300000</v>
          </cell>
          <cell r="DD139">
            <v>4987</v>
          </cell>
          <cell r="DE139">
            <v>60.156406657309006</v>
          </cell>
          <cell r="DF139">
            <v>172000</v>
          </cell>
          <cell r="DG139">
            <v>4987</v>
          </cell>
          <cell r="DH139">
            <v>34.489673150190498</v>
          </cell>
          <cell r="DI139">
            <v>3035</v>
          </cell>
          <cell r="DJ139">
            <v>1.6431630971993409</v>
          </cell>
          <cell r="DK139">
            <v>-1.4609665427509294E-2</v>
          </cell>
          <cell r="DL139">
            <v>6.55</v>
          </cell>
          <cell r="DM139">
            <v>1.43</v>
          </cell>
        </row>
        <row r="140">
          <cell r="B140" t="str">
            <v>Randwick City Council</v>
          </cell>
          <cell r="C140">
            <v>3</v>
          </cell>
          <cell r="D140">
            <v>26290000</v>
          </cell>
          <cell r="E140">
            <v>43367</v>
          </cell>
          <cell r="F140">
            <v>606.22132035879815</v>
          </cell>
          <cell r="G140">
            <v>0</v>
          </cell>
          <cell r="H140">
            <v>0</v>
          </cell>
          <cell r="I140" t="str">
            <v>N/A</v>
          </cell>
          <cell r="J140">
            <v>7530000</v>
          </cell>
          <cell r="K140">
            <v>1907</v>
          </cell>
          <cell r="L140">
            <v>3948.6103828002097</v>
          </cell>
          <cell r="M140">
            <v>1866000</v>
          </cell>
          <cell r="N140">
            <v>53564000</v>
          </cell>
          <cell r="O140">
            <v>3.4836830707191395E-2</v>
          </cell>
          <cell r="P140">
            <v>4157000</v>
          </cell>
          <cell r="Q140">
            <v>40646000</v>
          </cell>
          <cell r="R140">
            <v>0.10227328642424839</v>
          </cell>
          <cell r="S140">
            <v>-93000</v>
          </cell>
          <cell r="T140">
            <v>8854000</v>
          </cell>
          <cell r="U140">
            <v>-1.0503727128981252E-2</v>
          </cell>
          <cell r="V140">
            <v>44803000</v>
          </cell>
          <cell r="W140">
            <v>67068000</v>
          </cell>
          <cell r="X140">
            <v>0.6680234985387965</v>
          </cell>
          <cell r="Y140">
            <v>8761000</v>
          </cell>
          <cell r="Z140">
            <v>67068000</v>
          </cell>
          <cell r="AA140">
            <v>0.13062861573328563</v>
          </cell>
          <cell r="AB140">
            <v>1861000</v>
          </cell>
          <cell r="AC140">
            <v>67068000</v>
          </cell>
          <cell r="AD140">
            <v>2.7747957297071628E-2</v>
          </cell>
          <cell r="AE140">
            <v>5867000</v>
          </cell>
          <cell r="AF140">
            <v>67068000</v>
          </cell>
          <cell r="AG140">
            <v>8.7478380151488039E-2</v>
          </cell>
          <cell r="AH140">
            <v>3809000</v>
          </cell>
          <cell r="AI140">
            <v>67068000</v>
          </cell>
          <cell r="AJ140">
            <v>5.679310550486074E-2</v>
          </cell>
          <cell r="AK140">
            <v>1967000</v>
          </cell>
          <cell r="AL140">
            <v>67068000</v>
          </cell>
          <cell r="AM140">
            <v>2.9328442774497525E-2</v>
          </cell>
          <cell r="AN140">
            <v>63214000</v>
          </cell>
          <cell r="AO140">
            <v>126043</v>
          </cell>
          <cell r="AP140">
            <v>501.52725657117014</v>
          </cell>
          <cell r="AQ140">
            <v>24989000</v>
          </cell>
          <cell r="AR140">
            <v>62417000</v>
          </cell>
          <cell r="AS140">
            <v>0.40035567233285801</v>
          </cell>
          <cell r="AT140">
            <v>16007000</v>
          </cell>
          <cell r="AU140">
            <v>62417000</v>
          </cell>
          <cell r="AV140">
            <v>0.25645256901164748</v>
          </cell>
          <cell r="AW140">
            <v>4000</v>
          </cell>
          <cell r="AX140">
            <v>62417000</v>
          </cell>
          <cell r="AY140">
            <v>6.4085105019465855E-5</v>
          </cell>
          <cell r="AZ140">
            <v>11307000</v>
          </cell>
          <cell r="BA140">
            <v>62417000</v>
          </cell>
          <cell r="BB140">
            <v>0.1811525706137751</v>
          </cell>
          <cell r="BC140">
            <v>10110000</v>
          </cell>
          <cell r="BD140">
            <v>62417000</v>
          </cell>
          <cell r="BE140">
            <v>0.16197510293669995</v>
          </cell>
          <cell r="BF140">
            <v>62553000</v>
          </cell>
          <cell r="BG140">
            <v>126043</v>
          </cell>
          <cell r="BH140">
            <v>496.28301452678846</v>
          </cell>
          <cell r="BI140">
            <v>35418000</v>
          </cell>
          <cell r="BJ140">
            <v>8021000</v>
          </cell>
          <cell r="BK140">
            <v>4.4156588953995763</v>
          </cell>
          <cell r="BL140">
            <v>21000</v>
          </cell>
          <cell r="BM140">
            <v>61248000</v>
          </cell>
          <cell r="BN140">
            <v>3.4286833855799373E-4</v>
          </cell>
          <cell r="BO140">
            <v>11167000</v>
          </cell>
          <cell r="BP140">
            <v>11307000</v>
          </cell>
          <cell r="BQ140">
            <v>0.98761828955514286</v>
          </cell>
          <cell r="BR140">
            <v>468</v>
          </cell>
          <cell r="BS140" t="str">
            <v>&lt;=2</v>
          </cell>
          <cell r="BT140" t="str">
            <v>&lt;=2</v>
          </cell>
          <cell r="BU140" t="str">
            <v>On Time</v>
          </cell>
          <cell r="BV140">
            <v>3465000</v>
          </cell>
          <cell r="BW140">
            <v>126043</v>
          </cell>
          <cell r="BX140">
            <v>27.490618281062812</v>
          </cell>
          <cell r="BY140">
            <v>723067</v>
          </cell>
          <cell r="BZ140">
            <v>126043</v>
          </cell>
          <cell r="CA140">
            <v>5.7366692319287864</v>
          </cell>
          <cell r="CB140">
            <v>10983000</v>
          </cell>
          <cell r="CC140">
            <v>51551</v>
          </cell>
          <cell r="CD140">
            <v>213.0511532269015</v>
          </cell>
          <cell r="CE140">
            <v>8915163</v>
          </cell>
          <cell r="CF140">
            <v>94179</v>
          </cell>
          <cell r="CG140">
            <v>94.66189914949193</v>
          </cell>
          <cell r="CH140">
            <v>12321580</v>
          </cell>
          <cell r="CI140">
            <v>126043</v>
          </cell>
          <cell r="CJ140">
            <v>97.756955959474141</v>
          </cell>
          <cell r="CK140">
            <v>28806340</v>
          </cell>
          <cell r="CL140">
            <v>126043</v>
          </cell>
          <cell r="CM140">
            <v>228.54375094213879</v>
          </cell>
          <cell r="CN140" t="str">
            <v>N/A</v>
          </cell>
          <cell r="CO140" t="str">
            <v>N/A</v>
          </cell>
          <cell r="CP140" t="str">
            <v>N/A</v>
          </cell>
          <cell r="CQ140" t="str">
            <v>N/A</v>
          </cell>
          <cell r="CR140">
            <v>1174</v>
          </cell>
          <cell r="CS140">
            <v>51377</v>
          </cell>
          <cell r="CT140">
            <v>1174</v>
          </cell>
          <cell r="CU140">
            <v>43.762350936967636</v>
          </cell>
          <cell r="CV140">
            <v>38.5</v>
          </cell>
          <cell r="CW140">
            <v>253000</v>
          </cell>
          <cell r="CX140">
            <v>4503000</v>
          </cell>
          <cell r="CY140">
            <v>5.6184765711747721E-2</v>
          </cell>
          <cell r="CZ140">
            <v>322000</v>
          </cell>
          <cell r="DA140">
            <v>126043</v>
          </cell>
          <cell r="DB140">
            <v>2.5546837190482612</v>
          </cell>
          <cell r="DC140">
            <v>6357000</v>
          </cell>
          <cell r="DD140">
            <v>126043</v>
          </cell>
          <cell r="DE140">
            <v>50.435168950278872</v>
          </cell>
          <cell r="DF140">
            <v>2966000</v>
          </cell>
          <cell r="DG140">
            <v>126043</v>
          </cell>
          <cell r="DH140">
            <v>23.531651896574978</v>
          </cell>
          <cell r="DI140">
            <v>36.4</v>
          </cell>
          <cell r="DJ140">
            <v>3462.7197802197802</v>
          </cell>
          <cell r="DK140">
            <v>1.0598162071846282E-2</v>
          </cell>
          <cell r="DL140">
            <v>1.17</v>
          </cell>
          <cell r="DM140">
            <v>26.63</v>
          </cell>
        </row>
        <row r="141">
          <cell r="B141" t="str">
            <v>Richmond River Shire Council</v>
          </cell>
          <cell r="C141" t="str">
            <v>A</v>
          </cell>
          <cell r="F141">
            <v>0</v>
          </cell>
          <cell r="I141">
            <v>0</v>
          </cell>
          <cell r="L141">
            <v>0</v>
          </cell>
          <cell r="O141">
            <v>0</v>
          </cell>
          <cell r="R141">
            <v>0</v>
          </cell>
          <cell r="U141">
            <v>0</v>
          </cell>
          <cell r="X141">
            <v>0</v>
          </cell>
          <cell r="Z141">
            <v>0</v>
          </cell>
          <cell r="AA141">
            <v>0</v>
          </cell>
          <cell r="AC141">
            <v>0</v>
          </cell>
          <cell r="AD141">
            <v>0</v>
          </cell>
          <cell r="AF141">
            <v>0</v>
          </cell>
          <cell r="AG141">
            <v>0</v>
          </cell>
          <cell r="AI141">
            <v>0</v>
          </cell>
          <cell r="AJ141">
            <v>0</v>
          </cell>
          <cell r="AL141">
            <v>0</v>
          </cell>
          <cell r="AM141">
            <v>0</v>
          </cell>
          <cell r="AP141">
            <v>0</v>
          </cell>
          <cell r="AS141">
            <v>0</v>
          </cell>
          <cell r="AU141">
            <v>0</v>
          </cell>
          <cell r="AV141">
            <v>0</v>
          </cell>
          <cell r="AX141">
            <v>0</v>
          </cell>
          <cell r="AY141">
            <v>0</v>
          </cell>
          <cell r="BA141">
            <v>0</v>
          </cell>
          <cell r="BB141">
            <v>0</v>
          </cell>
          <cell r="BD141">
            <v>0</v>
          </cell>
          <cell r="BE141">
            <v>0</v>
          </cell>
          <cell r="BG141">
            <v>0</v>
          </cell>
          <cell r="BH141">
            <v>0</v>
          </cell>
          <cell r="BK141">
            <v>0</v>
          </cell>
          <cell r="BN141">
            <v>0</v>
          </cell>
          <cell r="BQ141">
            <v>0</v>
          </cell>
          <cell r="BW141">
            <v>0</v>
          </cell>
          <cell r="BX141">
            <v>0</v>
          </cell>
          <cell r="BZ141">
            <v>0</v>
          </cell>
          <cell r="CA141">
            <v>0</v>
          </cell>
          <cell r="CD141">
            <v>0</v>
          </cell>
          <cell r="CG141">
            <v>0</v>
          </cell>
          <cell r="CI141">
            <v>0</v>
          </cell>
          <cell r="CJ141">
            <v>0</v>
          </cell>
          <cell r="CL141">
            <v>0</v>
          </cell>
          <cell r="CM141">
            <v>0</v>
          </cell>
          <cell r="CT141">
            <v>0</v>
          </cell>
          <cell r="CU141">
            <v>0</v>
          </cell>
          <cell r="CY141">
            <v>0</v>
          </cell>
          <cell r="DA141">
            <v>0</v>
          </cell>
          <cell r="DB141">
            <v>0</v>
          </cell>
          <cell r="DD141">
            <v>0</v>
          </cell>
          <cell r="DE141">
            <v>0</v>
          </cell>
          <cell r="DG141">
            <v>0</v>
          </cell>
          <cell r="DH141">
            <v>0</v>
          </cell>
          <cell r="DK141">
            <v>-0.2</v>
          </cell>
        </row>
        <row r="142">
          <cell r="B142" t="str">
            <v>Richmond Valley Council</v>
          </cell>
          <cell r="C142">
            <v>4</v>
          </cell>
          <cell r="D142">
            <v>2546000</v>
          </cell>
          <cell r="E142">
            <v>7144</v>
          </cell>
          <cell r="F142">
            <v>356.38297872340428</v>
          </cell>
          <cell r="G142">
            <v>929000</v>
          </cell>
          <cell r="H142">
            <v>1580</v>
          </cell>
          <cell r="I142">
            <v>587.97468354430384</v>
          </cell>
          <cell r="J142">
            <v>633000</v>
          </cell>
          <cell r="K142">
            <v>646</v>
          </cell>
          <cell r="L142">
            <v>979.87616099071204</v>
          </cell>
          <cell r="M142">
            <v>3250000</v>
          </cell>
          <cell r="N142">
            <v>17852000</v>
          </cell>
          <cell r="O142">
            <v>0.18205243110015684</v>
          </cell>
          <cell r="P142">
            <v>479000</v>
          </cell>
          <cell r="Q142">
            <v>8383000</v>
          </cell>
          <cell r="R142">
            <v>5.7139448884647503E-2</v>
          </cell>
          <cell r="S142">
            <v>627000</v>
          </cell>
          <cell r="T142">
            <v>8363000</v>
          </cell>
          <cell r="U142">
            <v>7.4973095779026666E-2</v>
          </cell>
          <cell r="V142">
            <v>8862000</v>
          </cell>
          <cell r="W142">
            <v>27962000</v>
          </cell>
          <cell r="X142">
            <v>0.31693011944782207</v>
          </cell>
          <cell r="Y142">
            <v>8990000</v>
          </cell>
          <cell r="Z142">
            <v>27962000</v>
          </cell>
          <cell r="AA142">
            <v>0.3215077605321508</v>
          </cell>
          <cell r="AB142">
            <v>737000</v>
          </cell>
          <cell r="AC142">
            <v>27962000</v>
          </cell>
          <cell r="AD142">
            <v>2.6357199055861525E-2</v>
          </cell>
          <cell r="AE142">
            <v>7268000</v>
          </cell>
          <cell r="AF142">
            <v>27962000</v>
          </cell>
          <cell r="AG142">
            <v>0.25992418281954083</v>
          </cell>
          <cell r="AH142">
            <v>1285000</v>
          </cell>
          <cell r="AI142">
            <v>27962000</v>
          </cell>
          <cell r="AJ142">
            <v>4.5955224948143907E-2</v>
          </cell>
          <cell r="AK142">
            <v>820000</v>
          </cell>
          <cell r="AL142">
            <v>27962000</v>
          </cell>
          <cell r="AM142">
            <v>2.932551319648094E-2</v>
          </cell>
          <cell r="AN142">
            <v>20640000</v>
          </cell>
          <cell r="AO142">
            <v>21050</v>
          </cell>
          <cell r="AP142">
            <v>980.52256532066508</v>
          </cell>
          <cell r="AQ142">
            <v>9555000</v>
          </cell>
          <cell r="AR142">
            <v>27847000</v>
          </cell>
          <cell r="AS142">
            <v>0.34312493266779187</v>
          </cell>
          <cell r="AT142">
            <v>6983000</v>
          </cell>
          <cell r="AU142">
            <v>27847000</v>
          </cell>
          <cell r="AV142">
            <v>0.25076309835888966</v>
          </cell>
          <cell r="AW142">
            <v>284000</v>
          </cell>
          <cell r="AX142">
            <v>27847000</v>
          </cell>
          <cell r="AY142">
            <v>1.0198585125866341E-2</v>
          </cell>
          <cell r="AZ142">
            <v>8182000</v>
          </cell>
          <cell r="BA142">
            <v>27847000</v>
          </cell>
          <cell r="BB142">
            <v>0.29381980105576905</v>
          </cell>
          <cell r="BC142">
            <v>2843000</v>
          </cell>
          <cell r="BD142">
            <v>27847000</v>
          </cell>
          <cell r="BE142">
            <v>0.10209358279168312</v>
          </cell>
          <cell r="BF142">
            <v>23125000</v>
          </cell>
          <cell r="BG142">
            <v>21050</v>
          </cell>
          <cell r="BH142">
            <v>1098.5748218527317</v>
          </cell>
          <cell r="BI142">
            <v>10292000</v>
          </cell>
          <cell r="BJ142">
            <v>4090000</v>
          </cell>
          <cell r="BK142">
            <v>2.5163814180929096</v>
          </cell>
          <cell r="BL142">
            <v>1336000</v>
          </cell>
          <cell r="BM142">
            <v>23021000</v>
          </cell>
          <cell r="BN142">
            <v>5.803396898483993E-2</v>
          </cell>
          <cell r="BO142">
            <v>4288000</v>
          </cell>
          <cell r="BP142">
            <v>7397000</v>
          </cell>
          <cell r="BQ142">
            <v>0.57969447073137759</v>
          </cell>
          <cell r="BR142">
            <v>205</v>
          </cell>
          <cell r="BS142" t="str">
            <v>On Time</v>
          </cell>
          <cell r="BT142" t="str">
            <v>On Time</v>
          </cell>
          <cell r="BU142" t="str">
            <v>On Time</v>
          </cell>
          <cell r="BV142">
            <v>350000</v>
          </cell>
          <cell r="BW142">
            <v>21050</v>
          </cell>
          <cell r="BX142">
            <v>16.6270783847981</v>
          </cell>
          <cell r="BY142">
            <v>137844</v>
          </cell>
          <cell r="BZ142">
            <v>21050</v>
          </cell>
          <cell r="CA142">
            <v>6.5484085510688832</v>
          </cell>
          <cell r="CB142">
            <v>1180000</v>
          </cell>
          <cell r="CC142">
            <v>6139</v>
          </cell>
          <cell r="CD142">
            <v>192.21371558885812</v>
          </cell>
          <cell r="CE142">
            <v>398163</v>
          </cell>
          <cell r="CF142">
            <v>6139</v>
          </cell>
          <cell r="CG142">
            <v>64.857957322039425</v>
          </cell>
          <cell r="CH142">
            <v>2849000</v>
          </cell>
          <cell r="CI142">
            <v>21050</v>
          </cell>
          <cell r="CJ142">
            <v>135.34441805225654</v>
          </cell>
          <cell r="CK142">
            <v>4942000</v>
          </cell>
          <cell r="CL142">
            <v>21050</v>
          </cell>
          <cell r="CM142">
            <v>234.77434679334917</v>
          </cell>
          <cell r="CN142">
            <v>309</v>
          </cell>
          <cell r="CO142">
            <v>349.39495377397998</v>
          </cell>
          <cell r="CP142">
            <v>412.35865408424399</v>
          </cell>
          <cell r="CQ142">
            <v>374.53310696095099</v>
          </cell>
          <cell r="CR142">
            <v>410</v>
          </cell>
          <cell r="CS142">
            <v>19337</v>
          </cell>
          <cell r="CT142">
            <v>410</v>
          </cell>
          <cell r="CU142">
            <v>47.163414634146342</v>
          </cell>
          <cell r="CV142">
            <v>38</v>
          </cell>
          <cell r="CW142">
            <v>4000</v>
          </cell>
          <cell r="CX142">
            <v>1054000</v>
          </cell>
          <cell r="CY142">
            <v>3.7950664136622392E-3</v>
          </cell>
          <cell r="CZ142">
            <v>677000</v>
          </cell>
          <cell r="DA142">
            <v>21050</v>
          </cell>
          <cell r="DB142">
            <v>32.161520190023751</v>
          </cell>
          <cell r="DC142">
            <v>1330000</v>
          </cell>
          <cell r="DD142">
            <v>21050</v>
          </cell>
          <cell r="DE142">
            <v>63.182897862232778</v>
          </cell>
          <cell r="DF142">
            <v>1109000</v>
          </cell>
          <cell r="DG142">
            <v>21050</v>
          </cell>
          <cell r="DH142">
            <v>52.684085510688838</v>
          </cell>
          <cell r="DI142">
            <v>2608.6999999999998</v>
          </cell>
          <cell r="DJ142">
            <v>8.0691532180779699</v>
          </cell>
          <cell r="DL142">
            <v>4.24</v>
          </cell>
          <cell r="DM142">
            <v>1.89</v>
          </cell>
        </row>
        <row r="143">
          <cell r="B143" t="str">
            <v>Rockdale City Council</v>
          </cell>
          <cell r="C143">
            <v>3</v>
          </cell>
          <cell r="D143">
            <v>19454000</v>
          </cell>
          <cell r="E143">
            <v>33943</v>
          </cell>
          <cell r="F143">
            <v>573.13731844562949</v>
          </cell>
          <cell r="G143">
            <v>5000</v>
          </cell>
          <cell r="H143">
            <v>5</v>
          </cell>
          <cell r="I143">
            <v>1000</v>
          </cell>
          <cell r="J143">
            <v>3366000</v>
          </cell>
          <cell r="K143">
            <v>1678</v>
          </cell>
          <cell r="L143">
            <v>2005.9594755661501</v>
          </cell>
          <cell r="M143">
            <v>1619000</v>
          </cell>
          <cell r="N143">
            <v>35805000</v>
          </cell>
          <cell r="O143">
            <v>4.5217148442954894E-2</v>
          </cell>
          <cell r="P143">
            <v>2386000</v>
          </cell>
          <cell r="Q143">
            <v>28672000</v>
          </cell>
          <cell r="R143">
            <v>8.3217075892857137E-2</v>
          </cell>
          <cell r="S143">
            <v>749000</v>
          </cell>
          <cell r="T143">
            <v>3998000</v>
          </cell>
          <cell r="U143">
            <v>0.18734367183591796</v>
          </cell>
          <cell r="V143">
            <v>31058000</v>
          </cell>
          <cell r="W143">
            <v>50768000</v>
          </cell>
          <cell r="X143">
            <v>0.61176331547431451</v>
          </cell>
          <cell r="Y143">
            <v>4747000</v>
          </cell>
          <cell r="Z143">
            <v>50768000</v>
          </cell>
          <cell r="AA143">
            <v>9.3503781909864483E-2</v>
          </cell>
          <cell r="AB143">
            <v>1887000</v>
          </cell>
          <cell r="AC143">
            <v>50768000</v>
          </cell>
          <cell r="AD143">
            <v>3.7169082886857864E-2</v>
          </cell>
          <cell r="AE143">
            <v>4918000</v>
          </cell>
          <cell r="AF143">
            <v>50768000</v>
          </cell>
          <cell r="AG143">
            <v>9.6872045382918368E-2</v>
          </cell>
          <cell r="AH143">
            <v>7238000</v>
          </cell>
          <cell r="AI143">
            <v>50768000</v>
          </cell>
          <cell r="AJ143">
            <v>0.14257012291207061</v>
          </cell>
          <cell r="AK143">
            <v>920000</v>
          </cell>
          <cell r="AL143">
            <v>50768000</v>
          </cell>
          <cell r="AM143">
            <v>1.8121651433974158E-2</v>
          </cell>
          <cell r="AN143">
            <v>42857000</v>
          </cell>
          <cell r="AO143">
            <v>92869</v>
          </cell>
          <cell r="AP143">
            <v>461.47799588667908</v>
          </cell>
          <cell r="AQ143">
            <v>16766000</v>
          </cell>
          <cell r="AR143">
            <v>41062000</v>
          </cell>
          <cell r="AS143">
            <v>0.40830938580682868</v>
          </cell>
          <cell r="AT143">
            <v>8977000</v>
          </cell>
          <cell r="AU143">
            <v>41062000</v>
          </cell>
          <cell r="AV143">
            <v>0.218620622473333</v>
          </cell>
          <cell r="AW143">
            <v>596000</v>
          </cell>
          <cell r="AX143">
            <v>41062000</v>
          </cell>
          <cell r="AY143">
            <v>1.4514636403487409E-2</v>
          </cell>
          <cell r="AZ143">
            <v>6742000</v>
          </cell>
          <cell r="BA143">
            <v>41062000</v>
          </cell>
          <cell r="BB143">
            <v>0.16419073596025521</v>
          </cell>
          <cell r="BC143">
            <v>7981000</v>
          </cell>
          <cell r="BD143">
            <v>41062000</v>
          </cell>
          <cell r="BE143">
            <v>0.19436461935609567</v>
          </cell>
          <cell r="BF143">
            <v>41062000</v>
          </cell>
          <cell r="BG143">
            <v>92869</v>
          </cell>
          <cell r="BH143">
            <v>442.14969473128815</v>
          </cell>
          <cell r="BI143">
            <v>19902000</v>
          </cell>
          <cell r="BJ143">
            <v>6991000</v>
          </cell>
          <cell r="BK143">
            <v>2.8468030324703189</v>
          </cell>
          <cell r="BL143">
            <v>2371000</v>
          </cell>
          <cell r="BM143">
            <v>41881000</v>
          </cell>
          <cell r="BN143">
            <v>5.6612783839927412E-2</v>
          </cell>
          <cell r="BO143">
            <v>3565000</v>
          </cell>
          <cell r="BP143">
            <v>6742000</v>
          </cell>
          <cell r="BQ143">
            <v>0.52877484425986354</v>
          </cell>
          <cell r="BR143">
            <v>322</v>
          </cell>
          <cell r="BS143" t="str">
            <v>On Time</v>
          </cell>
          <cell r="BT143" t="str">
            <v>On Time</v>
          </cell>
          <cell r="BU143" t="str">
            <v>On Time</v>
          </cell>
          <cell r="BV143">
            <v>2335000</v>
          </cell>
          <cell r="BW143">
            <v>92869</v>
          </cell>
          <cell r="BX143">
            <v>25.142943285703517</v>
          </cell>
          <cell r="BY143">
            <v>634808</v>
          </cell>
          <cell r="BZ143">
            <v>92869</v>
          </cell>
          <cell r="CA143">
            <v>6.8355210027027322</v>
          </cell>
          <cell r="CB143">
            <v>7988000</v>
          </cell>
          <cell r="CC143">
            <v>33895</v>
          </cell>
          <cell r="CD143">
            <v>235.66897772532823</v>
          </cell>
          <cell r="CE143">
            <v>5096042</v>
          </cell>
          <cell r="CF143">
            <v>32802</v>
          </cell>
          <cell r="CG143">
            <v>155.35766111822448</v>
          </cell>
          <cell r="CH143">
            <v>8290000</v>
          </cell>
          <cell r="CI143">
            <v>92869</v>
          </cell>
          <cell r="CJ143">
            <v>89.265524556095144</v>
          </cell>
          <cell r="CK143">
            <v>24740000</v>
          </cell>
          <cell r="CL143">
            <v>92869</v>
          </cell>
          <cell r="CM143">
            <v>266.39675241469166</v>
          </cell>
          <cell r="CN143" t="str">
            <v>N/A</v>
          </cell>
          <cell r="CO143" t="str">
            <v>N/A</v>
          </cell>
          <cell r="CP143" t="str">
            <v>N/A</v>
          </cell>
          <cell r="CQ143" t="str">
            <v>N/A</v>
          </cell>
          <cell r="CR143">
            <v>1154</v>
          </cell>
          <cell r="CS143">
            <v>71971</v>
          </cell>
          <cell r="CT143">
            <v>1154</v>
          </cell>
          <cell r="CU143">
            <v>62.366551126516462</v>
          </cell>
          <cell r="CV143">
            <v>43</v>
          </cell>
          <cell r="CW143">
            <v>171000</v>
          </cell>
          <cell r="CX143">
            <v>2857000</v>
          </cell>
          <cell r="CY143">
            <v>5.985299264963248E-2</v>
          </cell>
          <cell r="CZ143">
            <v>652000</v>
          </cell>
          <cell r="DA143">
            <v>92869</v>
          </cell>
          <cell r="DB143">
            <v>7.02064197956261</v>
          </cell>
          <cell r="DC143">
            <v>-199000</v>
          </cell>
          <cell r="DD143">
            <v>92869</v>
          </cell>
          <cell r="DE143">
            <v>-2.1428033035781584</v>
          </cell>
          <cell r="DF143">
            <v>1188000</v>
          </cell>
          <cell r="DG143">
            <v>92869</v>
          </cell>
          <cell r="DH143">
            <v>12.7922126866877</v>
          </cell>
          <cell r="DI143">
            <v>28.1</v>
          </cell>
          <cell r="DJ143">
            <v>3304.9466192170817</v>
          </cell>
          <cell r="DK143">
            <v>1.1546697038724374E-2</v>
          </cell>
          <cell r="DL143">
            <v>0.38</v>
          </cell>
          <cell r="DM143">
            <v>32.83</v>
          </cell>
        </row>
        <row r="144">
          <cell r="B144" t="str">
            <v>Ryde City Council</v>
          </cell>
          <cell r="C144">
            <v>3</v>
          </cell>
          <cell r="D144">
            <v>17649000</v>
          </cell>
          <cell r="E144">
            <v>35803</v>
          </cell>
          <cell r="F144">
            <v>492.94751836438286</v>
          </cell>
          <cell r="G144">
            <v>0</v>
          </cell>
          <cell r="H144">
            <v>0</v>
          </cell>
          <cell r="I144" t="str">
            <v>N/A</v>
          </cell>
          <cell r="J144">
            <v>6929000</v>
          </cell>
          <cell r="K144">
            <v>1512</v>
          </cell>
          <cell r="L144">
            <v>4582.6719576719579</v>
          </cell>
          <cell r="M144">
            <v>1454000</v>
          </cell>
          <cell r="N144">
            <v>42574000</v>
          </cell>
          <cell r="O144">
            <v>3.4152299525532018E-2</v>
          </cell>
          <cell r="P144">
            <v>1336000</v>
          </cell>
          <cell r="Q144">
            <v>35289000</v>
          </cell>
          <cell r="R144">
            <v>3.7858822862648418E-2</v>
          </cell>
          <cell r="S144">
            <v>816000</v>
          </cell>
          <cell r="T144">
            <v>5133000</v>
          </cell>
          <cell r="U144">
            <v>0.15897136177673876</v>
          </cell>
          <cell r="V144">
            <v>36625000</v>
          </cell>
          <cell r="W144">
            <v>82036000</v>
          </cell>
          <cell r="X144">
            <v>0.44645033887561558</v>
          </cell>
          <cell r="Y144">
            <v>5949000</v>
          </cell>
          <cell r="Z144">
            <v>82036000</v>
          </cell>
          <cell r="AA144">
            <v>7.2516943780779164E-2</v>
          </cell>
          <cell r="AB144">
            <v>1777000</v>
          </cell>
          <cell r="AC144">
            <v>82036000</v>
          </cell>
          <cell r="AD144">
            <v>2.1661221902579356E-2</v>
          </cell>
          <cell r="AE144">
            <v>3775000</v>
          </cell>
          <cell r="AF144">
            <v>82036000</v>
          </cell>
          <cell r="AG144">
            <v>4.6016383051343313E-2</v>
          </cell>
          <cell r="AH144">
            <v>32655000</v>
          </cell>
          <cell r="AI144">
            <v>82036000</v>
          </cell>
          <cell r="AJ144">
            <v>0.39805695060705054</v>
          </cell>
          <cell r="AK144">
            <v>1255000</v>
          </cell>
          <cell r="AL144">
            <v>82036000</v>
          </cell>
          <cell r="AM144">
            <v>1.5298161782632016E-2</v>
          </cell>
          <cell r="AN144">
            <v>52354000</v>
          </cell>
          <cell r="AO144">
            <v>99466</v>
          </cell>
          <cell r="AP144">
            <v>526.35071280638613</v>
          </cell>
          <cell r="AQ144">
            <v>17432000</v>
          </cell>
          <cell r="AR144">
            <v>55967000</v>
          </cell>
          <cell r="AS144">
            <v>0.31146925867028785</v>
          </cell>
          <cell r="AT144">
            <v>13246000</v>
          </cell>
          <cell r="AU144">
            <v>55967000</v>
          </cell>
          <cell r="AV144">
            <v>0.23667518359033002</v>
          </cell>
          <cell r="AW144">
            <v>503000</v>
          </cell>
          <cell r="AX144">
            <v>55967000</v>
          </cell>
          <cell r="AY144">
            <v>8.9874390265692276E-3</v>
          </cell>
          <cell r="AZ144">
            <v>14116000</v>
          </cell>
          <cell r="BA144">
            <v>55967000</v>
          </cell>
          <cell r="BB144">
            <v>0.25222005824861077</v>
          </cell>
          <cell r="BC144">
            <v>10670000</v>
          </cell>
          <cell r="BD144">
            <v>55967000</v>
          </cell>
          <cell r="BE144">
            <v>0.19064806046420213</v>
          </cell>
          <cell r="BF144">
            <v>55967000</v>
          </cell>
          <cell r="BG144">
            <v>99466</v>
          </cell>
          <cell r="BH144">
            <v>562.67468280618505</v>
          </cell>
          <cell r="BI144">
            <v>29861000</v>
          </cell>
          <cell r="BJ144">
            <v>9691000</v>
          </cell>
          <cell r="BK144">
            <v>3.0813125580435456</v>
          </cell>
          <cell r="BL144">
            <v>1854000</v>
          </cell>
          <cell r="BM144">
            <v>50754000</v>
          </cell>
          <cell r="BN144">
            <v>3.6529140560349921E-2</v>
          </cell>
          <cell r="BO144">
            <v>38629000</v>
          </cell>
          <cell r="BP144">
            <v>14116000</v>
          </cell>
          <cell r="BQ144">
            <v>2.7365400963445734</v>
          </cell>
          <cell r="BR144">
            <v>369</v>
          </cell>
          <cell r="BS144" t="str">
            <v>On Time</v>
          </cell>
          <cell r="BT144" t="str">
            <v>On Time</v>
          </cell>
          <cell r="BU144" t="str">
            <v>On Time</v>
          </cell>
          <cell r="BV144">
            <v>3288000</v>
          </cell>
          <cell r="BW144">
            <v>99466</v>
          </cell>
          <cell r="BX144">
            <v>33.056521826553798</v>
          </cell>
          <cell r="BY144">
            <v>777429</v>
          </cell>
          <cell r="BZ144">
            <v>99466</v>
          </cell>
          <cell r="CA144">
            <v>7.8160275873162686</v>
          </cell>
          <cell r="CB144">
            <v>6071000</v>
          </cell>
          <cell r="CC144">
            <v>35832</v>
          </cell>
          <cell r="CD144">
            <v>169.42956016968074</v>
          </cell>
          <cell r="CE144">
            <v>4186254</v>
          </cell>
          <cell r="CF144">
            <v>35832</v>
          </cell>
          <cell r="CG144">
            <v>116.83004018754187</v>
          </cell>
          <cell r="CH144">
            <v>8065000</v>
          </cell>
          <cell r="CI144">
            <v>99466</v>
          </cell>
          <cell r="CJ144">
            <v>81.082983129913742</v>
          </cell>
          <cell r="CK144">
            <v>31302000</v>
          </cell>
          <cell r="CL144">
            <v>99466</v>
          </cell>
          <cell r="CM144">
            <v>314.70050067359699</v>
          </cell>
          <cell r="CN144" t="str">
            <v>N/A</v>
          </cell>
          <cell r="CO144" t="str">
            <v>N/A</v>
          </cell>
          <cell r="CP144" t="str">
            <v>N/A</v>
          </cell>
          <cell r="CQ144" t="str">
            <v>N/A</v>
          </cell>
          <cell r="CR144">
            <v>1274</v>
          </cell>
          <cell r="CS144">
            <v>67522</v>
          </cell>
          <cell r="CT144">
            <v>1274</v>
          </cell>
          <cell r="CU144">
            <v>53</v>
          </cell>
          <cell r="CV144">
            <v>39</v>
          </cell>
          <cell r="CW144">
            <v>212000</v>
          </cell>
          <cell r="CX144">
            <v>3545000</v>
          </cell>
          <cell r="CY144">
            <v>5.9802538787023976E-2</v>
          </cell>
          <cell r="CZ144">
            <v>514000</v>
          </cell>
          <cell r="DA144">
            <v>99466</v>
          </cell>
          <cell r="DB144">
            <v>5.167594957070758</v>
          </cell>
          <cell r="DC144">
            <v>6206000</v>
          </cell>
          <cell r="DD144">
            <v>99466</v>
          </cell>
          <cell r="DE144">
            <v>62.393179578951603</v>
          </cell>
          <cell r="DF144">
            <v>1528000</v>
          </cell>
          <cell r="DG144">
            <v>99466</v>
          </cell>
          <cell r="DH144">
            <v>15.362033257595561</v>
          </cell>
          <cell r="DI144">
            <v>40.5</v>
          </cell>
          <cell r="DJ144">
            <v>2455.9506172839506</v>
          </cell>
          <cell r="DK144">
            <v>6.1471502590673575E-3</v>
          </cell>
          <cell r="DL144">
            <v>0.28999999999999998</v>
          </cell>
          <cell r="DM144">
            <v>26.61</v>
          </cell>
        </row>
        <row r="145">
          <cell r="B145" t="str">
            <v>Rylstone Shire Council</v>
          </cell>
          <cell r="C145">
            <v>9</v>
          </cell>
          <cell r="D145">
            <v>324000</v>
          </cell>
          <cell r="E145">
            <v>1350</v>
          </cell>
          <cell r="F145">
            <v>240</v>
          </cell>
          <cell r="G145">
            <v>1013000</v>
          </cell>
          <cell r="H145">
            <v>952</v>
          </cell>
          <cell r="I145">
            <v>1064.0756302521008</v>
          </cell>
          <cell r="J145">
            <v>44000</v>
          </cell>
          <cell r="K145">
            <v>112</v>
          </cell>
          <cell r="L145">
            <v>392.85714285714283</v>
          </cell>
          <cell r="M145">
            <v>258000</v>
          </cell>
          <cell r="N145">
            <v>3907000</v>
          </cell>
          <cell r="O145">
            <v>6.6035321218326087E-2</v>
          </cell>
          <cell r="P145">
            <v>124000</v>
          </cell>
          <cell r="Q145">
            <v>2322000</v>
          </cell>
          <cell r="R145">
            <v>5.3402239448751075E-2</v>
          </cell>
          <cell r="S145">
            <v>-208000</v>
          </cell>
          <cell r="T145">
            <v>1669000</v>
          </cell>
          <cell r="U145">
            <v>-0.12462552426602756</v>
          </cell>
          <cell r="V145">
            <v>2446000</v>
          </cell>
          <cell r="W145">
            <v>7377000</v>
          </cell>
          <cell r="X145">
            <v>0.33157109936288465</v>
          </cell>
          <cell r="Y145">
            <v>1461000</v>
          </cell>
          <cell r="Z145">
            <v>7377000</v>
          </cell>
          <cell r="AA145">
            <v>0.19804798698657991</v>
          </cell>
          <cell r="AB145">
            <v>161000</v>
          </cell>
          <cell r="AC145">
            <v>7377000</v>
          </cell>
          <cell r="AD145">
            <v>2.1824589941710722E-2</v>
          </cell>
          <cell r="AE145">
            <v>2447000</v>
          </cell>
          <cell r="AF145">
            <v>7377000</v>
          </cell>
          <cell r="AG145">
            <v>0.33170665582214992</v>
          </cell>
          <cell r="AH145">
            <v>833000</v>
          </cell>
          <cell r="AI145">
            <v>7377000</v>
          </cell>
          <cell r="AJ145">
            <v>0.11291853056798157</v>
          </cell>
          <cell r="AK145">
            <v>29000</v>
          </cell>
          <cell r="AL145">
            <v>7377000</v>
          </cell>
          <cell r="AM145">
            <v>3.9311373186932353E-3</v>
          </cell>
          <cell r="AN145">
            <v>6825000</v>
          </cell>
          <cell r="AO145">
            <v>3900</v>
          </cell>
          <cell r="AP145">
            <v>1750</v>
          </cell>
          <cell r="AQ145">
            <v>3124000</v>
          </cell>
          <cell r="AR145">
            <v>8284000</v>
          </cell>
          <cell r="AS145">
            <v>0.37711250603573154</v>
          </cell>
          <cell r="AT145">
            <v>1252000</v>
          </cell>
          <cell r="AU145">
            <v>8284000</v>
          </cell>
          <cell r="AV145">
            <v>0.15113471752776436</v>
          </cell>
          <cell r="AW145">
            <v>0</v>
          </cell>
          <cell r="AX145">
            <v>8284000</v>
          </cell>
          <cell r="AY145">
            <v>0</v>
          </cell>
          <cell r="AZ145">
            <v>2207000</v>
          </cell>
          <cell r="BA145">
            <v>8284000</v>
          </cell>
          <cell r="BB145">
            <v>0.26641718976339934</v>
          </cell>
          <cell r="BC145">
            <v>1701000</v>
          </cell>
          <cell r="BD145">
            <v>8284000</v>
          </cell>
          <cell r="BE145">
            <v>0.20533558667310478</v>
          </cell>
          <cell r="BF145">
            <v>6874000</v>
          </cell>
          <cell r="BG145">
            <v>3900</v>
          </cell>
          <cell r="BH145">
            <v>1762.5641025641025</v>
          </cell>
          <cell r="BI145">
            <v>901000</v>
          </cell>
          <cell r="BJ145">
            <v>571000</v>
          </cell>
          <cell r="BK145">
            <v>1.5779334500875657</v>
          </cell>
          <cell r="BL145">
            <v>0</v>
          </cell>
          <cell r="BM145">
            <v>5333000</v>
          </cell>
          <cell r="BN145">
            <v>0</v>
          </cell>
          <cell r="BO145">
            <v>1479000</v>
          </cell>
          <cell r="BP145">
            <v>1910000</v>
          </cell>
          <cell r="BQ145">
            <v>0.7743455497382199</v>
          </cell>
          <cell r="BR145">
            <v>68</v>
          </cell>
          <cell r="BS145" t="str">
            <v>On Time</v>
          </cell>
          <cell r="BT145" t="str">
            <v>On Time</v>
          </cell>
          <cell r="BU145" t="str">
            <v>On Time</v>
          </cell>
          <cell r="BV145">
            <v>80000</v>
          </cell>
          <cell r="BW145">
            <v>3900</v>
          </cell>
          <cell r="BX145">
            <v>20.512820512820515</v>
          </cell>
          <cell r="BY145">
            <v>12598</v>
          </cell>
          <cell r="BZ145">
            <v>3900</v>
          </cell>
          <cell r="CA145">
            <v>3.2302564102564104</v>
          </cell>
          <cell r="CB145">
            <v>104000</v>
          </cell>
          <cell r="CC145">
            <v>1211</v>
          </cell>
          <cell r="CD145">
            <v>85.879438480594544</v>
          </cell>
          <cell r="CE145">
            <v>65754</v>
          </cell>
          <cell r="CF145">
            <v>1211</v>
          </cell>
          <cell r="CG145">
            <v>54.297274979355905</v>
          </cell>
          <cell r="CH145">
            <v>310000</v>
          </cell>
          <cell r="CI145">
            <v>3900</v>
          </cell>
          <cell r="CJ145">
            <v>79.487179487179489</v>
          </cell>
          <cell r="CK145">
            <v>2325000</v>
          </cell>
          <cell r="CL145">
            <v>3900</v>
          </cell>
          <cell r="CM145">
            <v>596.15384615384619</v>
          </cell>
          <cell r="CN145">
            <v>389.95989471542299</v>
          </cell>
          <cell r="CO145">
            <v>616.23991856550003</v>
          </cell>
          <cell r="CP145">
            <v>412.56751543209901</v>
          </cell>
          <cell r="CQ145">
            <v>530.30303030303003</v>
          </cell>
          <cell r="CR145">
            <v>101</v>
          </cell>
          <cell r="CS145">
            <v>1369</v>
          </cell>
          <cell r="CT145">
            <v>101</v>
          </cell>
          <cell r="CU145">
            <v>13.554455445544555</v>
          </cell>
          <cell r="CV145">
            <v>14</v>
          </cell>
          <cell r="CW145">
            <v>8000</v>
          </cell>
          <cell r="CX145">
            <v>173000</v>
          </cell>
          <cell r="CY145">
            <v>4.6242774566473986E-2</v>
          </cell>
          <cell r="CZ145">
            <v>182000</v>
          </cell>
          <cell r="DA145">
            <v>3900</v>
          </cell>
          <cell r="DB145">
            <v>46.666666666666664</v>
          </cell>
          <cell r="DC145">
            <v>313000</v>
          </cell>
          <cell r="DD145">
            <v>3900</v>
          </cell>
          <cell r="DE145">
            <v>80.256410256410263</v>
          </cell>
          <cell r="DF145">
            <v>193000</v>
          </cell>
          <cell r="DG145">
            <v>3900</v>
          </cell>
          <cell r="DH145">
            <v>49.487179487179489</v>
          </cell>
          <cell r="DI145">
            <v>3826.1</v>
          </cell>
          <cell r="DJ145">
            <v>1.019314706881681</v>
          </cell>
          <cell r="DK145">
            <v>-6.9306930693069308E-3</v>
          </cell>
          <cell r="DL145">
            <v>1.71</v>
          </cell>
          <cell r="DM145">
            <v>4.95</v>
          </cell>
        </row>
        <row r="146">
          <cell r="B146" t="str">
            <v>Scone Shire Council</v>
          </cell>
          <cell r="C146">
            <v>10</v>
          </cell>
          <cell r="D146">
            <v>1351000</v>
          </cell>
          <cell r="E146">
            <v>3041</v>
          </cell>
          <cell r="F146">
            <v>444.26175600131535</v>
          </cell>
          <cell r="G146">
            <v>1609000</v>
          </cell>
          <cell r="H146">
            <v>837</v>
          </cell>
          <cell r="I146">
            <v>1922.3416965352449</v>
          </cell>
          <cell r="J146">
            <v>327000</v>
          </cell>
          <cell r="K146">
            <v>366</v>
          </cell>
          <cell r="L146">
            <v>893.44262295081967</v>
          </cell>
          <cell r="M146">
            <v>1136000</v>
          </cell>
          <cell r="N146">
            <v>6822000</v>
          </cell>
          <cell r="O146">
            <v>0.16652008208736441</v>
          </cell>
          <cell r="P146">
            <v>-106000</v>
          </cell>
          <cell r="Q146">
            <v>5137000</v>
          </cell>
          <cell r="R146">
            <v>-2.0634611641035625E-2</v>
          </cell>
          <cell r="S146">
            <v>160000</v>
          </cell>
          <cell r="T146">
            <v>1631000</v>
          </cell>
          <cell r="U146">
            <v>9.8099325567136728E-2</v>
          </cell>
          <cell r="V146">
            <v>5031000</v>
          </cell>
          <cell r="W146">
            <v>12669000</v>
          </cell>
          <cell r="X146">
            <v>0.39711105848922568</v>
          </cell>
          <cell r="Y146">
            <v>1791000</v>
          </cell>
          <cell r="Z146">
            <v>12669000</v>
          </cell>
          <cell r="AA146">
            <v>0.14136869524035045</v>
          </cell>
          <cell r="AB146">
            <v>328000</v>
          </cell>
          <cell r="AC146">
            <v>12669000</v>
          </cell>
          <cell r="AD146">
            <v>2.5889967637540454E-2</v>
          </cell>
          <cell r="AE146">
            <v>4523000</v>
          </cell>
          <cell r="AF146">
            <v>12669000</v>
          </cell>
          <cell r="AG146">
            <v>0.35701318178230323</v>
          </cell>
          <cell r="AH146">
            <v>830000</v>
          </cell>
          <cell r="AI146">
            <v>12669000</v>
          </cell>
          <cell r="AJ146">
            <v>6.5514247375483461E-2</v>
          </cell>
          <cell r="AK146">
            <v>166000</v>
          </cell>
          <cell r="AL146">
            <v>12669000</v>
          </cell>
          <cell r="AM146">
            <v>1.3102849475096693E-2</v>
          </cell>
          <cell r="AN146">
            <v>9104000</v>
          </cell>
          <cell r="AO146">
            <v>9918</v>
          </cell>
          <cell r="AP146">
            <v>917.92700141157491</v>
          </cell>
          <cell r="AQ146">
            <v>3818000</v>
          </cell>
          <cell r="AR146">
            <v>12344000</v>
          </cell>
          <cell r="AS146">
            <v>0.309300064808814</v>
          </cell>
          <cell r="AT146">
            <v>3483000</v>
          </cell>
          <cell r="AU146">
            <v>12344000</v>
          </cell>
          <cell r="AV146">
            <v>0.28216137394685675</v>
          </cell>
          <cell r="AW146">
            <v>25000</v>
          </cell>
          <cell r="AX146">
            <v>12344000</v>
          </cell>
          <cell r="AY146">
            <v>2.0252754374594944E-3</v>
          </cell>
          <cell r="AZ146">
            <v>3531000</v>
          </cell>
          <cell r="BA146">
            <v>12344000</v>
          </cell>
          <cell r="BB146">
            <v>0.286049902786779</v>
          </cell>
          <cell r="BC146">
            <v>1487000</v>
          </cell>
          <cell r="BD146">
            <v>12344000</v>
          </cell>
          <cell r="BE146">
            <v>0.12046338302009073</v>
          </cell>
          <cell r="BF146">
            <v>10362000</v>
          </cell>
          <cell r="BG146">
            <v>9918</v>
          </cell>
          <cell r="BH146">
            <v>1044.7670901391409</v>
          </cell>
          <cell r="BI146">
            <v>3448000</v>
          </cell>
          <cell r="BJ146">
            <v>1018000</v>
          </cell>
          <cell r="BK146">
            <v>3.387033398821218</v>
          </cell>
          <cell r="BL146">
            <v>79000</v>
          </cell>
          <cell r="BM146">
            <v>9228000</v>
          </cell>
          <cell r="BN146">
            <v>8.5609016038144768E-3</v>
          </cell>
          <cell r="BO146">
            <v>2117000</v>
          </cell>
          <cell r="BP146">
            <v>3000000</v>
          </cell>
          <cell r="BQ146">
            <v>0.70566666666666666</v>
          </cell>
          <cell r="BR146">
            <v>95</v>
          </cell>
          <cell r="BS146" t="str">
            <v>On Time</v>
          </cell>
          <cell r="BT146" t="str">
            <v>On Time</v>
          </cell>
          <cell r="BU146" t="str">
            <v>On Time</v>
          </cell>
          <cell r="BV146">
            <v>211000</v>
          </cell>
          <cell r="BW146">
            <v>9918</v>
          </cell>
          <cell r="BX146">
            <v>21.274450494051219</v>
          </cell>
          <cell r="BY146">
            <v>41001</v>
          </cell>
          <cell r="BZ146">
            <v>9918</v>
          </cell>
          <cell r="CA146">
            <v>4.1339987900786452</v>
          </cell>
          <cell r="CB146">
            <v>389000</v>
          </cell>
          <cell r="CC146">
            <v>2695</v>
          </cell>
          <cell r="CD146">
            <v>144.34137291280149</v>
          </cell>
          <cell r="CE146">
            <v>475187</v>
          </cell>
          <cell r="CF146">
            <v>2695</v>
          </cell>
          <cell r="CG146">
            <v>176.32170686456402</v>
          </cell>
          <cell r="CH146">
            <v>367920</v>
          </cell>
          <cell r="CI146">
            <v>9918</v>
          </cell>
          <cell r="CJ146">
            <v>37.096188747731397</v>
          </cell>
          <cell r="CK146">
            <v>2310000</v>
          </cell>
          <cell r="CL146">
            <v>9918</v>
          </cell>
          <cell r="CM146">
            <v>232.90986085904416</v>
          </cell>
          <cell r="CN146">
            <v>397.61197712610902</v>
          </cell>
          <cell r="CO146">
            <v>325.05824111822898</v>
          </cell>
          <cell r="CP146">
            <v>294.071803738195</v>
          </cell>
          <cell r="CQ146">
            <v>361.56949028236198</v>
          </cell>
          <cell r="CR146">
            <v>218</v>
          </cell>
          <cell r="CS146">
            <v>6540</v>
          </cell>
          <cell r="CT146">
            <v>218</v>
          </cell>
          <cell r="CU146">
            <v>30</v>
          </cell>
          <cell r="CV146">
            <v>28</v>
          </cell>
          <cell r="CW146">
            <v>0</v>
          </cell>
          <cell r="CX146">
            <v>313000</v>
          </cell>
          <cell r="CY146">
            <v>0</v>
          </cell>
          <cell r="CZ146">
            <v>119000</v>
          </cell>
          <cell r="DA146">
            <v>9918</v>
          </cell>
          <cell r="DB146">
            <v>11.998386771526517</v>
          </cell>
          <cell r="DC146">
            <v>547000</v>
          </cell>
          <cell r="DD146">
            <v>9918</v>
          </cell>
          <cell r="DE146">
            <v>55.152248437184916</v>
          </cell>
          <cell r="DF146">
            <v>798000</v>
          </cell>
          <cell r="DG146">
            <v>9918</v>
          </cell>
          <cell r="DH146">
            <v>80.459770114942529</v>
          </cell>
          <cell r="DI146">
            <v>4041.1</v>
          </cell>
          <cell r="DJ146">
            <v>2.4542822498824579</v>
          </cell>
          <cell r="DK146">
            <v>-9.0856592877767081E-3</v>
          </cell>
          <cell r="DL146">
            <v>2.11</v>
          </cell>
          <cell r="DM146">
            <v>1.54</v>
          </cell>
        </row>
        <row r="147">
          <cell r="B147" t="str">
            <v>Severn Shire Council</v>
          </cell>
          <cell r="C147">
            <v>9</v>
          </cell>
          <cell r="D147">
            <v>153000</v>
          </cell>
          <cell r="E147">
            <v>792</v>
          </cell>
          <cell r="F147">
            <v>193.18181818181819</v>
          </cell>
          <cell r="G147">
            <v>1273000</v>
          </cell>
          <cell r="H147">
            <v>1050</v>
          </cell>
          <cell r="I147">
            <v>1212.3809523809523</v>
          </cell>
          <cell r="J147">
            <v>8000</v>
          </cell>
          <cell r="K147">
            <v>67</v>
          </cell>
          <cell r="L147">
            <v>119.40298507462687</v>
          </cell>
          <cell r="M147">
            <v>162000</v>
          </cell>
          <cell r="N147">
            <v>2574000</v>
          </cell>
          <cell r="O147">
            <v>6.2937062937062943E-2</v>
          </cell>
          <cell r="P147">
            <v>47000</v>
          </cell>
          <cell r="Q147">
            <v>1557000</v>
          </cell>
          <cell r="R147">
            <v>3.0186255619781631E-2</v>
          </cell>
          <cell r="S147">
            <v>140000</v>
          </cell>
          <cell r="T147">
            <v>830000</v>
          </cell>
          <cell r="U147">
            <v>0.16867469879518071</v>
          </cell>
          <cell r="V147">
            <v>1604000</v>
          </cell>
          <cell r="W147">
            <v>6720000</v>
          </cell>
          <cell r="X147">
            <v>0.2386904761904762</v>
          </cell>
          <cell r="Y147">
            <v>970000</v>
          </cell>
          <cell r="Z147">
            <v>6720000</v>
          </cell>
          <cell r="AA147">
            <v>0.14434523809523808</v>
          </cell>
          <cell r="AB147">
            <v>98000</v>
          </cell>
          <cell r="AC147">
            <v>6720000</v>
          </cell>
          <cell r="AD147">
            <v>1.4583333333333334E-2</v>
          </cell>
          <cell r="AE147">
            <v>1849000</v>
          </cell>
          <cell r="AF147">
            <v>6720000</v>
          </cell>
          <cell r="AG147">
            <v>0.27514880952380955</v>
          </cell>
          <cell r="AH147">
            <v>2126000</v>
          </cell>
          <cell r="AI147">
            <v>6720000</v>
          </cell>
          <cell r="AJ147">
            <v>0.31636904761904761</v>
          </cell>
          <cell r="AK147">
            <v>73000</v>
          </cell>
          <cell r="AL147">
            <v>6720000</v>
          </cell>
          <cell r="AM147">
            <v>1.0863095238095238E-2</v>
          </cell>
          <cell r="AN147">
            <v>6221000</v>
          </cell>
          <cell r="AO147">
            <v>2908</v>
          </cell>
          <cell r="AP147">
            <v>2139.2709766162311</v>
          </cell>
          <cell r="AQ147">
            <v>2211000</v>
          </cell>
          <cell r="AR147">
            <v>7737000</v>
          </cell>
          <cell r="AS147">
            <v>0.28576967816983329</v>
          </cell>
          <cell r="AT147">
            <v>2212000</v>
          </cell>
          <cell r="AU147">
            <v>7737000</v>
          </cell>
          <cell r="AV147">
            <v>0.28589892723277754</v>
          </cell>
          <cell r="AW147">
            <v>87000</v>
          </cell>
          <cell r="AX147">
            <v>7737000</v>
          </cell>
          <cell r="AY147">
            <v>1.1244668476153548E-2</v>
          </cell>
          <cell r="AZ147">
            <v>2166000</v>
          </cell>
          <cell r="BA147">
            <v>7737000</v>
          </cell>
          <cell r="BB147">
            <v>0.27995347033734003</v>
          </cell>
          <cell r="BC147">
            <v>1061000</v>
          </cell>
          <cell r="BD147">
            <v>7737000</v>
          </cell>
          <cell r="BE147">
            <v>0.13713325578389557</v>
          </cell>
          <cell r="BF147">
            <v>7625000</v>
          </cell>
          <cell r="BG147">
            <v>2908</v>
          </cell>
          <cell r="BH147">
            <v>2622.0770288858321</v>
          </cell>
          <cell r="BI147">
            <v>2336000</v>
          </cell>
          <cell r="BJ147">
            <v>1116000</v>
          </cell>
          <cell r="BK147">
            <v>2.0931899641577063</v>
          </cell>
          <cell r="BL147">
            <v>277000</v>
          </cell>
          <cell r="BM147">
            <v>4142000</v>
          </cell>
          <cell r="BN147">
            <v>6.6875905359729593E-2</v>
          </cell>
          <cell r="BO147">
            <v>671000</v>
          </cell>
          <cell r="BP147">
            <v>2123000</v>
          </cell>
          <cell r="BQ147">
            <v>0.31606217616580312</v>
          </cell>
          <cell r="BR147">
            <v>51</v>
          </cell>
          <cell r="BS147" t="str">
            <v>On Time</v>
          </cell>
          <cell r="BT147" t="str">
            <v>On Time</v>
          </cell>
          <cell r="BU147" t="str">
            <v>On Time</v>
          </cell>
          <cell r="BV147">
            <v>266000</v>
          </cell>
          <cell r="BW147">
            <v>2908</v>
          </cell>
          <cell r="BX147">
            <v>91.471801925722147</v>
          </cell>
          <cell r="BY147">
            <v>30028</v>
          </cell>
          <cell r="BZ147">
            <v>2908</v>
          </cell>
          <cell r="CA147">
            <v>10.325997248968363</v>
          </cell>
          <cell r="CB147">
            <v>53000</v>
          </cell>
          <cell r="CC147">
            <v>307</v>
          </cell>
          <cell r="CD147">
            <v>172.6384364820847</v>
          </cell>
          <cell r="CE147">
            <v>43000</v>
          </cell>
          <cell r="CF147">
            <v>307</v>
          </cell>
          <cell r="CG147">
            <v>140.06514657980455</v>
          </cell>
          <cell r="CI147">
            <v>2908</v>
          </cell>
          <cell r="CJ147" t="str">
            <v>N/A</v>
          </cell>
          <cell r="CK147">
            <v>825000</v>
          </cell>
          <cell r="CL147">
            <v>2908</v>
          </cell>
          <cell r="CM147">
            <v>283.70013755158186</v>
          </cell>
          <cell r="CN147">
            <v>237.11734072022199</v>
          </cell>
          <cell r="CO147">
            <v>306</v>
          </cell>
          <cell r="CP147">
            <v>424</v>
          </cell>
          <cell r="CQ147">
            <v>234.44976076555</v>
          </cell>
          <cell r="CR147">
            <v>57</v>
          </cell>
          <cell r="CS147">
            <v>1240</v>
          </cell>
          <cell r="CT147">
            <v>57</v>
          </cell>
          <cell r="CU147">
            <v>21.754385964912281</v>
          </cell>
          <cell r="CV147">
            <v>18</v>
          </cell>
          <cell r="CW147">
            <v>1000</v>
          </cell>
          <cell r="CX147">
            <v>60000</v>
          </cell>
          <cell r="CY147">
            <v>1.6666666666666666E-2</v>
          </cell>
          <cell r="CZ147">
            <v>297000</v>
          </cell>
          <cell r="DA147">
            <v>2908</v>
          </cell>
          <cell r="DB147">
            <v>102.13204951856946</v>
          </cell>
          <cell r="DC147">
            <v>67000</v>
          </cell>
          <cell r="DD147">
            <v>2908</v>
          </cell>
          <cell r="DE147">
            <v>23.039889958734527</v>
          </cell>
          <cell r="DF147">
            <v>85000</v>
          </cell>
          <cell r="DG147">
            <v>2908</v>
          </cell>
          <cell r="DH147">
            <v>29.229711141678131</v>
          </cell>
          <cell r="DI147">
            <v>5575.3</v>
          </cell>
          <cell r="DJ147">
            <v>0.52158628235251914</v>
          </cell>
          <cell r="DK147">
            <v>-1.1779935275080906E-2</v>
          </cell>
          <cell r="DL147">
            <v>1.93</v>
          </cell>
          <cell r="DM147">
            <v>2.09</v>
          </cell>
        </row>
        <row r="148">
          <cell r="B148" t="str">
            <v>Shellharbour City Council</v>
          </cell>
          <cell r="C148">
            <v>4</v>
          </cell>
          <cell r="D148">
            <v>13218000</v>
          </cell>
          <cell r="E148">
            <v>20190</v>
          </cell>
          <cell r="F148">
            <v>654.68053491827641</v>
          </cell>
          <cell r="G148">
            <v>379000</v>
          </cell>
          <cell r="H148">
            <v>125</v>
          </cell>
          <cell r="I148">
            <v>3032</v>
          </cell>
          <cell r="J148">
            <v>1872000</v>
          </cell>
          <cell r="K148">
            <v>704</v>
          </cell>
          <cell r="L148">
            <v>2659.090909090909</v>
          </cell>
          <cell r="M148">
            <v>1982000</v>
          </cell>
          <cell r="N148">
            <v>25534000</v>
          </cell>
          <cell r="O148">
            <v>7.7621994203806693E-2</v>
          </cell>
          <cell r="P148">
            <v>1422000</v>
          </cell>
          <cell r="Q148">
            <v>16964000</v>
          </cell>
          <cell r="R148">
            <v>8.3824569676962987E-2</v>
          </cell>
          <cell r="S148">
            <v>816000</v>
          </cell>
          <cell r="T148">
            <v>6332000</v>
          </cell>
          <cell r="U148">
            <v>0.12886923562855337</v>
          </cell>
          <cell r="V148">
            <v>18386000</v>
          </cell>
          <cell r="W148">
            <v>47729000</v>
          </cell>
          <cell r="X148">
            <v>0.38521653502063735</v>
          </cell>
          <cell r="Y148">
            <v>7148000</v>
          </cell>
          <cell r="Z148">
            <v>47729000</v>
          </cell>
          <cell r="AA148">
            <v>0.14976219908231891</v>
          </cell>
          <cell r="AB148">
            <v>1964000</v>
          </cell>
          <cell r="AC148">
            <v>47729000</v>
          </cell>
          <cell r="AD148">
            <v>4.1148986989042298E-2</v>
          </cell>
          <cell r="AE148">
            <v>5524000</v>
          </cell>
          <cell r="AF148">
            <v>47729000</v>
          </cell>
          <cell r="AG148">
            <v>0.11573676381235727</v>
          </cell>
          <cell r="AH148">
            <v>13760000</v>
          </cell>
          <cell r="AI148">
            <v>47729000</v>
          </cell>
          <cell r="AJ148">
            <v>0.28829432839573427</v>
          </cell>
          <cell r="AK148">
            <v>947000</v>
          </cell>
          <cell r="AL148">
            <v>47729000</v>
          </cell>
          <cell r="AM148">
            <v>1.9841186699909908E-2</v>
          </cell>
          <cell r="AN148">
            <v>33675000</v>
          </cell>
          <cell r="AO148">
            <v>60086</v>
          </cell>
          <cell r="AP148">
            <v>560.44669307326171</v>
          </cell>
          <cell r="AQ148">
            <v>14751000</v>
          </cell>
          <cell r="AR148">
            <v>36269000</v>
          </cell>
          <cell r="AS148">
            <v>0.40671096528715983</v>
          </cell>
          <cell r="AT148">
            <v>7702000</v>
          </cell>
          <cell r="AU148">
            <v>36269000</v>
          </cell>
          <cell r="AV148">
            <v>0.21235766081226393</v>
          </cell>
          <cell r="AW148">
            <v>459000</v>
          </cell>
          <cell r="AX148">
            <v>36269000</v>
          </cell>
          <cell r="AY148">
            <v>1.2655435771595577E-2</v>
          </cell>
          <cell r="AZ148">
            <v>7554000</v>
          </cell>
          <cell r="BA148">
            <v>36269000</v>
          </cell>
          <cell r="BB148">
            <v>0.20827704099920041</v>
          </cell>
          <cell r="BC148">
            <v>5803000</v>
          </cell>
          <cell r="BD148">
            <v>36269000</v>
          </cell>
          <cell r="BE148">
            <v>0.15999889712978024</v>
          </cell>
          <cell r="BF148">
            <v>36294000</v>
          </cell>
          <cell r="BG148">
            <v>60086</v>
          </cell>
          <cell r="BH148">
            <v>604.03421762140931</v>
          </cell>
          <cell r="BI148">
            <v>24394000</v>
          </cell>
          <cell r="BJ148">
            <v>7106000</v>
          </cell>
          <cell r="BK148">
            <v>3.4328736279200673</v>
          </cell>
          <cell r="BL148">
            <v>2284000</v>
          </cell>
          <cell r="BM148">
            <v>31871000</v>
          </cell>
          <cell r="BN148">
            <v>7.1663895077029277E-2</v>
          </cell>
          <cell r="BO148">
            <v>18211000</v>
          </cell>
          <cell r="BP148">
            <v>7554000</v>
          </cell>
          <cell r="BQ148">
            <v>2.4107757479481071</v>
          </cell>
          <cell r="BR148">
            <v>248</v>
          </cell>
          <cell r="BS148" t="str">
            <v>On Time</v>
          </cell>
          <cell r="BT148" t="str">
            <v>On Time</v>
          </cell>
          <cell r="BU148" t="str">
            <v>On Time</v>
          </cell>
          <cell r="BV148">
            <v>1216000</v>
          </cell>
          <cell r="BW148">
            <v>60086</v>
          </cell>
          <cell r="BX148">
            <v>20.23765935492461</v>
          </cell>
          <cell r="BY148">
            <v>379654</v>
          </cell>
          <cell r="BZ148">
            <v>60086</v>
          </cell>
          <cell r="CA148">
            <v>6.3185101354724891</v>
          </cell>
          <cell r="CB148">
            <v>2862000</v>
          </cell>
          <cell r="CC148">
            <v>20506</v>
          </cell>
          <cell r="CD148">
            <v>139.56890666146495</v>
          </cell>
          <cell r="CE148">
            <v>1860449</v>
          </cell>
          <cell r="CF148">
            <v>27117</v>
          </cell>
          <cell r="CG148">
            <v>68.60821624811004</v>
          </cell>
          <cell r="CH148">
            <v>14097000</v>
          </cell>
          <cell r="CI148">
            <v>60086</v>
          </cell>
          <cell r="CJ148">
            <v>234.61372033418766</v>
          </cell>
          <cell r="CK148">
            <v>12695000</v>
          </cell>
          <cell r="CL148">
            <v>60086</v>
          </cell>
          <cell r="CM148">
            <v>211.28049795293413</v>
          </cell>
          <cell r="CN148" t="str">
            <v>N/A</v>
          </cell>
          <cell r="CO148" t="str">
            <v>N/A</v>
          </cell>
          <cell r="CP148" t="str">
            <v>N/A</v>
          </cell>
          <cell r="CQ148" t="str">
            <v>N/A</v>
          </cell>
          <cell r="CR148">
            <v>931</v>
          </cell>
          <cell r="CS148">
            <v>43057</v>
          </cell>
          <cell r="CT148">
            <v>931</v>
          </cell>
          <cell r="CU148">
            <v>46.248120300751879</v>
          </cell>
          <cell r="CV148">
            <v>39</v>
          </cell>
          <cell r="CW148">
            <v>121000</v>
          </cell>
          <cell r="CX148">
            <v>2235000</v>
          </cell>
          <cell r="CY148">
            <v>5.4138702460850112E-2</v>
          </cell>
          <cell r="CZ148">
            <v>548000</v>
          </cell>
          <cell r="DA148">
            <v>60086</v>
          </cell>
          <cell r="DB148">
            <v>9.1202609592916826</v>
          </cell>
          <cell r="DC148">
            <v>4404000</v>
          </cell>
          <cell r="DD148">
            <v>60086</v>
          </cell>
          <cell r="DE148">
            <v>73.294943913723657</v>
          </cell>
          <cell r="DF148">
            <v>1846000</v>
          </cell>
          <cell r="DG148">
            <v>60086</v>
          </cell>
          <cell r="DH148">
            <v>30.72263089571614</v>
          </cell>
          <cell r="DI148">
            <v>147.4</v>
          </cell>
          <cell r="DJ148">
            <v>407.63907734056988</v>
          </cell>
          <cell r="DK148">
            <v>2.8637747336377473E-2</v>
          </cell>
          <cell r="DL148">
            <v>1.78</v>
          </cell>
          <cell r="DM148">
            <v>11.8</v>
          </cell>
        </row>
        <row r="149">
          <cell r="B149" t="str">
            <v>Shoalhaven City Council</v>
          </cell>
          <cell r="C149">
            <v>5</v>
          </cell>
          <cell r="D149">
            <v>23270000</v>
          </cell>
          <cell r="E149">
            <v>47774</v>
          </cell>
          <cell r="F149">
            <v>487.08502532758405</v>
          </cell>
          <cell r="G149">
            <v>1249000</v>
          </cell>
          <cell r="H149">
            <v>939</v>
          </cell>
          <cell r="I149">
            <v>1330.1384451544195</v>
          </cell>
          <cell r="J149">
            <v>2865000</v>
          </cell>
          <cell r="K149">
            <v>1906</v>
          </cell>
          <cell r="L149">
            <v>1503.1479538300105</v>
          </cell>
          <cell r="M149">
            <v>8055000</v>
          </cell>
          <cell r="N149">
            <v>88579000</v>
          </cell>
          <cell r="O149">
            <v>9.0935774845053566E-2</v>
          </cell>
          <cell r="P149">
            <v>1099000</v>
          </cell>
          <cell r="Q149">
            <v>60704000</v>
          </cell>
          <cell r="R149">
            <v>1.8104243542435425E-2</v>
          </cell>
          <cell r="S149">
            <v>3506000</v>
          </cell>
          <cell r="T149">
            <v>23270000</v>
          </cell>
          <cell r="U149">
            <v>0.15066609368285347</v>
          </cell>
          <cell r="V149">
            <v>61803000</v>
          </cell>
          <cell r="W149">
            <v>129707000</v>
          </cell>
          <cell r="X149">
            <v>0.47648160854849775</v>
          </cell>
          <cell r="Y149">
            <v>26776000</v>
          </cell>
          <cell r="Z149">
            <v>129707000</v>
          </cell>
          <cell r="AA149">
            <v>0.20643450237843755</v>
          </cell>
          <cell r="AB149">
            <v>3128000</v>
          </cell>
          <cell r="AC149">
            <v>129707000</v>
          </cell>
          <cell r="AD149">
            <v>2.411589197190591E-2</v>
          </cell>
          <cell r="AE149">
            <v>26750000</v>
          </cell>
          <cell r="AF149">
            <v>129707000</v>
          </cell>
          <cell r="AG149">
            <v>0.20623405059094729</v>
          </cell>
          <cell r="AH149">
            <v>10183000</v>
          </cell>
          <cell r="AI149">
            <v>129707000</v>
          </cell>
          <cell r="AJ149">
            <v>7.8507713538976315E-2</v>
          </cell>
          <cell r="AK149">
            <v>1067000</v>
          </cell>
          <cell r="AL149">
            <v>129707000</v>
          </cell>
          <cell r="AM149">
            <v>8.2262329712351687E-3</v>
          </cell>
          <cell r="AN149">
            <v>72769000</v>
          </cell>
          <cell r="AO149">
            <v>88086</v>
          </cell>
          <cell r="AP149">
            <v>826.11311672683519</v>
          </cell>
          <cell r="AQ149">
            <v>34730000</v>
          </cell>
          <cell r="AR149">
            <v>96442000</v>
          </cell>
          <cell r="AS149">
            <v>0.36011281391924682</v>
          </cell>
          <cell r="AT149">
            <v>26975000</v>
          </cell>
          <cell r="AU149">
            <v>96442000</v>
          </cell>
          <cell r="AV149">
            <v>0.2797017896766969</v>
          </cell>
          <cell r="AW149">
            <v>4143000</v>
          </cell>
          <cell r="AX149">
            <v>96442000</v>
          </cell>
          <cell r="AY149">
            <v>4.2958462080836153E-2</v>
          </cell>
          <cell r="AZ149">
            <v>19807000</v>
          </cell>
          <cell r="BA149">
            <v>96442000</v>
          </cell>
          <cell r="BB149">
            <v>0.20537732523174551</v>
          </cell>
          <cell r="BC149">
            <v>10787000</v>
          </cell>
          <cell r="BD149">
            <v>96442000</v>
          </cell>
          <cell r="BE149">
            <v>0.11184960909147466</v>
          </cell>
          <cell r="BF149">
            <v>76483000</v>
          </cell>
          <cell r="BG149">
            <v>88086</v>
          </cell>
          <cell r="BH149">
            <v>868.27645709874446</v>
          </cell>
          <cell r="BI149">
            <v>26655000</v>
          </cell>
          <cell r="BJ149">
            <v>18897000</v>
          </cell>
          <cell r="BK149">
            <v>1.4105413557707573</v>
          </cell>
          <cell r="BL149">
            <v>16137000</v>
          </cell>
          <cell r="BM149">
            <v>103192000</v>
          </cell>
          <cell r="BN149">
            <v>0.15637840142646717</v>
          </cell>
          <cell r="BO149">
            <v>22103000</v>
          </cell>
          <cell r="BP149">
            <v>13284000</v>
          </cell>
          <cell r="BQ149">
            <v>1.6638813610358325</v>
          </cell>
          <cell r="BR149">
            <v>684</v>
          </cell>
          <cell r="BS149" t="str">
            <v>On Time</v>
          </cell>
          <cell r="BT149" t="str">
            <v>On Time</v>
          </cell>
          <cell r="BU149" t="str">
            <v>On Time</v>
          </cell>
          <cell r="BV149">
            <v>1464000</v>
          </cell>
          <cell r="BW149">
            <v>88086</v>
          </cell>
          <cell r="BX149">
            <v>16.620121245146787</v>
          </cell>
          <cell r="BY149">
            <v>673897</v>
          </cell>
          <cell r="BZ149">
            <v>88086</v>
          </cell>
          <cell r="CA149">
            <v>7.6504438843857141</v>
          </cell>
          <cell r="CB149">
            <v>8878000</v>
          </cell>
          <cell r="CC149">
            <v>45946</v>
          </cell>
          <cell r="CD149">
            <v>193.2268314978453</v>
          </cell>
          <cell r="CE149">
            <v>3338210</v>
          </cell>
          <cell r="CF149">
            <v>43119</v>
          </cell>
          <cell r="CG149">
            <v>77.418539390987732</v>
          </cell>
          <cell r="CH149">
            <v>36256000</v>
          </cell>
          <cell r="CI149">
            <v>88086</v>
          </cell>
          <cell r="CJ149">
            <v>411.59775673773356</v>
          </cell>
          <cell r="CK149">
            <v>31677000</v>
          </cell>
          <cell r="CL149">
            <v>88086</v>
          </cell>
          <cell r="CM149">
            <v>359.61446767931341</v>
          </cell>
          <cell r="CN149">
            <v>268.13234484785102</v>
          </cell>
          <cell r="CO149">
            <v>284.09201439548701</v>
          </cell>
          <cell r="CP149">
            <v>503.11456338916503</v>
          </cell>
          <cell r="CQ149">
            <v>404.37989078421401</v>
          </cell>
          <cell r="CR149">
            <v>3047</v>
          </cell>
          <cell r="CS149">
            <v>93411</v>
          </cell>
          <cell r="CT149">
            <v>3047</v>
          </cell>
          <cell r="CU149">
            <v>30.656711519527406</v>
          </cell>
          <cell r="CV149">
            <v>20</v>
          </cell>
          <cell r="CW149">
            <v>25000</v>
          </cell>
          <cell r="CX149">
            <v>3940000</v>
          </cell>
          <cell r="CY149">
            <v>6.3451776649746192E-3</v>
          </cell>
          <cell r="CZ149">
            <v>2762000</v>
          </cell>
          <cell r="DA149">
            <v>88086</v>
          </cell>
          <cell r="DB149">
            <v>31.355720545830213</v>
          </cell>
          <cell r="DC149">
            <v>3293000</v>
          </cell>
          <cell r="DD149">
            <v>88086</v>
          </cell>
          <cell r="DE149">
            <v>37.383920259746155</v>
          </cell>
          <cell r="DF149">
            <v>1824000</v>
          </cell>
          <cell r="DG149">
            <v>88086</v>
          </cell>
          <cell r="DH149">
            <v>20.707036305428787</v>
          </cell>
          <cell r="DI149">
            <v>4568.1000000000004</v>
          </cell>
          <cell r="DJ149">
            <v>19.282852827214814</v>
          </cell>
          <cell r="DK149">
            <v>1.7926768926274123E-2</v>
          </cell>
          <cell r="DL149">
            <v>3.2</v>
          </cell>
          <cell r="DM149">
            <v>4.33</v>
          </cell>
        </row>
        <row r="150">
          <cell r="B150" t="str">
            <v>Singleton Shire Council</v>
          </cell>
          <cell r="C150">
            <v>4</v>
          </cell>
          <cell r="D150">
            <v>2640000</v>
          </cell>
          <cell r="E150">
            <v>6720</v>
          </cell>
          <cell r="F150">
            <v>392.85714285714283</v>
          </cell>
          <cell r="G150">
            <v>1633000</v>
          </cell>
          <cell r="H150">
            <v>1424</v>
          </cell>
          <cell r="I150">
            <v>1146.7696629213483</v>
          </cell>
          <cell r="J150">
            <v>472000</v>
          </cell>
          <cell r="K150">
            <v>612</v>
          </cell>
          <cell r="L150">
            <v>771.24183006535952</v>
          </cell>
          <cell r="M150">
            <v>1279000</v>
          </cell>
          <cell r="N150">
            <v>16224000</v>
          </cell>
          <cell r="O150">
            <v>7.8833826429980269E-2</v>
          </cell>
          <cell r="P150">
            <v>376000</v>
          </cell>
          <cell r="Q150">
            <v>10084000</v>
          </cell>
          <cell r="R150">
            <v>3.7286790955969852E-2</v>
          </cell>
          <cell r="S150">
            <v>305000</v>
          </cell>
          <cell r="T150">
            <v>5459000</v>
          </cell>
          <cell r="U150">
            <v>5.5871038651767721E-2</v>
          </cell>
          <cell r="V150">
            <v>10460000</v>
          </cell>
          <cell r="W150">
            <v>25473000</v>
          </cell>
          <cell r="X150">
            <v>0.41063086405213362</v>
          </cell>
          <cell r="Y150">
            <v>5764000</v>
          </cell>
          <cell r="Z150">
            <v>25473000</v>
          </cell>
          <cell r="AA150">
            <v>0.22627880500922545</v>
          </cell>
          <cell r="AB150">
            <v>597000</v>
          </cell>
          <cell r="AC150">
            <v>25473000</v>
          </cell>
          <cell r="AD150">
            <v>2.3436579908138029E-2</v>
          </cell>
          <cell r="AE150">
            <v>4498000</v>
          </cell>
          <cell r="AF150">
            <v>25473000</v>
          </cell>
          <cell r="AG150">
            <v>0.17657912299297296</v>
          </cell>
          <cell r="AH150">
            <v>3961000</v>
          </cell>
          <cell r="AI150">
            <v>25473000</v>
          </cell>
          <cell r="AJ150">
            <v>0.15549797825148196</v>
          </cell>
          <cell r="AK150">
            <v>193000</v>
          </cell>
          <cell r="AL150">
            <v>25473000</v>
          </cell>
          <cell r="AM150">
            <v>7.5766497860479728E-3</v>
          </cell>
          <cell r="AN150">
            <v>16425000</v>
          </cell>
          <cell r="AO150">
            <v>21385</v>
          </cell>
          <cell r="AP150">
            <v>768.06172550853398</v>
          </cell>
          <cell r="AQ150">
            <v>7553000</v>
          </cell>
          <cell r="AR150">
            <v>23133000</v>
          </cell>
          <cell r="AS150">
            <v>0.3265032637357887</v>
          </cell>
          <cell r="AT150">
            <v>7019000</v>
          </cell>
          <cell r="AU150">
            <v>23133000</v>
          </cell>
          <cell r="AV150">
            <v>0.3034193576276315</v>
          </cell>
          <cell r="AW150">
            <v>110000</v>
          </cell>
          <cell r="AX150">
            <v>23133000</v>
          </cell>
          <cell r="AY150">
            <v>4.7551117451260106E-3</v>
          </cell>
          <cell r="AZ150">
            <v>6251000</v>
          </cell>
          <cell r="BA150">
            <v>23133000</v>
          </cell>
          <cell r="BB150">
            <v>0.27022003198893357</v>
          </cell>
          <cell r="BC150">
            <v>2200000</v>
          </cell>
          <cell r="BD150">
            <v>23133000</v>
          </cell>
          <cell r="BE150">
            <v>9.5102234902520205E-2</v>
          </cell>
          <cell r="BF150">
            <v>19236000</v>
          </cell>
          <cell r="BG150">
            <v>21385</v>
          </cell>
          <cell r="BH150">
            <v>899.5090016366612</v>
          </cell>
          <cell r="BI150">
            <v>3094000</v>
          </cell>
          <cell r="BJ150">
            <v>2386000</v>
          </cell>
          <cell r="BK150">
            <v>1.2967309304274937</v>
          </cell>
          <cell r="BL150">
            <v>289000</v>
          </cell>
          <cell r="BM150">
            <v>19673000</v>
          </cell>
          <cell r="BN150">
            <v>1.4690184516850505E-2</v>
          </cell>
          <cell r="BO150">
            <v>4779000</v>
          </cell>
          <cell r="BP150">
            <v>4929000</v>
          </cell>
          <cell r="BQ150">
            <v>0.96956786366402925</v>
          </cell>
          <cell r="BR150">
            <v>171</v>
          </cell>
          <cell r="BS150" t="str">
            <v>On Time</v>
          </cell>
          <cell r="BT150" t="str">
            <v>On Time</v>
          </cell>
          <cell r="BU150" t="str">
            <v>On Time</v>
          </cell>
          <cell r="BV150">
            <v>588000</v>
          </cell>
          <cell r="BW150">
            <v>21385</v>
          </cell>
          <cell r="BX150">
            <v>27.495908346972175</v>
          </cell>
          <cell r="BY150">
            <v>154354</v>
          </cell>
          <cell r="BZ150">
            <v>21385</v>
          </cell>
          <cell r="CA150">
            <v>7.2178629880757539</v>
          </cell>
          <cell r="CB150">
            <v>1268000</v>
          </cell>
          <cell r="CC150">
            <v>6422</v>
          </cell>
          <cell r="CD150">
            <v>197.44627841793834</v>
          </cell>
          <cell r="CE150">
            <v>1596000</v>
          </cell>
          <cell r="CF150">
            <v>6160</v>
          </cell>
          <cell r="CG150">
            <v>259.09090909090907</v>
          </cell>
          <cell r="CH150">
            <v>1338040</v>
          </cell>
          <cell r="CI150">
            <v>21385</v>
          </cell>
          <cell r="CJ150">
            <v>62.569090483984098</v>
          </cell>
          <cell r="CK150">
            <v>18352000</v>
          </cell>
          <cell r="CL150">
            <v>21385</v>
          </cell>
          <cell r="CM150">
            <v>858.17161561842408</v>
          </cell>
          <cell r="CN150">
            <v>529.85345702698805</v>
          </cell>
          <cell r="CO150">
            <v>434.01983218916899</v>
          </cell>
          <cell r="CP150">
            <v>298.17400644468302</v>
          </cell>
          <cell r="CQ150">
            <v>339.84962406015001</v>
          </cell>
          <cell r="CR150">
            <v>726</v>
          </cell>
          <cell r="CS150">
            <v>30676</v>
          </cell>
          <cell r="CT150">
            <v>726</v>
          </cell>
          <cell r="CU150">
            <v>42.253443526170798</v>
          </cell>
          <cell r="CV150">
            <v>27</v>
          </cell>
          <cell r="CW150">
            <v>3000</v>
          </cell>
          <cell r="CX150">
            <v>859000</v>
          </cell>
          <cell r="CY150">
            <v>3.4924330616996507E-3</v>
          </cell>
          <cell r="CZ150">
            <v>268000</v>
          </cell>
          <cell r="DA150">
            <v>21385</v>
          </cell>
          <cell r="DB150">
            <v>12.532148702361468</v>
          </cell>
          <cell r="DC150">
            <v>891000</v>
          </cell>
          <cell r="DD150">
            <v>21385</v>
          </cell>
          <cell r="DE150">
            <v>41.664718260462941</v>
          </cell>
          <cell r="DF150">
            <v>1071000</v>
          </cell>
          <cell r="DG150">
            <v>21385</v>
          </cell>
          <cell r="DH150">
            <v>50.081833060556463</v>
          </cell>
          <cell r="DI150">
            <v>4895.8999999999996</v>
          </cell>
          <cell r="DJ150">
            <v>4.3679405216609819</v>
          </cell>
          <cell r="DK150">
            <v>6.918238993710692E-3</v>
          </cell>
          <cell r="DL150">
            <v>1.88</v>
          </cell>
          <cell r="DM150">
            <v>2.27</v>
          </cell>
        </row>
        <row r="151">
          <cell r="B151" t="str">
            <v>Snowy River Shire Council</v>
          </cell>
          <cell r="C151">
            <v>10</v>
          </cell>
          <cell r="D151">
            <v>1644000</v>
          </cell>
          <cell r="E151">
            <v>3619</v>
          </cell>
          <cell r="F151">
            <v>454.26913512019894</v>
          </cell>
          <cell r="G151">
            <v>1085000</v>
          </cell>
          <cell r="H151">
            <v>828</v>
          </cell>
          <cell r="I151">
            <v>1310.3864734299516</v>
          </cell>
          <cell r="J151">
            <v>354000</v>
          </cell>
          <cell r="K151">
            <v>526</v>
          </cell>
          <cell r="L151">
            <v>673.00380228136885</v>
          </cell>
          <cell r="M151">
            <v>1016000</v>
          </cell>
          <cell r="N151">
            <v>9658000</v>
          </cell>
          <cell r="O151">
            <v>0.10519776351211431</v>
          </cell>
          <cell r="P151">
            <v>190000</v>
          </cell>
          <cell r="Q151">
            <v>3619000</v>
          </cell>
          <cell r="R151">
            <v>5.2500690798563142E-2</v>
          </cell>
          <cell r="S151">
            <v>1644000</v>
          </cell>
          <cell r="T151">
            <v>4205000</v>
          </cell>
          <cell r="U151">
            <v>0.39096313912009512</v>
          </cell>
          <cell r="V151">
            <v>3809000</v>
          </cell>
          <cell r="W151">
            <v>15028000</v>
          </cell>
          <cell r="X151">
            <v>0.25346020761245674</v>
          </cell>
          <cell r="Y151">
            <v>5849000</v>
          </cell>
          <cell r="Z151">
            <v>15028000</v>
          </cell>
          <cell r="AA151">
            <v>0.38920681394729839</v>
          </cell>
          <cell r="AB151">
            <v>623000</v>
          </cell>
          <cell r="AC151">
            <v>15028000</v>
          </cell>
          <cell r="AD151">
            <v>4.1455948895395264E-2</v>
          </cell>
          <cell r="AE151">
            <v>3721000</v>
          </cell>
          <cell r="AF151">
            <v>15028000</v>
          </cell>
          <cell r="AG151">
            <v>0.24760447165291455</v>
          </cell>
          <cell r="AH151">
            <v>934000</v>
          </cell>
          <cell r="AI151">
            <v>15028000</v>
          </cell>
          <cell r="AJ151">
            <v>6.2150652116050038E-2</v>
          </cell>
          <cell r="AK151">
            <v>92000</v>
          </cell>
          <cell r="AL151">
            <v>15028000</v>
          </cell>
          <cell r="AM151">
            <v>6.1219057758850146E-3</v>
          </cell>
          <cell r="AN151">
            <v>11397000</v>
          </cell>
          <cell r="AO151">
            <v>7420</v>
          </cell>
          <cell r="AP151">
            <v>1535.9838274932615</v>
          </cell>
          <cell r="AQ151">
            <v>5018000</v>
          </cell>
          <cell r="AR151">
            <v>12744000</v>
          </cell>
          <cell r="AS151">
            <v>0.39375392341494037</v>
          </cell>
          <cell r="AT151">
            <v>3641000</v>
          </cell>
          <cell r="AU151">
            <v>12744000</v>
          </cell>
          <cell r="AV151">
            <v>0.28570307595731326</v>
          </cell>
          <cell r="AW151">
            <v>236000</v>
          </cell>
          <cell r="AX151">
            <v>12744000</v>
          </cell>
          <cell r="AY151">
            <v>1.8518518518518517E-2</v>
          </cell>
          <cell r="AZ151">
            <v>2338000</v>
          </cell>
          <cell r="BA151">
            <v>12744000</v>
          </cell>
          <cell r="BB151">
            <v>0.18345888261142498</v>
          </cell>
          <cell r="BC151">
            <v>1511000</v>
          </cell>
          <cell r="BD151">
            <v>12744000</v>
          </cell>
          <cell r="BE151">
            <v>0.11856559949780289</v>
          </cell>
          <cell r="BF151">
            <v>10624000</v>
          </cell>
          <cell r="BG151">
            <v>7420</v>
          </cell>
          <cell r="BH151">
            <v>1431.8059299191375</v>
          </cell>
          <cell r="BI151">
            <v>6776000</v>
          </cell>
          <cell r="BJ151">
            <v>1799000</v>
          </cell>
          <cell r="BK151">
            <v>3.7665369649805447</v>
          </cell>
          <cell r="BL151">
            <v>657000</v>
          </cell>
          <cell r="BM151">
            <v>12198000</v>
          </cell>
          <cell r="BN151">
            <v>5.386128873585834E-2</v>
          </cell>
          <cell r="BO151">
            <v>2362000</v>
          </cell>
          <cell r="BP151">
            <v>1563000</v>
          </cell>
          <cell r="BQ151">
            <v>1.5111964171465131</v>
          </cell>
          <cell r="BR151">
            <v>96</v>
          </cell>
          <cell r="BS151" t="str">
            <v>On Time</v>
          </cell>
          <cell r="BT151" t="str">
            <v>On Time</v>
          </cell>
          <cell r="BU151" t="str">
            <v>On Time</v>
          </cell>
          <cell r="BV151">
            <v>132000</v>
          </cell>
          <cell r="BW151">
            <v>7420</v>
          </cell>
          <cell r="BX151">
            <v>17.78975741239892</v>
          </cell>
          <cell r="BY151">
            <v>18804</v>
          </cell>
          <cell r="BZ151">
            <v>7420</v>
          </cell>
          <cell r="CA151">
            <v>2.5342318059299189</v>
          </cell>
          <cell r="CB151">
            <v>674000</v>
          </cell>
          <cell r="CC151">
            <v>2564</v>
          </cell>
          <cell r="CD151">
            <v>262.8705148205928</v>
          </cell>
          <cell r="CE151">
            <v>401093</v>
          </cell>
          <cell r="CF151">
            <v>2564</v>
          </cell>
          <cell r="CG151">
            <v>156.43252730109205</v>
          </cell>
          <cell r="CH151">
            <v>260000</v>
          </cell>
          <cell r="CI151">
            <v>7420</v>
          </cell>
          <cell r="CJ151">
            <v>35.040431266846362</v>
          </cell>
          <cell r="CK151">
            <v>1451000</v>
          </cell>
          <cell r="CL151">
            <v>7420</v>
          </cell>
          <cell r="CM151">
            <v>195.55256064690028</v>
          </cell>
          <cell r="CN151">
            <v>344.95082885640801</v>
          </cell>
          <cell r="CO151">
            <v>266.317016317016</v>
          </cell>
          <cell r="CP151">
            <v>348.36184247152102</v>
          </cell>
          <cell r="CQ151">
            <v>331.71176649437501</v>
          </cell>
          <cell r="CR151">
            <v>197</v>
          </cell>
          <cell r="CS151">
            <v>7394</v>
          </cell>
          <cell r="CT151">
            <v>197</v>
          </cell>
          <cell r="CU151">
            <v>37.532994923857871</v>
          </cell>
          <cell r="CV151">
            <v>21</v>
          </cell>
          <cell r="CW151">
            <v>68000</v>
          </cell>
          <cell r="CX151">
            <v>762000</v>
          </cell>
          <cell r="CY151">
            <v>8.9238845144356954E-2</v>
          </cell>
          <cell r="CZ151">
            <v>626000</v>
          </cell>
          <cell r="DA151">
            <v>7420</v>
          </cell>
          <cell r="DB151">
            <v>84.366576819407001</v>
          </cell>
          <cell r="DC151">
            <v>473000</v>
          </cell>
          <cell r="DD151">
            <v>7420</v>
          </cell>
          <cell r="DE151">
            <v>63.746630727762806</v>
          </cell>
          <cell r="DF151">
            <v>945000</v>
          </cell>
          <cell r="DG151">
            <v>7420</v>
          </cell>
          <cell r="DH151">
            <v>127.35849056603773</v>
          </cell>
          <cell r="DI151">
            <v>6029.7</v>
          </cell>
          <cell r="DJ151">
            <v>1.2305753188384165</v>
          </cell>
          <cell r="DK151">
            <v>4.3678160919540229E-2</v>
          </cell>
          <cell r="DL151">
            <v>0.45</v>
          </cell>
          <cell r="DM151">
            <v>7.26</v>
          </cell>
        </row>
        <row r="152">
          <cell r="B152" t="str">
            <v>South Sydney City Council</v>
          </cell>
          <cell r="C152">
            <v>3</v>
          </cell>
          <cell r="D152">
            <v>15593000</v>
          </cell>
          <cell r="E152">
            <v>41652</v>
          </cell>
          <cell r="F152">
            <v>374.3637760491693</v>
          </cell>
          <cell r="G152">
            <v>0</v>
          </cell>
          <cell r="H152">
            <v>0</v>
          </cell>
          <cell r="I152" t="str">
            <v>N/A</v>
          </cell>
          <cell r="J152">
            <v>32424000</v>
          </cell>
          <cell r="K152">
            <v>5650</v>
          </cell>
          <cell r="L152">
            <v>5738.7610619469024</v>
          </cell>
          <cell r="M152">
            <v>3076000</v>
          </cell>
          <cell r="N152">
            <v>72152000</v>
          </cell>
          <cell r="O152">
            <v>4.263222086705843E-2</v>
          </cell>
          <cell r="P152">
            <v>2093000</v>
          </cell>
          <cell r="Q152">
            <v>55423000</v>
          </cell>
          <cell r="R152">
            <v>3.7764105154899592E-2</v>
          </cell>
          <cell r="S152">
            <v>2071000</v>
          </cell>
          <cell r="T152">
            <v>12565000</v>
          </cell>
          <cell r="U152">
            <v>0.16482292081177874</v>
          </cell>
          <cell r="V152">
            <v>57516000</v>
          </cell>
          <cell r="W152">
            <v>117569000</v>
          </cell>
          <cell r="X152">
            <v>0.48921059122727928</v>
          </cell>
          <cell r="Y152">
            <v>14636000</v>
          </cell>
          <cell r="Z152">
            <v>117569000</v>
          </cell>
          <cell r="AA152">
            <v>0.12448859818489567</v>
          </cell>
          <cell r="AB152">
            <v>3339000</v>
          </cell>
          <cell r="AC152">
            <v>117569000</v>
          </cell>
          <cell r="AD152">
            <v>2.8400343627997177E-2</v>
          </cell>
          <cell r="AE152">
            <v>7950000</v>
          </cell>
          <cell r="AF152">
            <v>117569000</v>
          </cell>
          <cell r="AG152">
            <v>6.7619865780945657E-2</v>
          </cell>
          <cell r="AH152">
            <v>22661000</v>
          </cell>
          <cell r="AI152">
            <v>117569000</v>
          </cell>
          <cell r="AJ152">
            <v>0.19274638722792573</v>
          </cell>
          <cell r="AK152">
            <v>11467000</v>
          </cell>
          <cell r="AL152">
            <v>117569000</v>
          </cell>
          <cell r="AM152">
            <v>9.7534213950956461E-2</v>
          </cell>
          <cell r="AN152">
            <v>95648000</v>
          </cell>
          <cell r="AO152">
            <v>90423</v>
          </cell>
          <cell r="AP152">
            <v>1057.7839708923614</v>
          </cell>
          <cell r="AQ152">
            <v>50465000</v>
          </cell>
          <cell r="AR152">
            <v>109051000</v>
          </cell>
          <cell r="AS152">
            <v>0.46276512824274879</v>
          </cell>
          <cell r="AT152">
            <v>15720000</v>
          </cell>
          <cell r="AU152">
            <v>109051000</v>
          </cell>
          <cell r="AV152">
            <v>0.1441527358758746</v>
          </cell>
          <cell r="AW152">
            <v>0</v>
          </cell>
          <cell r="AX152">
            <v>109051000</v>
          </cell>
          <cell r="AY152">
            <v>0</v>
          </cell>
          <cell r="AZ152">
            <v>17700000</v>
          </cell>
          <cell r="BA152">
            <v>109051000</v>
          </cell>
          <cell r="BB152">
            <v>0.16230937818085117</v>
          </cell>
          <cell r="BC152">
            <v>25166000</v>
          </cell>
          <cell r="BD152">
            <v>109051000</v>
          </cell>
          <cell r="BE152">
            <v>0.23077275770052544</v>
          </cell>
          <cell r="BF152">
            <v>109051000</v>
          </cell>
          <cell r="BG152">
            <v>90423</v>
          </cell>
          <cell r="BH152">
            <v>1206.0095329728056</v>
          </cell>
          <cell r="BI152">
            <v>58104000</v>
          </cell>
          <cell r="BJ152">
            <v>40522000</v>
          </cell>
          <cell r="BK152">
            <v>1.4338877646710428</v>
          </cell>
          <cell r="BL152">
            <v>0</v>
          </cell>
          <cell r="BM152">
            <v>93797000</v>
          </cell>
          <cell r="BN152">
            <v>0</v>
          </cell>
          <cell r="BO152">
            <v>40555000</v>
          </cell>
          <cell r="BP152">
            <v>17700000</v>
          </cell>
          <cell r="BQ152">
            <v>2.2912429378531072</v>
          </cell>
          <cell r="BR152">
            <v>952.6</v>
          </cell>
          <cell r="BS152" t="str">
            <v>On Time</v>
          </cell>
          <cell r="BT152" t="str">
            <v>On Time</v>
          </cell>
          <cell r="BU152" t="str">
            <v>On Time</v>
          </cell>
          <cell r="BV152">
            <v>1915000</v>
          </cell>
          <cell r="BW152">
            <v>90423</v>
          </cell>
          <cell r="BX152">
            <v>21.178240049544918</v>
          </cell>
          <cell r="BY152">
            <v>389921</v>
          </cell>
          <cell r="BZ152">
            <v>90423</v>
          </cell>
          <cell r="CA152">
            <v>4.3121882706833441</v>
          </cell>
          <cell r="CB152">
            <v>9243000</v>
          </cell>
          <cell r="CC152">
            <v>45837</v>
          </cell>
          <cell r="CD152">
            <v>201.64932259964658</v>
          </cell>
          <cell r="CE152">
            <v>6691000</v>
          </cell>
          <cell r="CF152">
            <v>135979</v>
          </cell>
          <cell r="CG152">
            <v>49.206127416733466</v>
          </cell>
          <cell r="CH152">
            <v>6270780</v>
          </cell>
          <cell r="CI152">
            <v>90423</v>
          </cell>
          <cell r="CJ152">
            <v>69.349391194718152</v>
          </cell>
          <cell r="CK152">
            <v>22599000</v>
          </cell>
          <cell r="CL152">
            <v>90423</v>
          </cell>
          <cell r="CM152">
            <v>249.9253508510003</v>
          </cell>
          <cell r="CN152" t="str">
            <v>N/A</v>
          </cell>
          <cell r="CO152" t="str">
            <v>N/A</v>
          </cell>
          <cell r="CP152" t="str">
            <v>N/A</v>
          </cell>
          <cell r="CQ152" t="str">
            <v>N/A</v>
          </cell>
          <cell r="CR152">
            <v>1322</v>
          </cell>
          <cell r="CS152">
            <v>154277</v>
          </cell>
          <cell r="CT152">
            <v>1322</v>
          </cell>
          <cell r="CU152">
            <v>116.69969742813919</v>
          </cell>
          <cell r="CV152">
            <v>80</v>
          </cell>
          <cell r="CW152">
            <v>1089000</v>
          </cell>
          <cell r="CX152">
            <v>7998000</v>
          </cell>
          <cell r="CY152">
            <v>0.13615903975993998</v>
          </cell>
          <cell r="CZ152">
            <v>1686000</v>
          </cell>
          <cell r="DA152">
            <v>90423</v>
          </cell>
          <cell r="DB152">
            <v>18.645698550147639</v>
          </cell>
          <cell r="DC152">
            <v>7345000</v>
          </cell>
          <cell r="DD152">
            <v>90423</v>
          </cell>
          <cell r="DE152">
            <v>81.229333244860271</v>
          </cell>
          <cell r="DF152">
            <v>9271000</v>
          </cell>
          <cell r="DG152">
            <v>90423</v>
          </cell>
          <cell r="DH152">
            <v>102.52922375944173</v>
          </cell>
          <cell r="DI152">
            <v>17.8</v>
          </cell>
          <cell r="DJ152">
            <v>5079.9438202247193</v>
          </cell>
          <cell r="DK152">
            <v>4.5048780487804876E-2</v>
          </cell>
          <cell r="DL152">
            <v>2.17</v>
          </cell>
          <cell r="DM152">
            <v>22.61</v>
          </cell>
        </row>
        <row r="153">
          <cell r="B153" t="str">
            <v>Strathfield Municipal Council</v>
          </cell>
          <cell r="C153">
            <v>2</v>
          </cell>
          <cell r="D153">
            <v>5750000</v>
          </cell>
          <cell r="E153">
            <v>9540</v>
          </cell>
          <cell r="F153">
            <v>602.72536687631032</v>
          </cell>
          <cell r="G153">
            <v>0</v>
          </cell>
          <cell r="H153">
            <v>0</v>
          </cell>
          <cell r="I153" t="str">
            <v>N/A</v>
          </cell>
          <cell r="J153">
            <v>3028000</v>
          </cell>
          <cell r="K153">
            <v>803</v>
          </cell>
          <cell r="L153">
            <v>3770.8592777085928</v>
          </cell>
          <cell r="M153">
            <v>399000</v>
          </cell>
          <cell r="N153">
            <v>13479000</v>
          </cell>
          <cell r="O153">
            <v>2.9601602492766527E-2</v>
          </cell>
          <cell r="P153">
            <v>584000</v>
          </cell>
          <cell r="Q153">
            <v>10213000</v>
          </cell>
          <cell r="R153">
            <v>5.7182022911974932E-2</v>
          </cell>
          <cell r="S153">
            <v>395000</v>
          </cell>
          <cell r="T153">
            <v>2287000</v>
          </cell>
          <cell r="U153">
            <v>0.17271534761696547</v>
          </cell>
          <cell r="V153">
            <v>10797000</v>
          </cell>
          <cell r="W153">
            <v>20322000</v>
          </cell>
          <cell r="X153">
            <v>0.53129613227044581</v>
          </cell>
          <cell r="Y153">
            <v>2682000</v>
          </cell>
          <cell r="Z153">
            <v>20322000</v>
          </cell>
          <cell r="AA153">
            <v>0.13197519929140833</v>
          </cell>
          <cell r="AB153">
            <v>652000</v>
          </cell>
          <cell r="AC153">
            <v>20322000</v>
          </cell>
          <cell r="AD153">
            <v>3.2083456352721189E-2</v>
          </cell>
          <cell r="AE153">
            <v>1795000</v>
          </cell>
          <cell r="AF153">
            <v>20322000</v>
          </cell>
          <cell r="AG153">
            <v>8.8327920480267691E-2</v>
          </cell>
          <cell r="AH153">
            <v>3850000</v>
          </cell>
          <cell r="AI153">
            <v>20322000</v>
          </cell>
          <cell r="AJ153">
            <v>0.1894498572975101</v>
          </cell>
          <cell r="AK153">
            <v>546000</v>
          </cell>
          <cell r="AL153">
            <v>20322000</v>
          </cell>
          <cell r="AM153">
            <v>2.6867434307646886E-2</v>
          </cell>
          <cell r="AN153">
            <v>20374000</v>
          </cell>
          <cell r="AO153">
            <v>29478</v>
          </cell>
          <cell r="AP153">
            <v>691.15950878621345</v>
          </cell>
          <cell r="AQ153">
            <v>6833000</v>
          </cell>
          <cell r="AR153">
            <v>16271000</v>
          </cell>
          <cell r="AS153">
            <v>0.4199496035892078</v>
          </cell>
          <cell r="AT153">
            <v>2397000</v>
          </cell>
          <cell r="AU153">
            <v>16271000</v>
          </cell>
          <cell r="AV153">
            <v>0.14731731301087825</v>
          </cell>
          <cell r="AW153">
            <v>366000</v>
          </cell>
          <cell r="AX153">
            <v>16271000</v>
          </cell>
          <cell r="AY153">
            <v>2.249400774383873E-2</v>
          </cell>
          <cell r="AZ153">
            <v>2733000</v>
          </cell>
          <cell r="BA153">
            <v>16271000</v>
          </cell>
          <cell r="BB153">
            <v>0.16796754962817281</v>
          </cell>
          <cell r="BC153">
            <v>3942000</v>
          </cell>
          <cell r="BD153">
            <v>16271000</v>
          </cell>
          <cell r="BE153">
            <v>0.24227152602790239</v>
          </cell>
          <cell r="BF153">
            <v>16271000</v>
          </cell>
          <cell r="BG153">
            <v>29478</v>
          </cell>
          <cell r="BH153">
            <v>551.97096139493863</v>
          </cell>
          <cell r="BI153">
            <v>12065000</v>
          </cell>
          <cell r="BJ153">
            <v>7023000</v>
          </cell>
          <cell r="BK153">
            <v>1.7179268119037447</v>
          </cell>
          <cell r="BL153">
            <v>1028000</v>
          </cell>
          <cell r="BM153">
            <v>19295000</v>
          </cell>
          <cell r="BN153">
            <v>5.3278051308629178E-2</v>
          </cell>
          <cell r="BO153">
            <v>3887000</v>
          </cell>
          <cell r="BP153">
            <v>2733000</v>
          </cell>
          <cell r="BQ153">
            <v>1.4222466154409075</v>
          </cell>
          <cell r="BR153">
            <v>143</v>
          </cell>
          <cell r="BS153" t="str">
            <v>On Time</v>
          </cell>
          <cell r="BT153" t="str">
            <v>On Time</v>
          </cell>
          <cell r="BU153" t="str">
            <v>On Time</v>
          </cell>
          <cell r="BV153">
            <v>786000</v>
          </cell>
          <cell r="BW153">
            <v>29478</v>
          </cell>
          <cell r="BX153">
            <v>26.66395277834317</v>
          </cell>
          <cell r="BY153">
            <v>238962</v>
          </cell>
          <cell r="BZ153">
            <v>29478</v>
          </cell>
          <cell r="CA153">
            <v>8.106452269489111</v>
          </cell>
          <cell r="CB153">
            <v>2019000</v>
          </cell>
          <cell r="CC153">
            <v>9593</v>
          </cell>
          <cell r="CD153">
            <v>210.4659647659752</v>
          </cell>
          <cell r="CE153">
            <v>1085367</v>
          </cell>
          <cell r="CF153">
            <v>10408</v>
          </cell>
          <cell r="CG153">
            <v>104.28199461952345</v>
          </cell>
          <cell r="CH153">
            <v>2214650</v>
          </cell>
          <cell r="CI153">
            <v>29478</v>
          </cell>
          <cell r="CJ153">
            <v>75.128909695366033</v>
          </cell>
          <cell r="CK153">
            <v>9810440</v>
          </cell>
          <cell r="CL153">
            <v>29478</v>
          </cell>
          <cell r="CM153">
            <v>332.80548205441346</v>
          </cell>
          <cell r="CN153" t="str">
            <v>N/A</v>
          </cell>
          <cell r="CO153" t="str">
            <v>N/A</v>
          </cell>
          <cell r="CP153" t="str">
            <v>N/A</v>
          </cell>
          <cell r="CQ153" t="str">
            <v>N/A</v>
          </cell>
          <cell r="CR153">
            <v>456</v>
          </cell>
          <cell r="CS153">
            <v>33129</v>
          </cell>
          <cell r="CT153">
            <v>456</v>
          </cell>
          <cell r="CU153">
            <v>72.651315789473685</v>
          </cell>
          <cell r="CV153">
            <v>62</v>
          </cell>
          <cell r="CW153">
            <v>398000</v>
          </cell>
          <cell r="CX153">
            <v>1740000</v>
          </cell>
          <cell r="CY153">
            <v>0.22873563218390805</v>
          </cell>
          <cell r="CZ153">
            <v>232000</v>
          </cell>
          <cell r="DA153">
            <v>29478</v>
          </cell>
          <cell r="DB153">
            <v>7.8702761381369157</v>
          </cell>
          <cell r="DC153">
            <v>1027000</v>
          </cell>
          <cell r="DD153">
            <v>29478</v>
          </cell>
          <cell r="DE153">
            <v>34.839541352873326</v>
          </cell>
          <cell r="DF153">
            <v>325000</v>
          </cell>
          <cell r="DG153">
            <v>29478</v>
          </cell>
          <cell r="DH153">
            <v>11.025171314200421</v>
          </cell>
          <cell r="DI153">
            <v>13.9</v>
          </cell>
          <cell r="DJ153">
            <v>2120.7194244604316</v>
          </cell>
          <cell r="DK153">
            <v>1.7951940850277265E-2</v>
          </cell>
          <cell r="DL153">
            <v>0.49</v>
          </cell>
          <cell r="DM153">
            <v>38.76</v>
          </cell>
        </row>
        <row r="154">
          <cell r="B154" t="str">
            <v>Sutherland Shire Council</v>
          </cell>
          <cell r="C154">
            <v>3</v>
          </cell>
          <cell r="D154">
            <v>58418000</v>
          </cell>
          <cell r="E154">
            <v>72468</v>
          </cell>
          <cell r="F154">
            <v>806.1213225147651</v>
          </cell>
          <cell r="G154">
            <v>0</v>
          </cell>
          <cell r="H154">
            <v>0</v>
          </cell>
          <cell r="I154" t="str">
            <v>N/A</v>
          </cell>
          <cell r="J154">
            <v>8374000</v>
          </cell>
          <cell r="K154">
            <v>3163</v>
          </cell>
          <cell r="L154">
            <v>2647.4865633891873</v>
          </cell>
          <cell r="M154">
            <v>3354000</v>
          </cell>
          <cell r="N154">
            <v>99569000</v>
          </cell>
          <cell r="O154">
            <v>3.3685183139330513E-2</v>
          </cell>
          <cell r="P154">
            <v>2832000</v>
          </cell>
          <cell r="Q154">
            <v>76744000</v>
          </cell>
          <cell r="R154">
            <v>3.6901907640988219E-2</v>
          </cell>
          <cell r="S154">
            <v>2051000</v>
          </cell>
          <cell r="T154">
            <v>17942000</v>
          </cell>
          <cell r="U154">
            <v>0.11431278564262624</v>
          </cell>
          <cell r="V154">
            <v>79576000</v>
          </cell>
          <cell r="W154">
            <v>151382000</v>
          </cell>
          <cell r="X154">
            <v>0.52566355313049107</v>
          </cell>
          <cell r="Y154">
            <v>19993000</v>
          </cell>
          <cell r="Z154">
            <v>151382000</v>
          </cell>
          <cell r="AA154">
            <v>0.13206986299560053</v>
          </cell>
          <cell r="AB154">
            <v>4512000</v>
          </cell>
          <cell r="AC154">
            <v>151382000</v>
          </cell>
          <cell r="AD154">
            <v>2.9805392979350254E-2</v>
          </cell>
          <cell r="AE154">
            <v>16125000</v>
          </cell>
          <cell r="AF154">
            <v>151382000</v>
          </cell>
          <cell r="AG154">
            <v>0.10651860855319654</v>
          </cell>
          <cell r="AH154">
            <v>24551000</v>
          </cell>
          <cell r="AI154">
            <v>151382000</v>
          </cell>
          <cell r="AJ154">
            <v>0.16217912301330409</v>
          </cell>
          <cell r="AK154">
            <v>6625000</v>
          </cell>
          <cell r="AL154">
            <v>151382000</v>
          </cell>
          <cell r="AM154">
            <v>4.3763459328057495E-2</v>
          </cell>
          <cell r="AN154">
            <v>123038000</v>
          </cell>
          <cell r="AO154">
            <v>214380</v>
          </cell>
          <cell r="AP154">
            <v>573.92480641850921</v>
          </cell>
          <cell r="AQ154">
            <v>58874000</v>
          </cell>
          <cell r="AR154">
            <v>128054000</v>
          </cell>
          <cell r="AS154">
            <v>0.45975916410264422</v>
          </cell>
          <cell r="AT154">
            <v>17306000</v>
          </cell>
          <cell r="AU154">
            <v>128054000</v>
          </cell>
          <cell r="AV154">
            <v>0.13514611023474471</v>
          </cell>
          <cell r="AW154">
            <v>1443000</v>
          </cell>
          <cell r="AX154">
            <v>128054000</v>
          </cell>
          <cell r="AY154">
            <v>1.1268683524138253E-2</v>
          </cell>
          <cell r="AZ154">
            <v>21051000</v>
          </cell>
          <cell r="BA154">
            <v>128054000</v>
          </cell>
          <cell r="BB154">
            <v>0.16439158480016244</v>
          </cell>
          <cell r="BC154">
            <v>29380000</v>
          </cell>
          <cell r="BD154">
            <v>128054000</v>
          </cell>
          <cell r="BE154">
            <v>0.22943445733831039</v>
          </cell>
          <cell r="BF154">
            <v>128054000</v>
          </cell>
          <cell r="BG154">
            <v>214380</v>
          </cell>
          <cell r="BH154">
            <v>597.32251142830489</v>
          </cell>
          <cell r="BI154">
            <v>54261000</v>
          </cell>
          <cell r="BJ154">
            <v>35505000</v>
          </cell>
          <cell r="BK154">
            <v>1.5282636248415715</v>
          </cell>
          <cell r="BL154">
            <v>7688000</v>
          </cell>
          <cell r="BM154">
            <v>116922000</v>
          </cell>
          <cell r="BN154">
            <v>6.5753237200868953E-2</v>
          </cell>
          <cell r="BO154">
            <v>23072000</v>
          </cell>
          <cell r="BP154">
            <v>21051000</v>
          </cell>
          <cell r="BQ154">
            <v>1.0960049403828798</v>
          </cell>
          <cell r="BR154">
            <v>1131</v>
          </cell>
          <cell r="BS154" t="str">
            <v>On Time</v>
          </cell>
          <cell r="BT154" t="str">
            <v>On Time</v>
          </cell>
          <cell r="BU154" t="str">
            <v>On Time</v>
          </cell>
          <cell r="BV154">
            <v>4899000</v>
          </cell>
          <cell r="BW154">
            <v>214380</v>
          </cell>
          <cell r="BX154">
            <v>22.851945144136579</v>
          </cell>
          <cell r="BY154">
            <v>1746890</v>
          </cell>
          <cell r="BZ154">
            <v>214380</v>
          </cell>
          <cell r="CA154">
            <v>8.148567963429425</v>
          </cell>
          <cell r="CB154">
            <v>12609000</v>
          </cell>
          <cell r="CC154">
            <v>75983</v>
          </cell>
          <cell r="CD154">
            <v>165.94501401629313</v>
          </cell>
          <cell r="CE154">
            <v>9091636</v>
          </cell>
          <cell r="CF154">
            <v>74753</v>
          </cell>
          <cell r="CG154">
            <v>121.62235629339291</v>
          </cell>
          <cell r="CH154">
            <v>48121750</v>
          </cell>
          <cell r="CI154">
            <v>214380</v>
          </cell>
          <cell r="CJ154">
            <v>224.46940013060919</v>
          </cell>
          <cell r="CK154">
            <v>46079980</v>
          </cell>
          <cell r="CL154">
            <v>214380</v>
          </cell>
          <cell r="CM154">
            <v>214.94533072114936</v>
          </cell>
          <cell r="CN154" t="str">
            <v>N/A</v>
          </cell>
          <cell r="CO154" t="str">
            <v>N/A</v>
          </cell>
          <cell r="CP154" t="str">
            <v>N/A</v>
          </cell>
          <cell r="CQ154" t="str">
            <v>N/A</v>
          </cell>
          <cell r="CR154">
            <v>2102</v>
          </cell>
          <cell r="CS154">
            <v>194851</v>
          </cell>
          <cell r="CT154">
            <v>2102</v>
          </cell>
          <cell r="CU154">
            <v>92.697906755470981</v>
          </cell>
          <cell r="CV154">
            <v>65</v>
          </cell>
          <cell r="CW154">
            <v>1005000</v>
          </cell>
          <cell r="CX154">
            <v>7430000</v>
          </cell>
          <cell r="CY154">
            <v>0.13526244952893673</v>
          </cell>
          <cell r="CZ154">
            <v>2337000</v>
          </cell>
          <cell r="DA154">
            <v>214380</v>
          </cell>
          <cell r="DB154">
            <v>10.901203470472993</v>
          </cell>
          <cell r="DC154">
            <v>-1117000</v>
          </cell>
          <cell r="DD154">
            <v>214380</v>
          </cell>
          <cell r="DE154">
            <v>-5.2103741020617598</v>
          </cell>
          <cell r="DF154">
            <v>7918000</v>
          </cell>
          <cell r="DG154">
            <v>214380</v>
          </cell>
          <cell r="DH154">
            <v>36.934415523836179</v>
          </cell>
          <cell r="DI154">
            <v>334.5</v>
          </cell>
          <cell r="DJ154">
            <v>640.89686098654704</v>
          </cell>
          <cell r="DK154">
            <v>1.079646017699115E-2</v>
          </cell>
          <cell r="DL154">
            <v>0.49</v>
          </cell>
          <cell r="DM154">
            <v>8.67</v>
          </cell>
        </row>
        <row r="155">
          <cell r="B155" t="str">
            <v>Sydney, The City of</v>
          </cell>
          <cell r="C155">
            <v>1</v>
          </cell>
          <cell r="D155">
            <v>6532000</v>
          </cell>
          <cell r="E155">
            <v>15294</v>
          </cell>
          <cell r="F155">
            <v>427.09559304302343</v>
          </cell>
          <cell r="G155">
            <v>0</v>
          </cell>
          <cell r="H155">
            <v>0</v>
          </cell>
          <cell r="I155" t="str">
            <v>N/A</v>
          </cell>
          <cell r="J155">
            <v>85580000</v>
          </cell>
          <cell r="K155">
            <v>7911</v>
          </cell>
          <cell r="L155">
            <v>10817.848565288838</v>
          </cell>
          <cell r="M155">
            <v>3145000</v>
          </cell>
          <cell r="N155">
            <v>130135000</v>
          </cell>
          <cell r="O155">
            <v>2.4167210973220117E-2</v>
          </cell>
          <cell r="P155">
            <v>935000</v>
          </cell>
          <cell r="Q155">
            <v>93893000</v>
          </cell>
          <cell r="R155">
            <v>9.9581438445890541E-3</v>
          </cell>
          <cell r="S155">
            <v>4339000</v>
          </cell>
          <cell r="T155">
            <v>30968000</v>
          </cell>
          <cell r="U155">
            <v>0.14011237406354948</v>
          </cell>
          <cell r="V155">
            <v>94828000</v>
          </cell>
          <cell r="W155">
            <v>176301000</v>
          </cell>
          <cell r="X155">
            <v>0.53787556508471313</v>
          </cell>
          <cell r="Y155">
            <v>35307000</v>
          </cell>
          <cell r="Z155">
            <v>176301000</v>
          </cell>
          <cell r="AA155">
            <v>0.20026545510235336</v>
          </cell>
          <cell r="AB155">
            <v>3294000</v>
          </cell>
          <cell r="AC155">
            <v>176301000</v>
          </cell>
          <cell r="AD155">
            <v>1.8683955281025066E-2</v>
          </cell>
          <cell r="AE155">
            <v>2927000</v>
          </cell>
          <cell r="AF155">
            <v>176301000</v>
          </cell>
          <cell r="AG155">
            <v>1.6602288132228405E-2</v>
          </cell>
          <cell r="AH155">
            <v>6189000</v>
          </cell>
          <cell r="AI155">
            <v>176301000</v>
          </cell>
          <cell r="AJ155">
            <v>3.5104735650960575E-2</v>
          </cell>
          <cell r="AK155">
            <v>33756000</v>
          </cell>
          <cell r="AL155">
            <v>176301000</v>
          </cell>
          <cell r="AM155">
            <v>0.19146800074871953</v>
          </cell>
          <cell r="AN155">
            <v>172423000</v>
          </cell>
          <cell r="AO155">
            <v>31788</v>
          </cell>
          <cell r="AP155">
            <v>5424.1537687177552</v>
          </cell>
          <cell r="AQ155">
            <v>50341000</v>
          </cell>
          <cell r="AR155">
            <v>128102000</v>
          </cell>
          <cell r="AS155">
            <v>0.3929759098218607</v>
          </cell>
          <cell r="AT155">
            <v>22776000</v>
          </cell>
          <cell r="AU155">
            <v>128102000</v>
          </cell>
          <cell r="AV155">
            <v>0.17779581895676883</v>
          </cell>
          <cell r="AW155">
            <v>827000</v>
          </cell>
          <cell r="AX155">
            <v>128102000</v>
          </cell>
          <cell r="AY155">
            <v>6.4557930399213124E-3</v>
          </cell>
          <cell r="AZ155">
            <v>20115000</v>
          </cell>
          <cell r="BA155">
            <v>128102000</v>
          </cell>
          <cell r="BB155">
            <v>0.15702330955020219</v>
          </cell>
          <cell r="BC155">
            <v>34043000</v>
          </cell>
          <cell r="BD155">
            <v>128102000</v>
          </cell>
          <cell r="BE155">
            <v>0.26574916863124698</v>
          </cell>
          <cell r="BF155">
            <v>128102000</v>
          </cell>
          <cell r="BG155">
            <v>31788</v>
          </cell>
          <cell r="BH155">
            <v>4029.8854913803953</v>
          </cell>
          <cell r="BI155">
            <v>122804000</v>
          </cell>
          <cell r="BJ155">
            <v>35687000</v>
          </cell>
          <cell r="BK155">
            <v>3.4411410317482556</v>
          </cell>
          <cell r="BL155">
            <v>10026000</v>
          </cell>
          <cell r="BM155">
            <v>170018000</v>
          </cell>
          <cell r="BN155">
            <v>5.897022668188074E-2</v>
          </cell>
          <cell r="BO155">
            <v>5702000</v>
          </cell>
          <cell r="BP155">
            <v>20115000</v>
          </cell>
          <cell r="BQ155">
            <v>0.28347004722843649</v>
          </cell>
          <cell r="BR155">
            <v>709.6</v>
          </cell>
          <cell r="BS155" t="str">
            <v>On Time</v>
          </cell>
          <cell r="BT155" t="str">
            <v>On Time</v>
          </cell>
          <cell r="BU155" t="str">
            <v>On Time</v>
          </cell>
          <cell r="BV155">
            <v>2513000</v>
          </cell>
          <cell r="BW155">
            <v>31788</v>
          </cell>
          <cell r="BX155">
            <v>79.054989304139923</v>
          </cell>
          <cell r="BY155">
            <v>749446</v>
          </cell>
          <cell r="BZ155">
            <v>31788</v>
          </cell>
          <cell r="CA155">
            <v>23.576381024285894</v>
          </cell>
          <cell r="CB155">
            <v>2716000</v>
          </cell>
          <cell r="CC155">
            <v>15731</v>
          </cell>
          <cell r="CD155">
            <v>172.65272392092047</v>
          </cell>
          <cell r="CE155">
            <v>1543970</v>
          </cell>
          <cell r="CF155">
            <v>36181</v>
          </cell>
          <cell r="CG155">
            <v>42.67350266714574</v>
          </cell>
          <cell r="CH155">
            <v>1440000</v>
          </cell>
          <cell r="CI155">
            <v>31788</v>
          </cell>
          <cell r="CJ155">
            <v>45.300113250283125</v>
          </cell>
          <cell r="CK155">
            <v>6044000</v>
          </cell>
          <cell r="CL155">
            <v>31788</v>
          </cell>
          <cell r="CM155">
            <v>190.13464200327167</v>
          </cell>
          <cell r="CN155" t="str">
            <v>N/A</v>
          </cell>
          <cell r="CO155" t="str">
            <v>N/A</v>
          </cell>
          <cell r="CP155" t="str">
            <v>N/A</v>
          </cell>
          <cell r="CQ155" t="str">
            <v>N/A</v>
          </cell>
          <cell r="CR155">
            <v>848</v>
          </cell>
          <cell r="CS155">
            <v>21567</v>
          </cell>
          <cell r="CT155">
            <v>848</v>
          </cell>
          <cell r="CU155">
            <v>25.432783018867923</v>
          </cell>
          <cell r="CV155">
            <v>18</v>
          </cell>
          <cell r="CW155">
            <v>343000</v>
          </cell>
          <cell r="CX155">
            <v>5855000</v>
          </cell>
          <cell r="CY155">
            <v>5.8582408198121265E-2</v>
          </cell>
          <cell r="CZ155">
            <v>1761000</v>
          </cell>
          <cell r="DA155">
            <v>31788</v>
          </cell>
          <cell r="DB155">
            <v>55.398263495658739</v>
          </cell>
          <cell r="DC155">
            <v>3697000</v>
          </cell>
          <cell r="DD155">
            <v>31788</v>
          </cell>
          <cell r="DE155">
            <v>116.30174908770606</v>
          </cell>
          <cell r="DF155">
            <v>1349000</v>
          </cell>
          <cell r="DG155">
            <v>31788</v>
          </cell>
          <cell r="DH155">
            <v>42.437397760161069</v>
          </cell>
          <cell r="DI155">
            <v>6.7</v>
          </cell>
          <cell r="DJ155">
            <v>4744.4776119402986</v>
          </cell>
          <cell r="DK155">
            <v>0.59969811320754718</v>
          </cell>
          <cell r="DL155">
            <v>0.9</v>
          </cell>
          <cell r="DM155">
            <v>37.5</v>
          </cell>
        </row>
        <row r="156">
          <cell r="B156" t="str">
            <v>Tallaganda Shire Council</v>
          </cell>
          <cell r="C156">
            <v>9</v>
          </cell>
          <cell r="D156">
            <v>371000</v>
          </cell>
          <cell r="E156">
            <v>1055</v>
          </cell>
          <cell r="F156">
            <v>351.65876777251185</v>
          </cell>
          <cell r="G156">
            <v>1192000</v>
          </cell>
          <cell r="H156">
            <v>1399</v>
          </cell>
          <cell r="I156">
            <v>852.03716940671904</v>
          </cell>
          <cell r="J156">
            <v>55000</v>
          </cell>
          <cell r="K156">
            <v>114</v>
          </cell>
          <cell r="L156">
            <v>482.45614035087721</v>
          </cell>
          <cell r="M156">
            <v>205000</v>
          </cell>
          <cell r="N156">
            <v>3607000</v>
          </cell>
          <cell r="O156">
            <v>5.6833934017188802E-2</v>
          </cell>
          <cell r="P156">
            <v>78000</v>
          </cell>
          <cell r="Q156">
            <v>1872000</v>
          </cell>
          <cell r="R156">
            <v>4.1666666666666664E-2</v>
          </cell>
          <cell r="S156">
            <v>518000</v>
          </cell>
          <cell r="T156">
            <v>1139000</v>
          </cell>
          <cell r="U156">
            <v>0.45478489903424058</v>
          </cell>
          <cell r="V156">
            <v>1950000</v>
          </cell>
          <cell r="W156">
            <v>7029000</v>
          </cell>
          <cell r="X156">
            <v>0.27742210840802389</v>
          </cell>
          <cell r="Y156">
            <v>1657000</v>
          </cell>
          <cell r="Z156">
            <v>7029000</v>
          </cell>
          <cell r="AA156">
            <v>0.23573765827286955</v>
          </cell>
          <cell r="AB156">
            <v>154000</v>
          </cell>
          <cell r="AC156">
            <v>7029000</v>
          </cell>
          <cell r="AD156">
            <v>2.1909233176838811E-2</v>
          </cell>
          <cell r="AE156">
            <v>3014000</v>
          </cell>
          <cell r="AF156">
            <v>7029000</v>
          </cell>
          <cell r="AG156">
            <v>0.42879499217527389</v>
          </cell>
          <cell r="AH156">
            <v>101000</v>
          </cell>
          <cell r="AI156">
            <v>7029000</v>
          </cell>
          <cell r="AJ156">
            <v>1.4369042538056622E-2</v>
          </cell>
          <cell r="AK156">
            <v>153000</v>
          </cell>
          <cell r="AL156">
            <v>7029000</v>
          </cell>
          <cell r="AM156">
            <v>2.176696542893726E-2</v>
          </cell>
          <cell r="AN156">
            <v>5891000</v>
          </cell>
          <cell r="AO156">
            <v>2805</v>
          </cell>
          <cell r="AP156">
            <v>2100.1782531194294</v>
          </cell>
          <cell r="AQ156">
            <v>2277000</v>
          </cell>
          <cell r="AR156">
            <v>5280000</v>
          </cell>
          <cell r="AS156">
            <v>0.43125000000000002</v>
          </cell>
          <cell r="AT156">
            <v>1719000</v>
          </cell>
          <cell r="AU156">
            <v>5280000</v>
          </cell>
          <cell r="AV156">
            <v>0.32556818181818181</v>
          </cell>
          <cell r="AW156">
            <v>2000</v>
          </cell>
          <cell r="AX156">
            <v>5280000</v>
          </cell>
          <cell r="AY156">
            <v>3.7878787878787879E-4</v>
          </cell>
          <cell r="AZ156">
            <v>743000</v>
          </cell>
          <cell r="BA156">
            <v>5280000</v>
          </cell>
          <cell r="BB156">
            <v>0.14071969696969697</v>
          </cell>
          <cell r="BC156">
            <v>539000</v>
          </cell>
          <cell r="BD156">
            <v>5280000</v>
          </cell>
          <cell r="BE156">
            <v>0.10208333333333333</v>
          </cell>
          <cell r="BF156">
            <v>4983000</v>
          </cell>
          <cell r="BG156">
            <v>2805</v>
          </cell>
          <cell r="BH156">
            <v>1776.4705882352941</v>
          </cell>
          <cell r="BI156">
            <v>2718000</v>
          </cell>
          <cell r="BJ156">
            <v>1205000</v>
          </cell>
          <cell r="BK156">
            <v>2.2556016597510373</v>
          </cell>
          <cell r="BL156">
            <v>3000</v>
          </cell>
          <cell r="BM156">
            <v>4972000</v>
          </cell>
          <cell r="BN156">
            <v>6.0337892196299272E-4</v>
          </cell>
          <cell r="BO156">
            <v>-224000</v>
          </cell>
          <cell r="BP156">
            <v>620000</v>
          </cell>
          <cell r="BQ156">
            <v>-0.36129032258064514</v>
          </cell>
          <cell r="BR156">
            <v>55</v>
          </cell>
          <cell r="BS156" t="str">
            <v>On Time</v>
          </cell>
          <cell r="BT156" t="str">
            <v>Not Received</v>
          </cell>
          <cell r="BU156" t="str">
            <v>On Time</v>
          </cell>
          <cell r="BV156">
            <v>79000</v>
          </cell>
          <cell r="BW156">
            <v>2805</v>
          </cell>
          <cell r="BX156">
            <v>28.163992869875223</v>
          </cell>
          <cell r="BY156">
            <v>20640</v>
          </cell>
          <cell r="BZ156">
            <v>2805</v>
          </cell>
          <cell r="CA156">
            <v>7.358288770053476</v>
          </cell>
          <cell r="CB156">
            <v>120000</v>
          </cell>
          <cell r="CC156">
            <v>493</v>
          </cell>
          <cell r="CD156">
            <v>243.4077079107505</v>
          </cell>
          <cell r="CE156">
            <v>115643</v>
          </cell>
          <cell r="CF156">
            <v>493</v>
          </cell>
          <cell r="CG156">
            <v>234.56997971602433</v>
          </cell>
          <cell r="CH156">
            <v>450000</v>
          </cell>
          <cell r="CI156">
            <v>2805</v>
          </cell>
          <cell r="CJ156">
            <v>160.42780748663102</v>
          </cell>
          <cell r="CK156">
            <v>168000</v>
          </cell>
          <cell r="CL156">
            <v>2805</v>
          </cell>
          <cell r="CM156">
            <v>59.893048128342244</v>
          </cell>
          <cell r="CN156">
            <v>308</v>
          </cell>
          <cell r="CO156">
            <v>348.91165172855301</v>
          </cell>
          <cell r="CP156">
            <v>291.4331366765</v>
          </cell>
          <cell r="CQ156">
            <v>316.53746770025799</v>
          </cell>
          <cell r="CR156">
            <v>130</v>
          </cell>
          <cell r="CS156">
            <v>4675</v>
          </cell>
          <cell r="CT156">
            <v>130</v>
          </cell>
          <cell r="CU156">
            <v>35.96153846153846</v>
          </cell>
          <cell r="CV156">
            <v>35</v>
          </cell>
          <cell r="CW156">
            <v>0</v>
          </cell>
          <cell r="CX156">
            <v>174000</v>
          </cell>
          <cell r="CY156">
            <v>0</v>
          </cell>
          <cell r="CZ156">
            <v>153000</v>
          </cell>
          <cell r="DA156">
            <v>2805</v>
          </cell>
          <cell r="DB156">
            <v>54.545454545454547</v>
          </cell>
          <cell r="DC156">
            <v>123000</v>
          </cell>
          <cell r="DD156">
            <v>2805</v>
          </cell>
          <cell r="DE156">
            <v>43.850267379679146</v>
          </cell>
          <cell r="DF156">
            <v>11000</v>
          </cell>
          <cell r="DG156">
            <v>2805</v>
          </cell>
          <cell r="DH156">
            <v>3.9215686274509802</v>
          </cell>
          <cell r="DI156">
            <v>3321.7</v>
          </cell>
          <cell r="DJ156">
            <v>0.84444712045037185</v>
          </cell>
          <cell r="DK156">
            <v>1.0112359550561797E-2</v>
          </cell>
          <cell r="DL156">
            <v>0.48</v>
          </cell>
          <cell r="DM156">
            <v>4.49</v>
          </cell>
        </row>
        <row r="157">
          <cell r="B157" t="str">
            <v>Tamworth City Council</v>
          </cell>
          <cell r="C157">
            <v>4</v>
          </cell>
          <cell r="D157">
            <v>7653000</v>
          </cell>
          <cell r="E157">
            <v>13380</v>
          </cell>
          <cell r="F157">
            <v>571.97309417040356</v>
          </cell>
          <cell r="G157">
            <v>215000</v>
          </cell>
          <cell r="H157">
            <v>142</v>
          </cell>
          <cell r="I157">
            <v>1514.0845070422536</v>
          </cell>
          <cell r="J157">
            <v>2356000</v>
          </cell>
          <cell r="K157">
            <v>1245</v>
          </cell>
          <cell r="L157">
            <v>1892.3694779116465</v>
          </cell>
          <cell r="M157">
            <v>4409000</v>
          </cell>
          <cell r="N157">
            <v>34024000</v>
          </cell>
          <cell r="O157">
            <v>0.12958499882435928</v>
          </cell>
          <cell r="P157">
            <v>569000</v>
          </cell>
          <cell r="Q157">
            <v>19737000</v>
          </cell>
          <cell r="R157">
            <v>2.8829102700511731E-2</v>
          </cell>
          <cell r="S157">
            <v>805000</v>
          </cell>
          <cell r="T157">
            <v>12913000</v>
          </cell>
          <cell r="U157">
            <v>6.2340277239990707E-2</v>
          </cell>
          <cell r="V157">
            <v>20306000</v>
          </cell>
          <cell r="W157">
            <v>44580000</v>
          </cell>
          <cell r="X157">
            <v>0.45549573799910276</v>
          </cell>
          <cell r="Y157">
            <v>13718000</v>
          </cell>
          <cell r="Z157">
            <v>44580000</v>
          </cell>
          <cell r="AA157">
            <v>0.30771646478241366</v>
          </cell>
          <cell r="AB157">
            <v>1378000</v>
          </cell>
          <cell r="AC157">
            <v>44580000</v>
          </cell>
          <cell r="AD157">
            <v>3.0910722296994167E-2</v>
          </cell>
          <cell r="AE157">
            <v>6229000</v>
          </cell>
          <cell r="AF157">
            <v>44580000</v>
          </cell>
          <cell r="AG157">
            <v>0.13972633467922835</v>
          </cell>
          <cell r="AH157">
            <v>1994000</v>
          </cell>
          <cell r="AI157">
            <v>44580000</v>
          </cell>
          <cell r="AJ157">
            <v>4.4728577837595332E-2</v>
          </cell>
          <cell r="AK157">
            <v>955000</v>
          </cell>
          <cell r="AL157">
            <v>44580000</v>
          </cell>
          <cell r="AM157">
            <v>2.1422162404665768E-2</v>
          </cell>
          <cell r="AN157">
            <v>28001000</v>
          </cell>
          <cell r="AO157">
            <v>36733</v>
          </cell>
          <cell r="AP157">
            <v>762.28459423406741</v>
          </cell>
          <cell r="AQ157">
            <v>14930000</v>
          </cell>
          <cell r="AR157">
            <v>45585000</v>
          </cell>
          <cell r="AS157">
            <v>0.32752001754963256</v>
          </cell>
          <cell r="AT157">
            <v>12760000</v>
          </cell>
          <cell r="AU157">
            <v>45585000</v>
          </cell>
          <cell r="AV157">
            <v>0.27991663924536581</v>
          </cell>
          <cell r="AW157">
            <v>778000</v>
          </cell>
          <cell r="AX157">
            <v>45585000</v>
          </cell>
          <cell r="AY157">
            <v>1.7067017659317757E-2</v>
          </cell>
          <cell r="AZ157">
            <v>13323000</v>
          </cell>
          <cell r="BA157">
            <v>45585000</v>
          </cell>
          <cell r="BB157">
            <v>0.29226719315564331</v>
          </cell>
          <cell r="BC157">
            <v>3794000</v>
          </cell>
          <cell r="BD157">
            <v>45585000</v>
          </cell>
          <cell r="BE157">
            <v>8.3229132390040581E-2</v>
          </cell>
          <cell r="BF157">
            <v>32366000</v>
          </cell>
          <cell r="BG157">
            <v>36733</v>
          </cell>
          <cell r="BH157">
            <v>881.1150736395067</v>
          </cell>
          <cell r="BI157">
            <v>8734000</v>
          </cell>
          <cell r="BJ157">
            <v>5730000</v>
          </cell>
          <cell r="BK157">
            <v>1.5242582897033159</v>
          </cell>
          <cell r="BL157">
            <v>2194000</v>
          </cell>
          <cell r="BM157">
            <v>40141000</v>
          </cell>
          <cell r="BN157">
            <v>5.4657332901522138E-2</v>
          </cell>
          <cell r="BO157">
            <v>5755000</v>
          </cell>
          <cell r="BP157">
            <v>9204000</v>
          </cell>
          <cell r="BQ157">
            <v>0.62527162103433287</v>
          </cell>
          <cell r="BR157">
            <v>298</v>
          </cell>
          <cell r="BS157" t="str">
            <v>On Time</v>
          </cell>
          <cell r="BT157" t="str">
            <v>On Time</v>
          </cell>
          <cell r="BU157" t="str">
            <v>On Time</v>
          </cell>
          <cell r="BV157">
            <v>1413000</v>
          </cell>
          <cell r="BW157">
            <v>36733</v>
          </cell>
          <cell r="BX157">
            <v>38.466773745678275</v>
          </cell>
          <cell r="BY157">
            <v>237977</v>
          </cell>
          <cell r="BZ157">
            <v>36733</v>
          </cell>
          <cell r="CA157">
            <v>6.4785615114474719</v>
          </cell>
          <cell r="CB157">
            <v>2074000</v>
          </cell>
          <cell r="CC157">
            <v>13997</v>
          </cell>
          <cell r="CD157">
            <v>148.17460884475244</v>
          </cell>
          <cell r="CE157">
            <v>981713</v>
          </cell>
          <cell r="CF157">
            <v>13997</v>
          </cell>
          <cell r="CG157">
            <v>70.137386582839184</v>
          </cell>
          <cell r="CH157">
            <v>2194850</v>
          </cell>
          <cell r="CI157">
            <v>36733</v>
          </cell>
          <cell r="CJ157">
            <v>59.751449650178316</v>
          </cell>
          <cell r="CK157">
            <v>10146970</v>
          </cell>
          <cell r="CL157">
            <v>36733</v>
          </cell>
          <cell r="CM157">
            <v>276.23580976233904</v>
          </cell>
          <cell r="CN157">
            <v>406</v>
          </cell>
          <cell r="CO157">
            <v>493.70243146763698</v>
          </cell>
          <cell r="CP157">
            <v>368</v>
          </cell>
          <cell r="CQ157">
            <v>415</v>
          </cell>
          <cell r="CR157">
            <v>760</v>
          </cell>
          <cell r="CS157">
            <v>15960</v>
          </cell>
          <cell r="CT157">
            <v>760</v>
          </cell>
          <cell r="CU157">
            <v>21</v>
          </cell>
          <cell r="CV157">
            <v>15</v>
          </cell>
          <cell r="CW157">
            <v>80000</v>
          </cell>
          <cell r="CX157">
            <v>917000</v>
          </cell>
          <cell r="CY157">
            <v>8.7241003271537623E-2</v>
          </cell>
          <cell r="CZ157">
            <v>711000</v>
          </cell>
          <cell r="DA157">
            <v>36733</v>
          </cell>
          <cell r="DB157">
            <v>19.355892521710722</v>
          </cell>
          <cell r="DC157">
            <v>2456000</v>
          </cell>
          <cell r="DD157">
            <v>36733</v>
          </cell>
          <cell r="DE157">
            <v>66.860860806359398</v>
          </cell>
          <cell r="DF157">
            <v>718000</v>
          </cell>
          <cell r="DG157">
            <v>36733</v>
          </cell>
          <cell r="DH157">
            <v>19.546456864399858</v>
          </cell>
          <cell r="DI157">
            <v>185.6</v>
          </cell>
          <cell r="DJ157">
            <v>197.91487068965517</v>
          </cell>
          <cell r="DK157">
            <v>-8.5117918134995933E-4</v>
          </cell>
          <cell r="DL157">
            <v>4.66</v>
          </cell>
          <cell r="DM157">
            <v>2.2000000000000002</v>
          </cell>
        </row>
        <row r="158">
          <cell r="B158" t="str">
            <v>Temora Shire Council</v>
          </cell>
          <cell r="C158">
            <v>10</v>
          </cell>
          <cell r="D158">
            <v>670000</v>
          </cell>
          <cell r="E158">
            <v>2244</v>
          </cell>
          <cell r="F158">
            <v>298.57397504456327</v>
          </cell>
          <cell r="G158">
            <v>1131000</v>
          </cell>
          <cell r="H158">
            <v>929</v>
          </cell>
          <cell r="I158">
            <v>1217.438105489774</v>
          </cell>
          <cell r="J158">
            <v>270000</v>
          </cell>
          <cell r="K158">
            <v>323</v>
          </cell>
          <cell r="L158">
            <v>835.91331269349848</v>
          </cell>
          <cell r="M158">
            <v>268000</v>
          </cell>
          <cell r="N158">
            <v>4474000</v>
          </cell>
          <cell r="O158">
            <v>5.9901654000894054E-2</v>
          </cell>
          <cell r="P158">
            <v>128000</v>
          </cell>
          <cell r="Q158">
            <v>2394000</v>
          </cell>
          <cell r="R158">
            <v>5.3467000835421885E-2</v>
          </cell>
          <cell r="S158">
            <v>280000</v>
          </cell>
          <cell r="T158">
            <v>1672000</v>
          </cell>
          <cell r="U158">
            <v>0.1674641148325359</v>
          </cell>
          <cell r="V158">
            <v>2522000</v>
          </cell>
          <cell r="W158">
            <v>8822000</v>
          </cell>
          <cell r="X158">
            <v>0.2858762185445477</v>
          </cell>
          <cell r="Y158">
            <v>1952000</v>
          </cell>
          <cell r="Z158">
            <v>8822000</v>
          </cell>
          <cell r="AA158">
            <v>0.2212650192700068</v>
          </cell>
          <cell r="AB158">
            <v>164000</v>
          </cell>
          <cell r="AC158">
            <v>8822000</v>
          </cell>
          <cell r="AD158">
            <v>1.858988891407844E-2</v>
          </cell>
          <cell r="AE158">
            <v>3152000</v>
          </cell>
          <cell r="AF158">
            <v>8822000</v>
          </cell>
          <cell r="AG158">
            <v>0.35728859669009294</v>
          </cell>
          <cell r="AH158">
            <v>678000</v>
          </cell>
          <cell r="AI158">
            <v>8822000</v>
          </cell>
          <cell r="AJ158">
            <v>7.6853321242348671E-2</v>
          </cell>
          <cell r="AK158">
            <v>354000</v>
          </cell>
          <cell r="AL158">
            <v>8822000</v>
          </cell>
          <cell r="AM158">
            <v>4.0126955338925414E-2</v>
          </cell>
          <cell r="AN158">
            <v>7986000</v>
          </cell>
          <cell r="AO158">
            <v>6310</v>
          </cell>
          <cell r="AP158">
            <v>1265.6101426307448</v>
          </cell>
          <cell r="AQ158">
            <v>2685000</v>
          </cell>
          <cell r="AR158">
            <v>7976000</v>
          </cell>
          <cell r="AS158">
            <v>0.33663490471414242</v>
          </cell>
          <cell r="AT158">
            <v>3044000</v>
          </cell>
          <cell r="AU158">
            <v>7976000</v>
          </cell>
          <cell r="AV158">
            <v>0.38164493480441325</v>
          </cell>
          <cell r="AW158">
            <v>9000</v>
          </cell>
          <cell r="AX158">
            <v>7976000</v>
          </cell>
          <cell r="AY158">
            <v>1.1283851554663993E-3</v>
          </cell>
          <cell r="AZ158">
            <v>1391000</v>
          </cell>
          <cell r="BA158">
            <v>7976000</v>
          </cell>
          <cell r="BB158">
            <v>0.17439819458375125</v>
          </cell>
          <cell r="BC158">
            <v>847000</v>
          </cell>
          <cell r="BD158">
            <v>7976000</v>
          </cell>
          <cell r="BE158">
            <v>0.10619358074222668</v>
          </cell>
          <cell r="BF158">
            <v>7625000</v>
          </cell>
          <cell r="BG158">
            <v>6310</v>
          </cell>
          <cell r="BH158">
            <v>1208.3993660855785</v>
          </cell>
          <cell r="BI158">
            <v>2675000</v>
          </cell>
          <cell r="BJ158">
            <v>1163000</v>
          </cell>
          <cell r="BK158">
            <v>2.3000859845227861</v>
          </cell>
          <cell r="BL158">
            <v>47000</v>
          </cell>
          <cell r="BM158">
            <v>6958000</v>
          </cell>
          <cell r="BN158">
            <v>6.7548146018970969E-3</v>
          </cell>
          <cell r="BO158">
            <v>2229000</v>
          </cell>
          <cell r="BP158">
            <v>1305000</v>
          </cell>
          <cell r="BQ158">
            <v>1.7080459770114942</v>
          </cell>
          <cell r="BR158">
            <v>67</v>
          </cell>
          <cell r="BS158" t="str">
            <v>On Time</v>
          </cell>
          <cell r="BT158" t="str">
            <v>On Time</v>
          </cell>
          <cell r="BU158" t="str">
            <v>On Time</v>
          </cell>
          <cell r="BV158">
            <v>169000</v>
          </cell>
          <cell r="BW158">
            <v>6310</v>
          </cell>
          <cell r="BX158">
            <v>26.782884310618066</v>
          </cell>
          <cell r="BY158">
            <v>34273</v>
          </cell>
          <cell r="BZ158">
            <v>6310</v>
          </cell>
          <cell r="CA158">
            <v>5.4315372424722659</v>
          </cell>
          <cell r="CB158">
            <v>197000</v>
          </cell>
          <cell r="CC158">
            <v>1941</v>
          </cell>
          <cell r="CD158">
            <v>101.4940752189593</v>
          </cell>
          <cell r="CE158">
            <v>118548</v>
          </cell>
          <cell r="CF158">
            <v>1941</v>
          </cell>
          <cell r="CG158">
            <v>61.075734157650693</v>
          </cell>
          <cell r="CH158">
            <v>410000</v>
          </cell>
          <cell r="CI158">
            <v>6310</v>
          </cell>
          <cell r="CJ158">
            <v>64.97622820919176</v>
          </cell>
          <cell r="CK158">
            <v>1200000</v>
          </cell>
          <cell r="CL158">
            <v>6310</v>
          </cell>
          <cell r="CM158">
            <v>190.17432646592709</v>
          </cell>
          <cell r="CN158" t="str">
            <v>N/A</v>
          </cell>
          <cell r="CO158" t="str">
            <v>N/A</v>
          </cell>
          <cell r="CP158">
            <v>136.79104477611901</v>
          </cell>
          <cell r="CQ158">
            <v>196</v>
          </cell>
          <cell r="CR158">
            <v>134</v>
          </cell>
          <cell r="CS158">
            <v>423</v>
          </cell>
          <cell r="CT158">
            <v>134</v>
          </cell>
          <cell r="CU158">
            <v>3.1567164179104479</v>
          </cell>
          <cell r="CV158">
            <v>2</v>
          </cell>
          <cell r="CW158">
            <v>0</v>
          </cell>
          <cell r="CX158">
            <v>77000</v>
          </cell>
          <cell r="CY158">
            <v>0</v>
          </cell>
          <cell r="CZ158">
            <v>278000</v>
          </cell>
          <cell r="DA158">
            <v>6310</v>
          </cell>
          <cell r="DB158">
            <v>44.057052297939777</v>
          </cell>
          <cell r="DC158">
            <v>646000</v>
          </cell>
          <cell r="DD158">
            <v>6310</v>
          </cell>
          <cell r="DE158">
            <v>102.37717908082409</v>
          </cell>
          <cell r="DF158">
            <v>489000</v>
          </cell>
          <cell r="DG158">
            <v>6310</v>
          </cell>
          <cell r="DH158">
            <v>77.496038034865293</v>
          </cell>
          <cell r="DI158">
            <v>2802.2</v>
          </cell>
          <cell r="DJ158">
            <v>2.25180215544929</v>
          </cell>
          <cell r="DK158">
            <v>-5.8461538461538464E-3</v>
          </cell>
          <cell r="DL158">
            <v>0.69</v>
          </cell>
          <cell r="DM158">
            <v>1.42</v>
          </cell>
        </row>
        <row r="159">
          <cell r="B159" t="str">
            <v>Tenterfield Shire Council</v>
          </cell>
          <cell r="C159">
            <v>10</v>
          </cell>
          <cell r="D159">
            <v>634000</v>
          </cell>
          <cell r="E159">
            <v>2792</v>
          </cell>
          <cell r="F159">
            <v>227.07736389684814</v>
          </cell>
          <cell r="G159">
            <v>964000</v>
          </cell>
          <cell r="H159">
            <v>1288</v>
          </cell>
          <cell r="I159">
            <v>748.44720496894411</v>
          </cell>
          <cell r="J159">
            <v>125000</v>
          </cell>
          <cell r="K159">
            <v>224</v>
          </cell>
          <cell r="L159">
            <v>558.03571428571433</v>
          </cell>
          <cell r="M159">
            <v>352000</v>
          </cell>
          <cell r="N159">
            <v>5178000</v>
          </cell>
          <cell r="O159">
            <v>6.7979915025106225E-2</v>
          </cell>
          <cell r="P159">
            <v>102000</v>
          </cell>
          <cell r="Q159">
            <v>2725000</v>
          </cell>
          <cell r="R159">
            <v>3.7431192660550457E-2</v>
          </cell>
          <cell r="S159">
            <v>955000</v>
          </cell>
          <cell r="T159">
            <v>1396000</v>
          </cell>
          <cell r="U159">
            <v>0.68409742120343842</v>
          </cell>
          <cell r="V159">
            <v>2827000</v>
          </cell>
          <cell r="W159">
            <v>12528000</v>
          </cell>
          <cell r="X159">
            <v>0.22565453384418901</v>
          </cell>
          <cell r="Y159">
            <v>2351000</v>
          </cell>
          <cell r="Z159">
            <v>12528000</v>
          </cell>
          <cell r="AA159">
            <v>0.1876596424010217</v>
          </cell>
          <cell r="AB159">
            <v>401000</v>
          </cell>
          <cell r="AC159">
            <v>12528000</v>
          </cell>
          <cell r="AD159">
            <v>3.2008301404853126E-2</v>
          </cell>
          <cell r="AE159">
            <v>3687000</v>
          </cell>
          <cell r="AF159">
            <v>12528000</v>
          </cell>
          <cell r="AG159">
            <v>0.29430076628352492</v>
          </cell>
          <cell r="AH159">
            <v>3199000</v>
          </cell>
          <cell r="AI159">
            <v>12528000</v>
          </cell>
          <cell r="AJ159">
            <v>0.25534802043422733</v>
          </cell>
          <cell r="AK159">
            <v>63000</v>
          </cell>
          <cell r="AL159">
            <v>12528000</v>
          </cell>
          <cell r="AM159">
            <v>5.028735632183908E-3</v>
          </cell>
          <cell r="AN159">
            <v>10106000</v>
          </cell>
          <cell r="AO159">
            <v>6816</v>
          </cell>
          <cell r="AP159">
            <v>1482.68779342723</v>
          </cell>
          <cell r="AQ159">
            <v>4265000</v>
          </cell>
          <cell r="AR159">
            <v>13985000</v>
          </cell>
          <cell r="AS159">
            <v>0.30496961029674652</v>
          </cell>
          <cell r="AT159">
            <v>4025000</v>
          </cell>
          <cell r="AU159">
            <v>13985000</v>
          </cell>
          <cell r="AV159">
            <v>0.2878083661065427</v>
          </cell>
          <cell r="AW159">
            <v>46000</v>
          </cell>
          <cell r="AX159">
            <v>13985000</v>
          </cell>
          <cell r="AY159">
            <v>3.2892384697890595E-3</v>
          </cell>
          <cell r="AZ159">
            <v>4968000</v>
          </cell>
          <cell r="BA159">
            <v>13985000</v>
          </cell>
          <cell r="BB159">
            <v>0.35523775473721847</v>
          </cell>
          <cell r="BC159">
            <v>681000</v>
          </cell>
          <cell r="BD159">
            <v>13985000</v>
          </cell>
          <cell r="BE159">
            <v>4.8695030389703256E-2</v>
          </cell>
          <cell r="BF159">
            <v>12465000</v>
          </cell>
          <cell r="BG159">
            <v>6816</v>
          </cell>
          <cell r="BH159">
            <v>1828.7852112676057</v>
          </cell>
          <cell r="BI159">
            <v>6107000</v>
          </cell>
          <cell r="BJ159">
            <v>1315000</v>
          </cell>
          <cell r="BK159">
            <v>4.6441064638783267</v>
          </cell>
          <cell r="BL159">
            <v>183000</v>
          </cell>
          <cell r="BM159">
            <v>8024000</v>
          </cell>
          <cell r="BN159">
            <v>2.2806580259222334E-2</v>
          </cell>
          <cell r="BO159">
            <v>1930000</v>
          </cell>
          <cell r="BP159">
            <v>4457000</v>
          </cell>
          <cell r="BQ159">
            <v>0.43302669957370427</v>
          </cell>
          <cell r="BR159">
            <v>102</v>
          </cell>
          <cell r="BS159" t="str">
            <v>On Time</v>
          </cell>
          <cell r="BT159" t="str">
            <v>On Time</v>
          </cell>
          <cell r="BU159" t="str">
            <v>On Time</v>
          </cell>
          <cell r="BV159">
            <v>269000</v>
          </cell>
          <cell r="BW159">
            <v>6816</v>
          </cell>
          <cell r="BX159">
            <v>39.465962441314552</v>
          </cell>
          <cell r="BY159">
            <v>45982</v>
          </cell>
          <cell r="BZ159">
            <v>6816</v>
          </cell>
          <cell r="CA159">
            <v>6.74618544600939</v>
          </cell>
          <cell r="CB159">
            <v>233000</v>
          </cell>
          <cell r="CC159">
            <v>1654</v>
          </cell>
          <cell r="CD159">
            <v>140.87061668681983</v>
          </cell>
          <cell r="CE159">
            <v>144700</v>
          </cell>
          <cell r="CF159">
            <v>1654</v>
          </cell>
          <cell r="CG159">
            <v>87.48488512696494</v>
          </cell>
          <cell r="CH159">
            <v>500000</v>
          </cell>
          <cell r="CI159">
            <v>6816</v>
          </cell>
          <cell r="CJ159">
            <v>73.356807511737088</v>
          </cell>
          <cell r="CK159">
            <v>1600000</v>
          </cell>
          <cell r="CL159">
            <v>6816</v>
          </cell>
          <cell r="CM159">
            <v>234.74178403755869</v>
          </cell>
          <cell r="CN159">
            <v>415.46562004032103</v>
          </cell>
          <cell r="CO159">
            <v>484.79532163742698</v>
          </cell>
          <cell r="CP159">
            <v>328.26510721247598</v>
          </cell>
          <cell r="CQ159">
            <v>462.45614035087698</v>
          </cell>
          <cell r="CR159">
            <v>59</v>
          </cell>
          <cell r="CS159">
            <v>3803</v>
          </cell>
          <cell r="CT159">
            <v>59</v>
          </cell>
          <cell r="CU159">
            <v>64.457627118644069</v>
          </cell>
          <cell r="CV159">
            <v>55</v>
          </cell>
          <cell r="CW159">
            <v>7000</v>
          </cell>
          <cell r="CX159">
            <v>135000</v>
          </cell>
          <cell r="CY159">
            <v>5.185185185185185E-2</v>
          </cell>
          <cell r="CZ159">
            <v>156000</v>
          </cell>
          <cell r="DA159">
            <v>6816</v>
          </cell>
          <cell r="DB159">
            <v>22.887323943661972</v>
          </cell>
          <cell r="DC159">
            <v>282000</v>
          </cell>
          <cell r="DD159">
            <v>6816</v>
          </cell>
          <cell r="DE159">
            <v>41.37323943661972</v>
          </cell>
          <cell r="DF159">
            <v>0</v>
          </cell>
          <cell r="DG159">
            <v>6816</v>
          </cell>
          <cell r="DH159">
            <v>0</v>
          </cell>
          <cell r="DI159">
            <v>7176.9</v>
          </cell>
          <cell r="DJ159">
            <v>0.94971366467416296</v>
          </cell>
          <cell r="DK159">
            <v>-5.5349500713266758E-3</v>
          </cell>
          <cell r="DL159">
            <v>4.7</v>
          </cell>
          <cell r="DM159">
            <v>2.85</v>
          </cell>
        </row>
        <row r="160">
          <cell r="B160" t="str">
            <v>Tumbarumba Shire Council</v>
          </cell>
          <cell r="C160">
            <v>9</v>
          </cell>
          <cell r="D160">
            <v>246000</v>
          </cell>
          <cell r="E160">
            <v>1080</v>
          </cell>
          <cell r="F160">
            <v>227.77777777777777</v>
          </cell>
          <cell r="G160">
            <v>1053000</v>
          </cell>
          <cell r="H160">
            <v>872</v>
          </cell>
          <cell r="I160">
            <v>1207.5688073394494</v>
          </cell>
          <cell r="J160">
            <v>41000</v>
          </cell>
          <cell r="K160">
            <v>167</v>
          </cell>
          <cell r="L160">
            <v>245.50898203592814</v>
          </cell>
          <cell r="M160">
            <v>491000</v>
          </cell>
          <cell r="N160">
            <v>3998000</v>
          </cell>
          <cell r="O160">
            <v>0.12281140570285143</v>
          </cell>
          <cell r="P160">
            <v>61000</v>
          </cell>
          <cell r="Q160">
            <v>2067000</v>
          </cell>
          <cell r="R160">
            <v>2.9511369134010642E-2</v>
          </cell>
          <cell r="S160">
            <v>-1039000</v>
          </cell>
          <cell r="T160">
            <v>2909000</v>
          </cell>
          <cell r="U160">
            <v>-0.3571674114816088</v>
          </cell>
          <cell r="V160">
            <v>2128000</v>
          </cell>
          <cell r="W160">
            <v>6560000</v>
          </cell>
          <cell r="X160">
            <v>0.32439024390243903</v>
          </cell>
          <cell r="Y160">
            <v>1870000</v>
          </cell>
          <cell r="Z160">
            <v>6560000</v>
          </cell>
          <cell r="AA160">
            <v>0.28506097560975607</v>
          </cell>
          <cell r="AB160">
            <v>183000</v>
          </cell>
          <cell r="AC160">
            <v>6560000</v>
          </cell>
          <cell r="AD160">
            <v>2.7896341463414635E-2</v>
          </cell>
          <cell r="AE160">
            <v>1782000</v>
          </cell>
          <cell r="AF160">
            <v>6560000</v>
          </cell>
          <cell r="AG160">
            <v>0.27164634146341465</v>
          </cell>
          <cell r="AH160">
            <v>558000</v>
          </cell>
          <cell r="AI160">
            <v>6560000</v>
          </cell>
          <cell r="AJ160">
            <v>8.5060975609756104E-2</v>
          </cell>
          <cell r="AK160">
            <v>39000</v>
          </cell>
          <cell r="AL160">
            <v>6560000</v>
          </cell>
          <cell r="AM160">
            <v>5.9451219512195123E-3</v>
          </cell>
          <cell r="AN160">
            <v>5374000</v>
          </cell>
          <cell r="AO160">
            <v>3772</v>
          </cell>
          <cell r="AP160">
            <v>1424.7083775185579</v>
          </cell>
          <cell r="AQ160">
            <v>2706000</v>
          </cell>
          <cell r="AR160">
            <v>8325000</v>
          </cell>
          <cell r="AS160">
            <v>0.32504504504504506</v>
          </cell>
          <cell r="AT160">
            <v>1605000</v>
          </cell>
          <cell r="AU160">
            <v>8325000</v>
          </cell>
          <cell r="AV160">
            <v>0.19279279279279279</v>
          </cell>
          <cell r="AW160">
            <v>2000</v>
          </cell>
          <cell r="AX160">
            <v>8325000</v>
          </cell>
          <cell r="AY160">
            <v>2.4024024024024023E-4</v>
          </cell>
          <cell r="AZ160">
            <v>3254000</v>
          </cell>
          <cell r="BA160">
            <v>8325000</v>
          </cell>
          <cell r="BB160">
            <v>0.39087087087087086</v>
          </cell>
          <cell r="BC160">
            <v>758000</v>
          </cell>
          <cell r="BD160">
            <v>8325000</v>
          </cell>
          <cell r="BE160">
            <v>9.1051051051051046E-2</v>
          </cell>
          <cell r="BF160">
            <v>7570000</v>
          </cell>
          <cell r="BG160">
            <v>3772</v>
          </cell>
          <cell r="BH160">
            <v>2006.8928950159068</v>
          </cell>
          <cell r="BI160">
            <v>2705000</v>
          </cell>
          <cell r="BJ160">
            <v>592000</v>
          </cell>
          <cell r="BK160">
            <v>4.569256756756757</v>
          </cell>
          <cell r="BL160">
            <v>4000</v>
          </cell>
          <cell r="BM160">
            <v>5443000</v>
          </cell>
          <cell r="BN160">
            <v>7.3488884806173071E-4</v>
          </cell>
          <cell r="BO160">
            <v>1071000</v>
          </cell>
          <cell r="BP160">
            <v>2919000</v>
          </cell>
          <cell r="BQ160">
            <v>0.36690647482014388</v>
          </cell>
          <cell r="BR160">
            <v>63</v>
          </cell>
          <cell r="BS160" t="str">
            <v>&lt;=2</v>
          </cell>
          <cell r="BT160" t="str">
            <v>Not Received</v>
          </cell>
          <cell r="BU160" t="str">
            <v>On Time</v>
          </cell>
          <cell r="BV160">
            <v>89000</v>
          </cell>
          <cell r="BW160">
            <v>3772</v>
          </cell>
          <cell r="BX160">
            <v>23.594909862142099</v>
          </cell>
          <cell r="BY160">
            <v>20377</v>
          </cell>
          <cell r="BZ160">
            <v>3772</v>
          </cell>
          <cell r="CA160">
            <v>5.4021739130434785</v>
          </cell>
          <cell r="CB160">
            <v>121000</v>
          </cell>
          <cell r="CC160">
            <v>835</v>
          </cell>
          <cell r="CD160">
            <v>144.91017964071855</v>
          </cell>
          <cell r="CE160">
            <v>150000</v>
          </cell>
          <cell r="CF160">
            <v>1670</v>
          </cell>
          <cell r="CG160">
            <v>89.820359281437121</v>
          </cell>
          <cell r="CI160">
            <v>3772</v>
          </cell>
          <cell r="CJ160" t="str">
            <v>N/A</v>
          </cell>
          <cell r="CK160">
            <v>1428800</v>
          </cell>
          <cell r="CL160">
            <v>3772</v>
          </cell>
          <cell r="CM160">
            <v>378.79109225874868</v>
          </cell>
          <cell r="CN160">
            <v>427.249771431059</v>
          </cell>
          <cell r="CO160">
            <v>336.22892181911101</v>
          </cell>
          <cell r="CP160">
            <v>291.68475054251599</v>
          </cell>
          <cell r="CQ160">
            <v>426.59279778393397</v>
          </cell>
          <cell r="CR160">
            <v>70</v>
          </cell>
          <cell r="CS160">
            <v>756</v>
          </cell>
          <cell r="CT160">
            <v>70</v>
          </cell>
          <cell r="CU160">
            <v>10.8</v>
          </cell>
          <cell r="CV160">
            <v>7</v>
          </cell>
          <cell r="CW160">
            <v>0</v>
          </cell>
          <cell r="CX160">
            <v>106000</v>
          </cell>
          <cell r="CY160">
            <v>0</v>
          </cell>
          <cell r="CZ160">
            <v>207000</v>
          </cell>
          <cell r="DA160">
            <v>3772</v>
          </cell>
          <cell r="DB160">
            <v>54.878048780487802</v>
          </cell>
          <cell r="DC160">
            <v>462000</v>
          </cell>
          <cell r="DD160">
            <v>3772</v>
          </cell>
          <cell r="DE160">
            <v>122.48144220572641</v>
          </cell>
          <cell r="DF160">
            <v>391000</v>
          </cell>
          <cell r="DG160">
            <v>3772</v>
          </cell>
          <cell r="DH160">
            <v>103.65853658536585</v>
          </cell>
          <cell r="DI160">
            <v>4373.3999999999996</v>
          </cell>
          <cell r="DJ160">
            <v>0.86248685233456812</v>
          </cell>
          <cell r="DK160">
            <v>5.0000000000000001E-3</v>
          </cell>
          <cell r="DL160">
            <v>1.21</v>
          </cell>
          <cell r="DM160">
            <v>2.94</v>
          </cell>
        </row>
        <row r="161">
          <cell r="B161" t="str">
            <v>Tumut Shire Council</v>
          </cell>
          <cell r="C161">
            <v>11</v>
          </cell>
          <cell r="D161">
            <v>1521000</v>
          </cell>
          <cell r="E161">
            <v>4080</v>
          </cell>
          <cell r="F161">
            <v>372.79411764705884</v>
          </cell>
          <cell r="G161">
            <v>1418000</v>
          </cell>
          <cell r="H161">
            <v>1094</v>
          </cell>
          <cell r="I161">
            <v>1296.1608775137111</v>
          </cell>
          <cell r="J161">
            <v>468000</v>
          </cell>
          <cell r="K161">
            <v>404</v>
          </cell>
          <cell r="L161">
            <v>1158.4158415841584</v>
          </cell>
          <cell r="M161">
            <v>1756000</v>
          </cell>
          <cell r="N161">
            <v>12025000</v>
          </cell>
          <cell r="O161">
            <v>0.14602910602910604</v>
          </cell>
          <cell r="P161">
            <v>471000</v>
          </cell>
          <cell r="Q161">
            <v>6327000</v>
          </cell>
          <cell r="R161">
            <v>7.4442863916548127E-2</v>
          </cell>
          <cell r="S161">
            <v>-3304000</v>
          </cell>
          <cell r="T161">
            <v>8531000</v>
          </cell>
          <cell r="U161">
            <v>-0.38729340053920996</v>
          </cell>
          <cell r="V161">
            <v>6798000</v>
          </cell>
          <cell r="W161">
            <v>19260000</v>
          </cell>
          <cell r="X161">
            <v>0.35295950155763239</v>
          </cell>
          <cell r="Y161">
            <v>5227000</v>
          </cell>
          <cell r="Z161">
            <v>19260000</v>
          </cell>
          <cell r="AA161">
            <v>0.27139148494288678</v>
          </cell>
          <cell r="AB161">
            <v>548000</v>
          </cell>
          <cell r="AC161">
            <v>19260000</v>
          </cell>
          <cell r="AD161">
            <v>2.84527518172378E-2</v>
          </cell>
          <cell r="AE161">
            <v>5761000</v>
          </cell>
          <cell r="AF161">
            <v>19260000</v>
          </cell>
          <cell r="AG161">
            <v>0.29911734164070614</v>
          </cell>
          <cell r="AH161">
            <v>324000</v>
          </cell>
          <cell r="AI161">
            <v>19260000</v>
          </cell>
          <cell r="AJ161">
            <v>1.6822429906542057E-2</v>
          </cell>
          <cell r="AK161">
            <v>602000</v>
          </cell>
          <cell r="AL161">
            <v>19260000</v>
          </cell>
          <cell r="AM161">
            <v>3.1256490134994805E-2</v>
          </cell>
          <cell r="AN161">
            <v>14387000</v>
          </cell>
          <cell r="AO161">
            <v>11588</v>
          </cell>
          <cell r="AP161">
            <v>1241.5429754918882</v>
          </cell>
          <cell r="AQ161">
            <v>4982000</v>
          </cell>
          <cell r="AR161">
            <v>19643000</v>
          </cell>
          <cell r="AS161">
            <v>0.25362724634729927</v>
          </cell>
          <cell r="AT161">
            <v>6083000</v>
          </cell>
          <cell r="AU161">
            <v>19643000</v>
          </cell>
          <cell r="AV161">
            <v>0.30967774779819784</v>
          </cell>
          <cell r="AW161">
            <v>73000</v>
          </cell>
          <cell r="AX161">
            <v>19643000</v>
          </cell>
          <cell r="AY161">
            <v>3.7163366084610292E-3</v>
          </cell>
          <cell r="AZ161">
            <v>6974000</v>
          </cell>
          <cell r="BA161">
            <v>19643000</v>
          </cell>
          <cell r="BB161">
            <v>0.3550374179096879</v>
          </cell>
          <cell r="BC161">
            <v>1531000</v>
          </cell>
          <cell r="BD161">
            <v>19643000</v>
          </cell>
          <cell r="BE161">
            <v>7.794125133635392E-2</v>
          </cell>
          <cell r="BF161">
            <v>16621000</v>
          </cell>
          <cell r="BG161">
            <v>11588</v>
          </cell>
          <cell r="BH161">
            <v>1434.3286158094581</v>
          </cell>
          <cell r="BI161">
            <v>6938000</v>
          </cell>
          <cell r="BJ161">
            <v>1610000</v>
          </cell>
          <cell r="BK161">
            <v>4.3093167701863351</v>
          </cell>
          <cell r="BL161">
            <v>120000</v>
          </cell>
          <cell r="BM161">
            <v>15196000</v>
          </cell>
          <cell r="BN161">
            <v>7.8968149513029742E-3</v>
          </cell>
          <cell r="BO161">
            <v>3074000</v>
          </cell>
          <cell r="BP161">
            <v>5631000</v>
          </cell>
          <cell r="BQ161">
            <v>0.54590658852779261</v>
          </cell>
          <cell r="BR161">
            <v>110</v>
          </cell>
          <cell r="BS161" t="str">
            <v>&lt;=2</v>
          </cell>
          <cell r="BT161" t="str">
            <v>&lt;=2</v>
          </cell>
          <cell r="BU161" t="str">
            <v>&lt;=2</v>
          </cell>
          <cell r="BV161">
            <v>375000</v>
          </cell>
          <cell r="BW161">
            <v>11588</v>
          </cell>
          <cell r="BX161">
            <v>32.361063168795305</v>
          </cell>
          <cell r="BY161">
            <v>60611</v>
          </cell>
          <cell r="BZ161">
            <v>11588</v>
          </cell>
          <cell r="CA161">
            <v>5.2304970659302725</v>
          </cell>
          <cell r="CB161">
            <v>642000</v>
          </cell>
          <cell r="CC161">
            <v>3962</v>
          </cell>
          <cell r="CD161">
            <v>162.03937405350834</v>
          </cell>
          <cell r="CE161">
            <v>272000</v>
          </cell>
          <cell r="CF161">
            <v>3962</v>
          </cell>
          <cell r="CG161">
            <v>68.652195860676429</v>
          </cell>
          <cell r="CH161">
            <v>2950000</v>
          </cell>
          <cell r="CI161">
            <v>11588</v>
          </cell>
          <cell r="CJ161">
            <v>254.57369692785639</v>
          </cell>
          <cell r="CK161">
            <v>3850000</v>
          </cell>
          <cell r="CL161">
            <v>11588</v>
          </cell>
          <cell r="CM161">
            <v>332.24024853296515</v>
          </cell>
          <cell r="CN161">
            <v>387.80696137893398</v>
          </cell>
          <cell r="CO161">
            <v>380.94021461420499</v>
          </cell>
          <cell r="CP161">
            <v>373.73795441984799</v>
          </cell>
          <cell r="CQ161">
            <v>385.55691554467597</v>
          </cell>
          <cell r="CR161">
            <v>336</v>
          </cell>
          <cell r="CS161">
            <v>11186</v>
          </cell>
          <cell r="CT161">
            <v>336</v>
          </cell>
          <cell r="CU161">
            <v>33.291666666666664</v>
          </cell>
          <cell r="CV161">
            <v>19</v>
          </cell>
          <cell r="CW161">
            <v>18000</v>
          </cell>
          <cell r="CX161">
            <v>429000</v>
          </cell>
          <cell r="CY161">
            <v>4.195804195804196E-2</v>
          </cell>
          <cell r="CZ161">
            <v>503000</v>
          </cell>
          <cell r="DA161">
            <v>11588</v>
          </cell>
          <cell r="DB161">
            <v>43.406972730410772</v>
          </cell>
          <cell r="DC161">
            <v>864000</v>
          </cell>
          <cell r="DD161">
            <v>11588</v>
          </cell>
          <cell r="DE161">
            <v>74.559889540904379</v>
          </cell>
          <cell r="DF161">
            <v>168000</v>
          </cell>
          <cell r="DG161">
            <v>11588</v>
          </cell>
          <cell r="DH161">
            <v>14.497756299620297</v>
          </cell>
          <cell r="DI161">
            <v>3767.1</v>
          </cell>
          <cell r="DJ161">
            <v>3.0761062886570572</v>
          </cell>
          <cell r="DK161">
            <v>3.1114952463267068E-4</v>
          </cell>
          <cell r="DL161">
            <v>2.4500000000000002</v>
          </cell>
          <cell r="DM161">
            <v>3.52</v>
          </cell>
        </row>
        <row r="162">
          <cell r="B162" t="str">
            <v>Tweed Shire Council</v>
          </cell>
          <cell r="C162">
            <v>5</v>
          </cell>
          <cell r="D162">
            <v>15715000</v>
          </cell>
          <cell r="E162">
            <v>28722</v>
          </cell>
          <cell r="F162">
            <v>547.14156395794168</v>
          </cell>
          <cell r="G162">
            <v>1521000</v>
          </cell>
          <cell r="H162">
            <v>1520</v>
          </cell>
          <cell r="I162">
            <v>1000.6578947368421</v>
          </cell>
          <cell r="J162">
            <v>2402000</v>
          </cell>
          <cell r="K162">
            <v>1309</v>
          </cell>
          <cell r="L162">
            <v>1834.9885408708938</v>
          </cell>
          <cell r="M162">
            <v>6053000</v>
          </cell>
          <cell r="N162">
            <v>52471000</v>
          </cell>
          <cell r="O162">
            <v>0.11535896018753217</v>
          </cell>
          <cell r="P162">
            <v>2085000</v>
          </cell>
          <cell r="Q162">
            <v>37962000</v>
          </cell>
          <cell r="R162">
            <v>5.492334439702861E-2</v>
          </cell>
          <cell r="S162">
            <v>1942000</v>
          </cell>
          <cell r="T162">
            <v>10482000</v>
          </cell>
          <cell r="U162">
            <v>0.18526998664377028</v>
          </cell>
          <cell r="V162">
            <v>40047000</v>
          </cell>
          <cell r="W162">
            <v>102445000</v>
          </cell>
          <cell r="X162">
            <v>0.39091219678852068</v>
          </cell>
          <cell r="Y162">
            <v>12424000</v>
          </cell>
          <cell r="Z162">
            <v>102445000</v>
          </cell>
          <cell r="AA162">
            <v>0.12127483039679829</v>
          </cell>
          <cell r="AB162">
            <v>5199000</v>
          </cell>
          <cell r="AC162">
            <v>102445000</v>
          </cell>
          <cell r="AD162">
            <v>5.0749182488164381E-2</v>
          </cell>
          <cell r="AE162">
            <v>12339000</v>
          </cell>
          <cell r="AF162">
            <v>102445000</v>
          </cell>
          <cell r="AG162">
            <v>0.12044511689199082</v>
          </cell>
          <cell r="AH162">
            <v>31993000</v>
          </cell>
          <cell r="AI162">
            <v>102445000</v>
          </cell>
          <cell r="AJ162">
            <v>0.3122944018741764</v>
          </cell>
          <cell r="AK162">
            <v>443000</v>
          </cell>
          <cell r="AL162">
            <v>102445000</v>
          </cell>
          <cell r="AM162">
            <v>4.3242715603494554E-3</v>
          </cell>
          <cell r="AN162">
            <v>45190000</v>
          </cell>
          <cell r="AO162">
            <v>74858</v>
          </cell>
          <cell r="AP162">
            <v>603.67629378289564</v>
          </cell>
          <cell r="AQ162">
            <v>21422000</v>
          </cell>
          <cell r="AR162">
            <v>67824000</v>
          </cell>
          <cell r="AS162">
            <v>0.31584689785326731</v>
          </cell>
          <cell r="AT162">
            <v>17012000</v>
          </cell>
          <cell r="AU162">
            <v>67824000</v>
          </cell>
          <cell r="AV162">
            <v>0.25082566643076198</v>
          </cell>
          <cell r="AW162">
            <v>2621000</v>
          </cell>
          <cell r="AX162">
            <v>67824000</v>
          </cell>
          <cell r="AY162">
            <v>3.8644137768341587E-2</v>
          </cell>
          <cell r="AZ162">
            <v>18106000</v>
          </cell>
          <cell r="BA162">
            <v>67824000</v>
          </cell>
          <cell r="BB162">
            <v>0.26695564991743337</v>
          </cell>
          <cell r="BC162">
            <v>8663000</v>
          </cell>
          <cell r="BD162">
            <v>67824000</v>
          </cell>
          <cell r="BE162">
            <v>0.12772764803019579</v>
          </cell>
          <cell r="BF162">
            <v>58216000</v>
          </cell>
          <cell r="BG162">
            <v>74858</v>
          </cell>
          <cell r="BH162">
            <v>777.68575168986615</v>
          </cell>
          <cell r="BI162">
            <v>18294000</v>
          </cell>
          <cell r="BJ162">
            <v>8462000</v>
          </cell>
          <cell r="BK162">
            <v>2.1619002599858188</v>
          </cell>
          <cell r="BL162">
            <v>6432000</v>
          </cell>
          <cell r="BM162">
            <v>64730000</v>
          </cell>
          <cell r="BN162">
            <v>9.9366599721921828E-2</v>
          </cell>
          <cell r="BO162">
            <v>14924000</v>
          </cell>
          <cell r="BP162">
            <v>11723000</v>
          </cell>
          <cell r="BQ162">
            <v>1.2730529727885354</v>
          </cell>
          <cell r="BR162">
            <v>485</v>
          </cell>
          <cell r="BS162" t="str">
            <v>On Time</v>
          </cell>
          <cell r="BT162" t="str">
            <v>On Time</v>
          </cell>
          <cell r="BU162" t="str">
            <v>On Time</v>
          </cell>
          <cell r="BV162">
            <v>1311000</v>
          </cell>
          <cell r="BW162">
            <v>74858</v>
          </cell>
          <cell r="BX162">
            <v>17.513158246279623</v>
          </cell>
          <cell r="BY162">
            <v>465668</v>
          </cell>
          <cell r="BZ162">
            <v>74858</v>
          </cell>
          <cell r="CA162">
            <v>6.2206844959790537</v>
          </cell>
          <cell r="CB162">
            <v>4714000</v>
          </cell>
          <cell r="CC162">
            <v>28894</v>
          </cell>
          <cell r="CD162">
            <v>163.1480584204333</v>
          </cell>
          <cell r="CE162">
            <v>3098000</v>
          </cell>
          <cell r="CF162">
            <v>27300</v>
          </cell>
          <cell r="CG162">
            <v>113.47985347985347</v>
          </cell>
          <cell r="CH162">
            <v>3645000</v>
          </cell>
          <cell r="CI162">
            <v>74858</v>
          </cell>
          <cell r="CJ162">
            <v>48.692190547436482</v>
          </cell>
          <cell r="CK162">
            <v>22499000</v>
          </cell>
          <cell r="CL162">
            <v>74858</v>
          </cell>
          <cell r="CM162">
            <v>300.55571882764701</v>
          </cell>
          <cell r="CN162">
            <v>244.904744673827</v>
          </cell>
          <cell r="CO162">
            <v>293.68795654617003</v>
          </cell>
          <cell r="CP162">
            <v>420.72613729479701</v>
          </cell>
          <cell r="CQ162">
            <v>430.20719738277</v>
          </cell>
          <cell r="CR162">
            <v>1632</v>
          </cell>
          <cell r="CS162">
            <v>76753</v>
          </cell>
          <cell r="CT162">
            <v>1632</v>
          </cell>
          <cell r="CU162">
            <v>47.030024509803923</v>
          </cell>
          <cell r="CV162">
            <v>31</v>
          </cell>
          <cell r="CW162">
            <v>146000</v>
          </cell>
          <cell r="CX162">
            <v>2872000</v>
          </cell>
          <cell r="CY162">
            <v>5.0835654596100281E-2</v>
          </cell>
          <cell r="CZ162">
            <v>2230000</v>
          </cell>
          <cell r="DA162">
            <v>74858</v>
          </cell>
          <cell r="DB162">
            <v>29.789735232039327</v>
          </cell>
          <cell r="DC162">
            <v>7240000</v>
          </cell>
          <cell r="DD162">
            <v>74858</v>
          </cell>
          <cell r="DE162">
            <v>96.716449811643372</v>
          </cell>
          <cell r="DF162">
            <v>577000</v>
          </cell>
          <cell r="DG162">
            <v>74858</v>
          </cell>
          <cell r="DH162">
            <v>7.707927008469369</v>
          </cell>
          <cell r="DI162">
            <v>1309</v>
          </cell>
          <cell r="DJ162">
            <v>57.18716577540107</v>
          </cell>
          <cell r="DK162">
            <v>3.3858169322086851E-2</v>
          </cell>
          <cell r="DL162">
            <v>2.36</v>
          </cell>
          <cell r="DM162">
            <v>3.4</v>
          </cell>
        </row>
        <row r="163">
          <cell r="B163" t="str">
            <v>Ulmarra Shire Council</v>
          </cell>
          <cell r="C163" t="str">
            <v>A</v>
          </cell>
          <cell r="F163">
            <v>0</v>
          </cell>
          <cell r="I163">
            <v>0</v>
          </cell>
          <cell r="L163">
            <v>0</v>
          </cell>
          <cell r="O163">
            <v>0</v>
          </cell>
          <cell r="R163">
            <v>0</v>
          </cell>
          <cell r="U163">
            <v>0</v>
          </cell>
          <cell r="X163">
            <v>0</v>
          </cell>
          <cell r="Z163">
            <v>0</v>
          </cell>
          <cell r="AA163">
            <v>0</v>
          </cell>
          <cell r="AC163">
            <v>0</v>
          </cell>
          <cell r="AD163">
            <v>0</v>
          </cell>
          <cell r="AF163">
            <v>0</v>
          </cell>
          <cell r="AG163">
            <v>0</v>
          </cell>
          <cell r="AI163">
            <v>0</v>
          </cell>
          <cell r="AJ163">
            <v>0</v>
          </cell>
          <cell r="AL163">
            <v>0</v>
          </cell>
          <cell r="AM163">
            <v>0</v>
          </cell>
          <cell r="AP163">
            <v>0</v>
          </cell>
          <cell r="AS163">
            <v>0</v>
          </cell>
          <cell r="AU163">
            <v>0</v>
          </cell>
          <cell r="AV163">
            <v>0</v>
          </cell>
          <cell r="AX163">
            <v>0</v>
          </cell>
          <cell r="AY163">
            <v>0</v>
          </cell>
          <cell r="BA163">
            <v>0</v>
          </cell>
          <cell r="BB163">
            <v>0</v>
          </cell>
          <cell r="BD163">
            <v>0</v>
          </cell>
          <cell r="BE163">
            <v>0</v>
          </cell>
          <cell r="BG163">
            <v>0</v>
          </cell>
          <cell r="BH163">
            <v>0</v>
          </cell>
          <cell r="BK163">
            <v>0</v>
          </cell>
          <cell r="BN163">
            <v>0</v>
          </cell>
          <cell r="BQ163">
            <v>0</v>
          </cell>
          <cell r="BW163">
            <v>0</v>
          </cell>
          <cell r="BX163">
            <v>0</v>
          </cell>
          <cell r="BZ163">
            <v>0</v>
          </cell>
          <cell r="CA163">
            <v>0</v>
          </cell>
          <cell r="CD163">
            <v>0</v>
          </cell>
          <cell r="CG163">
            <v>0</v>
          </cell>
          <cell r="CI163">
            <v>0</v>
          </cell>
          <cell r="CJ163">
            <v>0</v>
          </cell>
          <cell r="CL163">
            <v>0</v>
          </cell>
          <cell r="CM163">
            <v>0</v>
          </cell>
          <cell r="CT163">
            <v>0</v>
          </cell>
          <cell r="CU163">
            <v>0</v>
          </cell>
          <cell r="CY163">
            <v>0</v>
          </cell>
          <cell r="DA163">
            <v>0</v>
          </cell>
          <cell r="DB163">
            <v>0</v>
          </cell>
          <cell r="DD163">
            <v>0</v>
          </cell>
          <cell r="DE163">
            <v>0</v>
          </cell>
          <cell r="DG163">
            <v>0</v>
          </cell>
          <cell r="DH163">
            <v>0</v>
          </cell>
          <cell r="DK163">
            <v>-0.2</v>
          </cell>
        </row>
        <row r="164">
          <cell r="B164" t="str">
            <v>Uralla Shire Council</v>
          </cell>
          <cell r="C164">
            <v>10</v>
          </cell>
          <cell r="D164">
            <v>749000</v>
          </cell>
          <cell r="E164">
            <v>1888</v>
          </cell>
          <cell r="F164">
            <v>396.71610169491527</v>
          </cell>
          <cell r="G164">
            <v>1328000</v>
          </cell>
          <cell r="H164">
            <v>671</v>
          </cell>
          <cell r="I164">
            <v>1979.1356184798808</v>
          </cell>
          <cell r="J164">
            <v>58000</v>
          </cell>
          <cell r="K164">
            <v>178</v>
          </cell>
          <cell r="L164">
            <v>325.84269662921349</v>
          </cell>
          <cell r="M164">
            <v>520000</v>
          </cell>
          <cell r="N164">
            <v>4062000</v>
          </cell>
          <cell r="O164">
            <v>0.12801575578532742</v>
          </cell>
          <cell r="P164">
            <v>163000</v>
          </cell>
          <cell r="Q164">
            <v>3022000</v>
          </cell>
          <cell r="R164">
            <v>5.3937789543348776E-2</v>
          </cell>
          <cell r="S164">
            <v>212000</v>
          </cell>
          <cell r="T164">
            <v>665000</v>
          </cell>
          <cell r="U164">
            <v>0.31879699248120302</v>
          </cell>
          <cell r="V164">
            <v>3185000</v>
          </cell>
          <cell r="W164">
            <v>10662000</v>
          </cell>
          <cell r="X164">
            <v>0.29872444194335024</v>
          </cell>
          <cell r="Y164">
            <v>877000</v>
          </cell>
          <cell r="Z164">
            <v>10662000</v>
          </cell>
          <cell r="AA164">
            <v>8.225473644719565E-2</v>
          </cell>
          <cell r="AB164">
            <v>244000</v>
          </cell>
          <cell r="AC164">
            <v>10662000</v>
          </cell>
          <cell r="AD164">
            <v>2.2885012192834366E-2</v>
          </cell>
          <cell r="AE164">
            <v>4610000</v>
          </cell>
          <cell r="AF164">
            <v>10662000</v>
          </cell>
          <cell r="AG164">
            <v>0.43237666479084602</v>
          </cell>
          <cell r="AH164">
            <v>1737000</v>
          </cell>
          <cell r="AI164">
            <v>10662000</v>
          </cell>
          <cell r="AJ164">
            <v>0.16291502532357907</v>
          </cell>
          <cell r="AK164">
            <v>9000</v>
          </cell>
          <cell r="AL164">
            <v>10662000</v>
          </cell>
          <cell r="AM164">
            <v>8.4411930219471017E-4</v>
          </cell>
          <cell r="AN164">
            <v>8315000</v>
          </cell>
          <cell r="AO164">
            <v>6071</v>
          </cell>
          <cell r="AP164">
            <v>1369.6260912535001</v>
          </cell>
          <cell r="AQ164">
            <v>3817000</v>
          </cell>
          <cell r="AR164">
            <v>8622000</v>
          </cell>
          <cell r="AS164">
            <v>0.44270470888424962</v>
          </cell>
          <cell r="AT164">
            <v>1168000</v>
          </cell>
          <cell r="AU164">
            <v>8622000</v>
          </cell>
          <cell r="AV164">
            <v>0.13546740895383902</v>
          </cell>
          <cell r="AW164">
            <v>105000</v>
          </cell>
          <cell r="AX164">
            <v>8622000</v>
          </cell>
          <cell r="AY164">
            <v>1.2178148921363952E-2</v>
          </cell>
          <cell r="AZ164">
            <v>1379000</v>
          </cell>
          <cell r="BA164">
            <v>8622000</v>
          </cell>
          <cell r="BB164">
            <v>0.15993968916724657</v>
          </cell>
          <cell r="BC164">
            <v>2153000</v>
          </cell>
          <cell r="BD164">
            <v>8622000</v>
          </cell>
          <cell r="BE164">
            <v>0.24971004407330086</v>
          </cell>
          <cell r="BF164">
            <v>7766000</v>
          </cell>
          <cell r="BG164">
            <v>6071</v>
          </cell>
          <cell r="BH164">
            <v>1279.1961785537803</v>
          </cell>
          <cell r="BI164">
            <v>3348000</v>
          </cell>
          <cell r="BJ164">
            <v>1618000</v>
          </cell>
          <cell r="BK164">
            <v>2.069221260815822</v>
          </cell>
          <cell r="BL164">
            <v>1240000</v>
          </cell>
          <cell r="BM164">
            <v>6291000</v>
          </cell>
          <cell r="BN164">
            <v>0.19710697822285805</v>
          </cell>
          <cell r="BO164">
            <v>2828000</v>
          </cell>
          <cell r="BP164">
            <v>1083000</v>
          </cell>
          <cell r="BQ164">
            <v>2.6112650046168051</v>
          </cell>
          <cell r="BR164">
            <v>86</v>
          </cell>
          <cell r="BS164" t="str">
            <v>On Time</v>
          </cell>
          <cell r="BT164" t="str">
            <v>On Time</v>
          </cell>
          <cell r="BU164" t="str">
            <v>On Time</v>
          </cell>
          <cell r="BV164">
            <v>98000</v>
          </cell>
          <cell r="BW164">
            <v>6071</v>
          </cell>
          <cell r="BX164">
            <v>16.142315928183166</v>
          </cell>
          <cell r="BY164">
            <v>28622</v>
          </cell>
          <cell r="BZ164">
            <v>6071</v>
          </cell>
          <cell r="CA164">
            <v>4.7145445560863122</v>
          </cell>
          <cell r="CB164">
            <v>163000</v>
          </cell>
          <cell r="CC164">
            <v>1410</v>
          </cell>
          <cell r="CD164">
            <v>115.60283687943263</v>
          </cell>
          <cell r="CE164">
            <v>126925</v>
          </cell>
          <cell r="CF164">
            <v>1369</v>
          </cell>
          <cell r="CG164">
            <v>92.713659605551499</v>
          </cell>
          <cell r="CH164">
            <v>508336</v>
          </cell>
          <cell r="CI164">
            <v>6071</v>
          </cell>
          <cell r="CJ164">
            <v>83.731839894580787</v>
          </cell>
          <cell r="CK164">
            <v>535662</v>
          </cell>
          <cell r="CL164">
            <v>6071</v>
          </cell>
          <cell r="CM164">
            <v>88.232910558392362</v>
          </cell>
          <cell r="CN164">
            <v>379.92723110749699</v>
          </cell>
          <cell r="CO164">
            <v>371</v>
          </cell>
          <cell r="CP164">
            <v>387.990412134488</v>
          </cell>
          <cell r="CQ164">
            <v>385.71428571428601</v>
          </cell>
          <cell r="CR164">
            <v>45</v>
          </cell>
          <cell r="CS164">
            <v>747</v>
          </cell>
          <cell r="CT164">
            <v>45</v>
          </cell>
          <cell r="CU164">
            <v>16.600000000000001</v>
          </cell>
          <cell r="CV164">
            <v>11.5</v>
          </cell>
          <cell r="CW164">
            <v>0</v>
          </cell>
          <cell r="CX164">
            <v>100000</v>
          </cell>
          <cell r="CY164">
            <v>0</v>
          </cell>
          <cell r="CZ164">
            <v>95000</v>
          </cell>
          <cell r="DA164">
            <v>6071</v>
          </cell>
          <cell r="DB164">
            <v>15.648163399769395</v>
          </cell>
          <cell r="DC164">
            <v>180000</v>
          </cell>
          <cell r="DD164">
            <v>6071</v>
          </cell>
          <cell r="DE164">
            <v>29.649151704826224</v>
          </cell>
          <cell r="DF164">
            <v>2518000</v>
          </cell>
          <cell r="DG164">
            <v>6071</v>
          </cell>
          <cell r="DH164">
            <v>414.75868884862462</v>
          </cell>
          <cell r="DI164">
            <v>3229.8</v>
          </cell>
          <cell r="DJ164">
            <v>1.8796829525047989</v>
          </cell>
          <cell r="DK164">
            <v>-1.087227414330218E-2</v>
          </cell>
          <cell r="DL164">
            <v>4.5199999999999996</v>
          </cell>
          <cell r="DM164">
            <v>2.2599999999999998</v>
          </cell>
        </row>
        <row r="165">
          <cell r="B165" t="str">
            <v>Urana Shire Council</v>
          </cell>
          <cell r="C165">
            <v>8</v>
          </cell>
          <cell r="D165">
            <v>60000</v>
          </cell>
          <cell r="E165">
            <v>518</v>
          </cell>
          <cell r="F165">
            <v>115.83011583011583</v>
          </cell>
          <cell r="G165">
            <v>903000</v>
          </cell>
          <cell r="H165">
            <v>619</v>
          </cell>
          <cell r="I165">
            <v>1458.8045234248789</v>
          </cell>
          <cell r="J165">
            <v>26000</v>
          </cell>
          <cell r="K165">
            <v>114</v>
          </cell>
          <cell r="L165">
            <v>228.07017543859649</v>
          </cell>
          <cell r="M165">
            <v>130000</v>
          </cell>
          <cell r="N165">
            <v>1407000</v>
          </cell>
          <cell r="O165">
            <v>9.2395167022032695E-2</v>
          </cell>
          <cell r="P165">
            <v>19000</v>
          </cell>
          <cell r="Q165">
            <v>1131000</v>
          </cell>
          <cell r="R165">
            <v>1.6799292661361626E-2</v>
          </cell>
          <cell r="S165">
            <v>-71000</v>
          </cell>
          <cell r="T165">
            <v>328000</v>
          </cell>
          <cell r="U165">
            <v>-0.21646341463414634</v>
          </cell>
          <cell r="V165">
            <v>1150000</v>
          </cell>
          <cell r="W165">
            <v>4627000</v>
          </cell>
          <cell r="X165">
            <v>0.24854117138534687</v>
          </cell>
          <cell r="Y165">
            <v>257000</v>
          </cell>
          <cell r="Z165">
            <v>4627000</v>
          </cell>
          <cell r="AA165">
            <v>5.5543548735681868E-2</v>
          </cell>
          <cell r="AB165">
            <v>78000</v>
          </cell>
          <cell r="AC165">
            <v>4627000</v>
          </cell>
          <cell r="AD165">
            <v>1.6857575102658309E-2</v>
          </cell>
          <cell r="AE165">
            <v>1894000</v>
          </cell>
          <cell r="AF165">
            <v>4627000</v>
          </cell>
          <cell r="AG165">
            <v>0.40933650313378001</v>
          </cell>
          <cell r="AH165">
            <v>1019000</v>
          </cell>
          <cell r="AI165">
            <v>4627000</v>
          </cell>
          <cell r="AJ165">
            <v>0.22022909012318997</v>
          </cell>
          <cell r="AK165">
            <v>229000</v>
          </cell>
          <cell r="AL165">
            <v>4627000</v>
          </cell>
          <cell r="AM165">
            <v>4.9492111519342984E-2</v>
          </cell>
          <cell r="AN165">
            <v>3792000</v>
          </cell>
          <cell r="AO165">
            <v>1425</v>
          </cell>
          <cell r="AP165">
            <v>2661.0526315789475</v>
          </cell>
          <cell r="AQ165">
            <v>1378000</v>
          </cell>
          <cell r="AR165">
            <v>5509000</v>
          </cell>
          <cell r="AS165">
            <v>0.25013614086041025</v>
          </cell>
          <cell r="AT165">
            <v>1217000</v>
          </cell>
          <cell r="AU165">
            <v>5509000</v>
          </cell>
          <cell r="AV165">
            <v>0.22091123615901254</v>
          </cell>
          <cell r="AW165">
            <v>65000</v>
          </cell>
          <cell r="AX165">
            <v>5509000</v>
          </cell>
          <cell r="AY165">
            <v>1.1798874568887275E-2</v>
          </cell>
          <cell r="AZ165">
            <v>1534000</v>
          </cell>
          <cell r="BA165">
            <v>5509000</v>
          </cell>
          <cell r="BB165">
            <v>0.27845343982573972</v>
          </cell>
          <cell r="BC165">
            <v>1315000</v>
          </cell>
          <cell r="BD165">
            <v>5509000</v>
          </cell>
          <cell r="BE165">
            <v>0.23870030858595026</v>
          </cell>
          <cell r="BF165">
            <v>5304000</v>
          </cell>
          <cell r="BG165">
            <v>1425</v>
          </cell>
          <cell r="BH165">
            <v>3722.1052631578946</v>
          </cell>
          <cell r="BI165">
            <v>1338000</v>
          </cell>
          <cell r="BJ165">
            <v>444000</v>
          </cell>
          <cell r="BK165">
            <v>3.0135135135135136</v>
          </cell>
          <cell r="BL165">
            <v>118000</v>
          </cell>
          <cell r="BM165">
            <v>3070000</v>
          </cell>
          <cell r="BN165">
            <v>3.8436482084690554E-2</v>
          </cell>
          <cell r="BO165">
            <v>-263000</v>
          </cell>
          <cell r="BP165">
            <v>1487000</v>
          </cell>
          <cell r="BQ165">
            <v>-0.17686617350369871</v>
          </cell>
          <cell r="BR165">
            <v>36</v>
          </cell>
          <cell r="BS165" t="str">
            <v>On Time</v>
          </cell>
          <cell r="BT165" t="str">
            <v>On Time</v>
          </cell>
          <cell r="BU165" t="str">
            <v>On Time</v>
          </cell>
          <cell r="BV165">
            <v>42000</v>
          </cell>
          <cell r="BW165">
            <v>1425</v>
          </cell>
          <cell r="BX165">
            <v>29.473684210526315</v>
          </cell>
          <cell r="BY165">
            <v>7478</v>
          </cell>
          <cell r="BZ165">
            <v>1425</v>
          </cell>
          <cell r="CA165">
            <v>5.247719298245614</v>
          </cell>
          <cell r="CB165">
            <v>44000</v>
          </cell>
          <cell r="CC165">
            <v>451</v>
          </cell>
          <cell r="CD165">
            <v>97.560975609756099</v>
          </cell>
          <cell r="CE165">
            <v>61916</v>
          </cell>
          <cell r="CF165">
            <v>451</v>
          </cell>
          <cell r="CG165">
            <v>137.2860310421286</v>
          </cell>
          <cell r="CI165">
            <v>1425</v>
          </cell>
          <cell r="CJ165" t="str">
            <v>N/A</v>
          </cell>
          <cell r="CK165">
            <v>935000</v>
          </cell>
          <cell r="CL165">
            <v>1425</v>
          </cell>
          <cell r="CM165">
            <v>656.14035087719299</v>
          </cell>
          <cell r="CN165" t="str">
            <v>N/A</v>
          </cell>
          <cell r="CO165" t="str">
            <v>N/A</v>
          </cell>
          <cell r="CP165">
            <v>467</v>
          </cell>
          <cell r="CQ165">
            <v>494.73684210526301</v>
          </cell>
          <cell r="CR165">
            <v>52</v>
          </cell>
          <cell r="CS165">
            <v>1023</v>
          </cell>
          <cell r="CT165">
            <v>52</v>
          </cell>
          <cell r="CU165">
            <v>19.673076923076923</v>
          </cell>
          <cell r="CV165">
            <v>7</v>
          </cell>
          <cell r="CW165">
            <v>0</v>
          </cell>
          <cell r="CX165">
            <v>66000</v>
          </cell>
          <cell r="CY165">
            <v>0</v>
          </cell>
          <cell r="CZ165">
            <v>89000</v>
          </cell>
          <cell r="DA165">
            <v>1425</v>
          </cell>
          <cell r="DB165">
            <v>62.456140350877192</v>
          </cell>
          <cell r="DC165">
            <v>224000</v>
          </cell>
          <cell r="DD165">
            <v>1425</v>
          </cell>
          <cell r="DE165">
            <v>157.19298245614036</v>
          </cell>
          <cell r="DF165">
            <v>151000</v>
          </cell>
          <cell r="DG165">
            <v>1425</v>
          </cell>
          <cell r="DH165">
            <v>105.96491228070175</v>
          </cell>
          <cell r="DI165">
            <v>3357.4</v>
          </cell>
          <cell r="DJ165">
            <v>0.42443557514743552</v>
          </cell>
          <cell r="DK165">
            <v>-1.2500000000000001E-2</v>
          </cell>
          <cell r="DL165">
            <v>0.76</v>
          </cell>
          <cell r="DM165">
            <v>1.02</v>
          </cell>
        </row>
        <row r="166">
          <cell r="B166" t="str">
            <v>Wagga Wagga City Council</v>
          </cell>
          <cell r="C166">
            <v>4</v>
          </cell>
          <cell r="D166">
            <v>8652000</v>
          </cell>
          <cell r="E166">
            <v>19667</v>
          </cell>
          <cell r="F166">
            <v>439.92474703818579</v>
          </cell>
          <cell r="G166">
            <v>2421000</v>
          </cell>
          <cell r="H166">
            <v>1712</v>
          </cell>
          <cell r="I166">
            <v>1414.1355140186915</v>
          </cell>
          <cell r="J166">
            <v>4719000</v>
          </cell>
          <cell r="K166">
            <v>1499</v>
          </cell>
          <cell r="L166">
            <v>3148.0987324883254</v>
          </cell>
          <cell r="M166">
            <v>2232000</v>
          </cell>
          <cell r="N166">
            <v>35072000</v>
          </cell>
          <cell r="O166">
            <v>6.3640510948905105E-2</v>
          </cell>
          <cell r="P166">
            <v>920000</v>
          </cell>
          <cell r="Q166">
            <v>23115000</v>
          </cell>
          <cell r="R166">
            <v>3.9800995024875621E-2</v>
          </cell>
          <cell r="S166">
            <v>907000</v>
          </cell>
          <cell r="T166">
            <v>10130000</v>
          </cell>
          <cell r="U166">
            <v>8.9536031589338594E-2</v>
          </cell>
          <cell r="V166">
            <v>24035000</v>
          </cell>
          <cell r="W166">
            <v>57022000</v>
          </cell>
          <cell r="X166">
            <v>0.42150398091964503</v>
          </cell>
          <cell r="Y166">
            <v>11037000</v>
          </cell>
          <cell r="Z166">
            <v>57022000</v>
          </cell>
          <cell r="AA166">
            <v>0.19355687278594227</v>
          </cell>
          <cell r="AB166">
            <v>2292000</v>
          </cell>
          <cell r="AC166">
            <v>57022000</v>
          </cell>
          <cell r="AD166">
            <v>4.0195012451334576E-2</v>
          </cell>
          <cell r="AE166">
            <v>13437000</v>
          </cell>
          <cell r="AF166">
            <v>57022000</v>
          </cell>
          <cell r="AG166">
            <v>0.23564589105959102</v>
          </cell>
          <cell r="AH166">
            <v>6078000</v>
          </cell>
          <cell r="AI166">
            <v>57022000</v>
          </cell>
          <cell r="AJ166">
            <v>0.10659043877801551</v>
          </cell>
          <cell r="AK166">
            <v>143000</v>
          </cell>
          <cell r="AL166">
            <v>57022000</v>
          </cell>
          <cell r="AM166">
            <v>2.5078040054715722E-3</v>
          </cell>
          <cell r="AN166">
            <v>43550000</v>
          </cell>
          <cell r="AO166">
            <v>56729</v>
          </cell>
          <cell r="AP166">
            <v>767.6849583105643</v>
          </cell>
          <cell r="AQ166">
            <v>18469000</v>
          </cell>
          <cell r="AR166">
            <v>52090000</v>
          </cell>
          <cell r="AS166">
            <v>0.35455941639470145</v>
          </cell>
          <cell r="AT166">
            <v>18616000</v>
          </cell>
          <cell r="AU166">
            <v>52090000</v>
          </cell>
          <cell r="AV166">
            <v>0.35738145517373776</v>
          </cell>
          <cell r="AW166">
            <v>172000</v>
          </cell>
          <cell r="AX166">
            <v>52090000</v>
          </cell>
          <cell r="AY166">
            <v>3.3019773468995969E-3</v>
          </cell>
          <cell r="AZ166">
            <v>9945000</v>
          </cell>
          <cell r="BA166">
            <v>52090000</v>
          </cell>
          <cell r="BB166">
            <v>0.19091956229602611</v>
          </cell>
          <cell r="BC166">
            <v>4888000</v>
          </cell>
          <cell r="BD166">
            <v>52090000</v>
          </cell>
          <cell r="BE166">
            <v>9.383758878863506E-2</v>
          </cell>
          <cell r="BF166">
            <v>48500000</v>
          </cell>
          <cell r="BG166">
            <v>56729</v>
          </cell>
          <cell r="BH166">
            <v>854.94191683266058</v>
          </cell>
          <cell r="BI166">
            <v>42236000</v>
          </cell>
          <cell r="BJ166">
            <v>9894000</v>
          </cell>
          <cell r="BK166">
            <v>4.2688498079644228</v>
          </cell>
          <cell r="BL166">
            <v>660000</v>
          </cell>
          <cell r="BM166">
            <v>43382000</v>
          </cell>
          <cell r="BN166">
            <v>1.5213683094370937E-2</v>
          </cell>
          <cell r="BO166">
            <v>11607000</v>
          </cell>
          <cell r="BP166">
            <v>9189000</v>
          </cell>
          <cell r="BQ166">
            <v>1.2631407117205353</v>
          </cell>
          <cell r="BR166">
            <v>409.1</v>
          </cell>
          <cell r="BS166" t="str">
            <v>On Time</v>
          </cell>
          <cell r="BT166" t="str">
            <v>On Time</v>
          </cell>
          <cell r="BU166" t="str">
            <v>On Time</v>
          </cell>
          <cell r="BV166">
            <v>1526000</v>
          </cell>
          <cell r="BW166">
            <v>56729</v>
          </cell>
          <cell r="BX166">
            <v>26.899821960549279</v>
          </cell>
          <cell r="BY166">
            <v>274822</v>
          </cell>
          <cell r="BZ166">
            <v>56729</v>
          </cell>
          <cell r="CA166">
            <v>4.844471081810009</v>
          </cell>
          <cell r="CB166">
            <v>3087000</v>
          </cell>
          <cell r="CC166">
            <v>19411</v>
          </cell>
          <cell r="CD166">
            <v>159.03353768481787</v>
          </cell>
          <cell r="CE166">
            <v>1923764</v>
          </cell>
          <cell r="CF166">
            <v>19411</v>
          </cell>
          <cell r="CG166">
            <v>99.106898150533198</v>
          </cell>
          <cell r="CH166">
            <v>13717650</v>
          </cell>
          <cell r="CI166">
            <v>56729</v>
          </cell>
          <cell r="CJ166">
            <v>241.81018526679475</v>
          </cell>
          <cell r="CK166">
            <v>8445000</v>
          </cell>
          <cell r="CL166">
            <v>56729</v>
          </cell>
          <cell r="CM166">
            <v>148.86565953921274</v>
          </cell>
          <cell r="CN166" t="str">
            <v>N/A</v>
          </cell>
          <cell r="CO166" t="str">
            <v>N/A</v>
          </cell>
          <cell r="CP166">
            <v>208.973501463057</v>
          </cell>
          <cell r="CQ166">
            <v>166.49766414370001</v>
          </cell>
          <cell r="CR166">
            <v>1166</v>
          </cell>
          <cell r="CS166">
            <v>26057</v>
          </cell>
          <cell r="CT166">
            <v>1166</v>
          </cell>
          <cell r="CU166">
            <v>22.347341337907377</v>
          </cell>
          <cell r="CV166">
            <v>20</v>
          </cell>
          <cell r="CW166">
            <v>17000</v>
          </cell>
          <cell r="CX166">
            <v>2869000</v>
          </cell>
          <cell r="CY166">
            <v>5.9254095503659815E-3</v>
          </cell>
          <cell r="CZ166">
            <v>1077000</v>
          </cell>
          <cell r="DA166">
            <v>56729</v>
          </cell>
          <cell r="DB166">
            <v>18.984998854201553</v>
          </cell>
          <cell r="DC166">
            <v>3721000</v>
          </cell>
          <cell r="DD166">
            <v>56729</v>
          </cell>
          <cell r="DE166">
            <v>65.592554072872787</v>
          </cell>
          <cell r="DF166">
            <v>3796000</v>
          </cell>
          <cell r="DG166">
            <v>56729</v>
          </cell>
          <cell r="DH166">
            <v>66.914629201995453</v>
          </cell>
          <cell r="DI166">
            <v>4824</v>
          </cell>
          <cell r="DJ166">
            <v>11.75974295190713</v>
          </cell>
          <cell r="DK166">
            <v>-3.5359307359307361E-3</v>
          </cell>
          <cell r="DL166">
            <v>2.57</v>
          </cell>
          <cell r="DM166">
            <v>3.42</v>
          </cell>
        </row>
        <row r="167">
          <cell r="B167" t="str">
            <v>Wakool, The Council of the Shire of</v>
          </cell>
          <cell r="C167">
            <v>9</v>
          </cell>
          <cell r="D167">
            <v>383000</v>
          </cell>
          <cell r="E167">
            <v>1370</v>
          </cell>
          <cell r="F167">
            <v>279.56204379562041</v>
          </cell>
          <cell r="G167">
            <v>1504000</v>
          </cell>
          <cell r="H167">
            <v>821</v>
          </cell>
          <cell r="I167">
            <v>1831.9123020706456</v>
          </cell>
          <cell r="J167">
            <v>90000</v>
          </cell>
          <cell r="K167">
            <v>235</v>
          </cell>
          <cell r="L167">
            <v>382.97872340425533</v>
          </cell>
          <cell r="M167">
            <v>742000</v>
          </cell>
          <cell r="N167">
            <v>4125000</v>
          </cell>
          <cell r="O167">
            <v>0.17987878787878789</v>
          </cell>
          <cell r="P167">
            <v>233000</v>
          </cell>
          <cell r="Q167">
            <v>3060000</v>
          </cell>
          <cell r="R167">
            <v>7.6143790849673196E-2</v>
          </cell>
          <cell r="S167">
            <v>-431000</v>
          </cell>
          <cell r="T167">
            <v>1263000</v>
          </cell>
          <cell r="U167">
            <v>-0.3412509897070467</v>
          </cell>
          <cell r="V167">
            <v>3293000</v>
          </cell>
          <cell r="W167">
            <v>10655000</v>
          </cell>
          <cell r="X167">
            <v>0.30905678085405913</v>
          </cell>
          <cell r="Y167">
            <v>832000</v>
          </cell>
          <cell r="Z167">
            <v>10655000</v>
          </cell>
          <cell r="AA167">
            <v>7.8085405912717037E-2</v>
          </cell>
          <cell r="AB167">
            <v>174000</v>
          </cell>
          <cell r="AC167">
            <v>10655000</v>
          </cell>
          <cell r="AD167">
            <v>1.6330361332707648E-2</v>
          </cell>
          <cell r="AE167">
            <v>4134000</v>
          </cell>
          <cell r="AF167">
            <v>10655000</v>
          </cell>
          <cell r="AG167">
            <v>0.38798686062881277</v>
          </cell>
          <cell r="AH167">
            <v>1816000</v>
          </cell>
          <cell r="AI167">
            <v>10655000</v>
          </cell>
          <cell r="AJ167">
            <v>0.17043641482871891</v>
          </cell>
          <cell r="AK167">
            <v>406000</v>
          </cell>
          <cell r="AL167">
            <v>10655000</v>
          </cell>
          <cell r="AM167">
            <v>3.8104176442984514E-2</v>
          </cell>
          <cell r="AN167">
            <v>7739000</v>
          </cell>
          <cell r="AO167">
            <v>4917</v>
          </cell>
          <cell r="AP167">
            <v>1573.9271913768557</v>
          </cell>
          <cell r="AQ167">
            <v>2912000</v>
          </cell>
          <cell r="AR167">
            <v>9298000</v>
          </cell>
          <cell r="AS167">
            <v>0.31318563131856314</v>
          </cell>
          <cell r="AT167">
            <v>2663000</v>
          </cell>
          <cell r="AU167">
            <v>9298000</v>
          </cell>
          <cell r="AV167">
            <v>0.28640567864056787</v>
          </cell>
          <cell r="AW167">
            <v>185000</v>
          </cell>
          <cell r="AX167">
            <v>9298000</v>
          </cell>
          <cell r="AY167">
            <v>1.98967519896752E-2</v>
          </cell>
          <cell r="AZ167">
            <v>2045000</v>
          </cell>
          <cell r="BA167">
            <v>9298000</v>
          </cell>
          <cell r="BB167">
            <v>0.21993977199397721</v>
          </cell>
          <cell r="BC167">
            <v>1493000</v>
          </cell>
          <cell r="BD167">
            <v>9298000</v>
          </cell>
          <cell r="BE167">
            <v>0.16057216605721661</v>
          </cell>
          <cell r="BF167">
            <v>8043000</v>
          </cell>
          <cell r="BG167">
            <v>4917</v>
          </cell>
          <cell r="BH167">
            <v>1635.7535082367297</v>
          </cell>
          <cell r="BI167">
            <v>1992000</v>
          </cell>
          <cell r="BJ167">
            <v>1614000</v>
          </cell>
          <cell r="BK167">
            <v>1.2342007434944238</v>
          </cell>
          <cell r="BL167">
            <v>791000</v>
          </cell>
          <cell r="BM167">
            <v>7025000</v>
          </cell>
          <cell r="BN167">
            <v>0.11259786476868328</v>
          </cell>
          <cell r="BO167">
            <v>2808000</v>
          </cell>
          <cell r="BP167">
            <v>1780000</v>
          </cell>
          <cell r="BQ167">
            <v>1.5775280898876405</v>
          </cell>
          <cell r="BR167">
            <v>74</v>
          </cell>
          <cell r="BS167" t="str">
            <v>&lt;=16</v>
          </cell>
          <cell r="BT167" t="str">
            <v>On Time</v>
          </cell>
          <cell r="BU167" t="str">
            <v>On Time</v>
          </cell>
          <cell r="BV167">
            <v>107000</v>
          </cell>
          <cell r="BW167">
            <v>4917</v>
          </cell>
          <cell r="BX167">
            <v>21.761236526337196</v>
          </cell>
          <cell r="BY167">
            <v>34647</v>
          </cell>
          <cell r="BZ167">
            <v>4917</v>
          </cell>
          <cell r="CA167">
            <v>7.0463697376449055</v>
          </cell>
          <cell r="CB167">
            <v>189000</v>
          </cell>
          <cell r="CC167">
            <v>1142</v>
          </cell>
          <cell r="CD167">
            <v>165.49912434325745</v>
          </cell>
          <cell r="CE167">
            <v>114445</v>
          </cell>
          <cell r="CF167">
            <v>1074</v>
          </cell>
          <cell r="CG167">
            <v>106.55959031657356</v>
          </cell>
          <cell r="CH167">
            <v>101000</v>
          </cell>
          <cell r="CI167">
            <v>4917</v>
          </cell>
          <cell r="CJ167">
            <v>20.540980272523896</v>
          </cell>
          <cell r="CK167">
            <v>750000</v>
          </cell>
          <cell r="CL167">
            <v>4917</v>
          </cell>
          <cell r="CM167">
            <v>152.53203172666261</v>
          </cell>
          <cell r="CN167">
            <v>462</v>
          </cell>
          <cell r="CO167">
            <v>568</v>
          </cell>
          <cell r="CP167">
            <v>442</v>
          </cell>
          <cell r="CQ167">
            <v>376</v>
          </cell>
          <cell r="CR167">
            <v>133</v>
          </cell>
          <cell r="CS167">
            <v>6721</v>
          </cell>
          <cell r="CT167">
            <v>133</v>
          </cell>
          <cell r="CU167">
            <v>50.533834586466163</v>
          </cell>
          <cell r="CV167">
            <v>28</v>
          </cell>
          <cell r="CW167">
            <v>20000</v>
          </cell>
          <cell r="CX167">
            <v>320000</v>
          </cell>
          <cell r="CY167">
            <v>6.25E-2</v>
          </cell>
          <cell r="CZ167">
            <v>295000</v>
          </cell>
          <cell r="DA167">
            <v>4917</v>
          </cell>
          <cell r="DB167">
            <v>59.995932479153957</v>
          </cell>
          <cell r="DC167">
            <v>295000</v>
          </cell>
          <cell r="DD167">
            <v>4917</v>
          </cell>
          <cell r="DE167">
            <v>59.995932479153957</v>
          </cell>
          <cell r="DF167">
            <v>219000</v>
          </cell>
          <cell r="DG167">
            <v>4917</v>
          </cell>
          <cell r="DH167">
            <v>44.539353264185479</v>
          </cell>
          <cell r="DI167">
            <v>7519.7</v>
          </cell>
          <cell r="DJ167">
            <v>0.65388246871550726</v>
          </cell>
          <cell r="DK167">
            <v>-1.4452830188679246E-2</v>
          </cell>
          <cell r="DL167">
            <v>1.71</v>
          </cell>
          <cell r="DM167">
            <v>2.23</v>
          </cell>
        </row>
        <row r="168">
          <cell r="B168" t="str">
            <v>Walcha Council</v>
          </cell>
          <cell r="C168">
            <v>9</v>
          </cell>
          <cell r="D168">
            <v>200000</v>
          </cell>
          <cell r="E168">
            <v>786</v>
          </cell>
          <cell r="F168">
            <v>254.45292620865141</v>
          </cell>
          <cell r="G168">
            <v>1650000</v>
          </cell>
          <cell r="H168">
            <v>940</v>
          </cell>
          <cell r="I168">
            <v>1755.3191489361702</v>
          </cell>
          <cell r="J168">
            <v>62000</v>
          </cell>
          <cell r="K168">
            <v>135</v>
          </cell>
          <cell r="L168">
            <v>459.25925925925924</v>
          </cell>
          <cell r="M168">
            <v>194000</v>
          </cell>
          <cell r="N168">
            <v>4148000</v>
          </cell>
          <cell r="O168">
            <v>4.67695274831244E-2</v>
          </cell>
          <cell r="P168">
            <v>63000</v>
          </cell>
          <cell r="Q168">
            <v>2395000</v>
          </cell>
          <cell r="R168">
            <v>2.6304801670146139E-2</v>
          </cell>
          <cell r="S168">
            <v>-300000</v>
          </cell>
          <cell r="T168">
            <v>1990000</v>
          </cell>
          <cell r="U168">
            <v>-0.15075376884422109</v>
          </cell>
          <cell r="V168">
            <v>2458000</v>
          </cell>
          <cell r="W168">
            <v>6619000</v>
          </cell>
          <cell r="X168">
            <v>0.37135518960568059</v>
          </cell>
          <cell r="Y168">
            <v>1690000</v>
          </cell>
          <cell r="Z168">
            <v>6619000</v>
          </cell>
          <cell r="AA168">
            <v>0.25532557788185528</v>
          </cell>
          <cell r="AB168">
            <v>84000</v>
          </cell>
          <cell r="AC168">
            <v>6619000</v>
          </cell>
          <cell r="AD168">
            <v>1.2690738782293398E-2</v>
          </cell>
          <cell r="AE168">
            <v>1827000</v>
          </cell>
          <cell r="AF168">
            <v>6619000</v>
          </cell>
          <cell r="AG168">
            <v>0.27602356851488141</v>
          </cell>
          <cell r="AH168">
            <v>558000</v>
          </cell>
          <cell r="AI168">
            <v>6619000</v>
          </cell>
          <cell r="AJ168">
            <v>8.4302764768091856E-2</v>
          </cell>
          <cell r="AK168">
            <v>2000</v>
          </cell>
          <cell r="AL168">
            <v>6619000</v>
          </cell>
          <cell r="AM168">
            <v>3.0216044719746184E-4</v>
          </cell>
          <cell r="AN168">
            <v>5541000</v>
          </cell>
          <cell r="AO168">
            <v>3306</v>
          </cell>
          <cell r="AP168">
            <v>1676.043557168784</v>
          </cell>
          <cell r="AQ168">
            <v>2194000</v>
          </cell>
          <cell r="AR168">
            <v>7253000</v>
          </cell>
          <cell r="AS168">
            <v>0.30249551909554667</v>
          </cell>
          <cell r="AT168">
            <v>1995000</v>
          </cell>
          <cell r="AU168">
            <v>7253000</v>
          </cell>
          <cell r="AV168">
            <v>0.27505859644285124</v>
          </cell>
          <cell r="AW168">
            <v>20000</v>
          </cell>
          <cell r="AX168">
            <v>7253000</v>
          </cell>
          <cell r="AY168">
            <v>2.7574796635874812E-3</v>
          </cell>
          <cell r="AZ168">
            <v>2383000</v>
          </cell>
          <cell r="BA168">
            <v>7253000</v>
          </cell>
          <cell r="BB168">
            <v>0.32855370191644839</v>
          </cell>
          <cell r="BC168">
            <v>661000</v>
          </cell>
          <cell r="BD168">
            <v>7253000</v>
          </cell>
          <cell r="BE168">
            <v>9.1134702881566249E-2</v>
          </cell>
          <cell r="BF168">
            <v>6724000</v>
          </cell>
          <cell r="BG168">
            <v>3306</v>
          </cell>
          <cell r="BH168">
            <v>2033.8777979431336</v>
          </cell>
          <cell r="BI168">
            <v>2452000</v>
          </cell>
          <cell r="BJ168">
            <v>553000</v>
          </cell>
          <cell r="BK168">
            <v>4.4339963833634721</v>
          </cell>
          <cell r="BL168">
            <v>115000</v>
          </cell>
          <cell r="BM168">
            <v>5292000</v>
          </cell>
          <cell r="BN168">
            <v>2.1730914588057443E-2</v>
          </cell>
          <cell r="BO168">
            <v>1551000</v>
          </cell>
          <cell r="BP168">
            <v>2174000</v>
          </cell>
          <cell r="BQ168">
            <v>0.71343146274149039</v>
          </cell>
          <cell r="BR168">
            <v>52</v>
          </cell>
          <cell r="BS168" t="str">
            <v>On Time</v>
          </cell>
          <cell r="BT168" t="str">
            <v>On Time</v>
          </cell>
          <cell r="BU168" t="str">
            <v>On Time</v>
          </cell>
          <cell r="BV168">
            <v>76000</v>
          </cell>
          <cell r="BW168">
            <v>3306</v>
          </cell>
          <cell r="BX168">
            <v>22.988505747126435</v>
          </cell>
          <cell r="BY168">
            <v>22169</v>
          </cell>
          <cell r="BZ168">
            <v>3306</v>
          </cell>
          <cell r="CA168">
            <v>6.7056866303690263</v>
          </cell>
          <cell r="CB168">
            <v>122000</v>
          </cell>
          <cell r="CC168">
            <v>791</v>
          </cell>
          <cell r="CD168">
            <v>154.23514538558786</v>
          </cell>
          <cell r="CE168">
            <v>58465</v>
          </cell>
          <cell r="CF168">
            <v>664</v>
          </cell>
          <cell r="CG168">
            <v>88.049698795180717</v>
          </cell>
          <cell r="CH168">
            <v>396500</v>
          </cell>
          <cell r="CI168">
            <v>3306</v>
          </cell>
          <cell r="CJ168">
            <v>119.93345432546884</v>
          </cell>
          <cell r="CK168">
            <v>1320000</v>
          </cell>
          <cell r="CL168">
            <v>3306</v>
          </cell>
          <cell r="CM168">
            <v>399.27404718693288</v>
          </cell>
          <cell r="CN168">
            <v>463.27219318317401</v>
          </cell>
          <cell r="CO168">
            <v>433.019205535011</v>
          </cell>
          <cell r="CP168">
            <v>247.12853559126199</v>
          </cell>
          <cell r="CQ168">
            <v>324.67532467532499</v>
          </cell>
          <cell r="CR168">
            <v>47</v>
          </cell>
          <cell r="CS168">
            <v>423</v>
          </cell>
          <cell r="CT168">
            <v>47</v>
          </cell>
          <cell r="CU168">
            <v>9</v>
          </cell>
          <cell r="CV168">
            <v>12</v>
          </cell>
          <cell r="CW168">
            <v>0</v>
          </cell>
          <cell r="CX168">
            <v>50000</v>
          </cell>
          <cell r="CY168">
            <v>0</v>
          </cell>
          <cell r="CZ168">
            <v>135000</v>
          </cell>
          <cell r="DA168">
            <v>3306</v>
          </cell>
          <cell r="DB168">
            <v>40.834845735027223</v>
          </cell>
          <cell r="DC168">
            <v>209000</v>
          </cell>
          <cell r="DD168">
            <v>3306</v>
          </cell>
          <cell r="DE168">
            <v>63.218390804597703</v>
          </cell>
          <cell r="DF168">
            <v>176000</v>
          </cell>
          <cell r="DG168">
            <v>3306</v>
          </cell>
          <cell r="DH168">
            <v>53.236539624924383</v>
          </cell>
          <cell r="DI168">
            <v>6266.9</v>
          </cell>
          <cell r="DJ168">
            <v>0.52753354928273954</v>
          </cell>
          <cell r="DK168">
            <v>-1.7851239669421488E-2</v>
          </cell>
          <cell r="DL168">
            <v>4.92</v>
          </cell>
          <cell r="DM168">
            <v>1.94</v>
          </cell>
        </row>
        <row r="169">
          <cell r="B169" t="str">
            <v>Walgett Shire Council</v>
          </cell>
          <cell r="C169">
            <v>10</v>
          </cell>
          <cell r="D169">
            <v>522000</v>
          </cell>
          <cell r="E169">
            <v>2063</v>
          </cell>
          <cell r="F169">
            <v>253.02956858943287</v>
          </cell>
          <cell r="G169">
            <v>2312000</v>
          </cell>
          <cell r="H169">
            <v>873</v>
          </cell>
          <cell r="I169">
            <v>2648.3390607101946</v>
          </cell>
          <cell r="J169">
            <v>0</v>
          </cell>
          <cell r="K169">
            <v>0</v>
          </cell>
          <cell r="L169" t="str">
            <v>N/A</v>
          </cell>
          <cell r="M169">
            <v>733000</v>
          </cell>
          <cell r="N169">
            <v>7726000</v>
          </cell>
          <cell r="O169">
            <v>9.4874449909396835E-2</v>
          </cell>
          <cell r="P169">
            <v>220000</v>
          </cell>
          <cell r="Q169">
            <v>4435000</v>
          </cell>
          <cell r="R169">
            <v>4.96054114994363E-2</v>
          </cell>
          <cell r="S169">
            <v>-605000</v>
          </cell>
          <cell r="T169">
            <v>3676000</v>
          </cell>
          <cell r="U169">
            <v>-0.16458106637649619</v>
          </cell>
          <cell r="V169">
            <v>4655000</v>
          </cell>
          <cell r="W169">
            <v>16400000</v>
          </cell>
          <cell r="X169">
            <v>0.28384146341463412</v>
          </cell>
          <cell r="Y169">
            <v>3071000</v>
          </cell>
          <cell r="Z169">
            <v>16400000</v>
          </cell>
          <cell r="AA169">
            <v>0.18725609756097561</v>
          </cell>
          <cell r="AB169">
            <v>349000</v>
          </cell>
          <cell r="AC169">
            <v>16400000</v>
          </cell>
          <cell r="AD169">
            <v>2.128048780487805E-2</v>
          </cell>
          <cell r="AE169">
            <v>5182000</v>
          </cell>
          <cell r="AF169">
            <v>16400000</v>
          </cell>
          <cell r="AG169">
            <v>0.31597560975609756</v>
          </cell>
          <cell r="AH169">
            <v>2860000</v>
          </cell>
          <cell r="AI169">
            <v>16400000</v>
          </cell>
          <cell r="AJ169">
            <v>0.17439024390243901</v>
          </cell>
          <cell r="AK169">
            <v>283000</v>
          </cell>
          <cell r="AL169">
            <v>16400000</v>
          </cell>
          <cell r="AM169">
            <v>1.7256097560975611E-2</v>
          </cell>
          <cell r="AN169">
            <v>13771000</v>
          </cell>
          <cell r="AO169">
            <v>8321</v>
          </cell>
          <cell r="AP169">
            <v>1654.9693546448743</v>
          </cell>
          <cell r="AQ169">
            <v>5348000</v>
          </cell>
          <cell r="AR169">
            <v>18514000</v>
          </cell>
          <cell r="AS169">
            <v>0.28886248244571677</v>
          </cell>
          <cell r="AT169">
            <v>7960000</v>
          </cell>
          <cell r="AU169">
            <v>18514000</v>
          </cell>
          <cell r="AV169">
            <v>0.42994490655719997</v>
          </cell>
          <cell r="AW169">
            <v>114000</v>
          </cell>
          <cell r="AX169">
            <v>18514000</v>
          </cell>
          <cell r="AY169">
            <v>6.1575024305930651E-3</v>
          </cell>
          <cell r="AZ169">
            <v>3007000</v>
          </cell>
          <cell r="BA169">
            <v>18514000</v>
          </cell>
          <cell r="BB169">
            <v>0.162417629901696</v>
          </cell>
          <cell r="BC169">
            <v>2085000</v>
          </cell>
          <cell r="BD169">
            <v>18514000</v>
          </cell>
          <cell r="BE169">
            <v>0.11261747866479421</v>
          </cell>
          <cell r="BF169">
            <v>16659000</v>
          </cell>
          <cell r="BG169">
            <v>8321</v>
          </cell>
          <cell r="BH169">
            <v>2002.043023675039</v>
          </cell>
          <cell r="BI169">
            <v>3315000</v>
          </cell>
          <cell r="BJ169">
            <v>2391000</v>
          </cell>
          <cell r="BK169">
            <v>1.3864491844416562</v>
          </cell>
          <cell r="BL169">
            <v>479000</v>
          </cell>
          <cell r="BM169">
            <v>11812000</v>
          </cell>
          <cell r="BN169">
            <v>4.0551981036234336E-2</v>
          </cell>
          <cell r="BO169">
            <v>2343000</v>
          </cell>
          <cell r="BP169">
            <v>2172000</v>
          </cell>
          <cell r="BQ169">
            <v>1.0787292817679559</v>
          </cell>
          <cell r="BR169">
            <v>103</v>
          </cell>
          <cell r="BS169" t="str">
            <v>&lt;=2</v>
          </cell>
          <cell r="BT169" t="str">
            <v>&lt;=2</v>
          </cell>
          <cell r="BU169" t="str">
            <v>On Time</v>
          </cell>
          <cell r="BV169">
            <v>215000</v>
          </cell>
          <cell r="BW169">
            <v>8321</v>
          </cell>
          <cell r="BX169">
            <v>25.838240596082201</v>
          </cell>
          <cell r="BY169">
            <v>16736</v>
          </cell>
          <cell r="BZ169">
            <v>8321</v>
          </cell>
          <cell r="CA169">
            <v>2.0112967191443336</v>
          </cell>
          <cell r="CB169">
            <v>372000</v>
          </cell>
          <cell r="CC169">
            <v>1599</v>
          </cell>
          <cell r="CD169">
            <v>232.64540337711068</v>
          </cell>
          <cell r="CE169">
            <v>148619</v>
          </cell>
          <cell r="CF169">
            <v>1599</v>
          </cell>
          <cell r="CG169">
            <v>92.944965603502183</v>
          </cell>
          <cell r="CH169">
            <v>90000</v>
          </cell>
          <cell r="CI169">
            <v>8321</v>
          </cell>
          <cell r="CJ169">
            <v>10.816007691383247</v>
          </cell>
          <cell r="CK169">
            <v>4700000</v>
          </cell>
          <cell r="CL169">
            <v>8321</v>
          </cell>
          <cell r="CM169">
            <v>564.83595721668064</v>
          </cell>
          <cell r="CN169">
            <v>634</v>
          </cell>
          <cell r="CO169">
            <v>842</v>
          </cell>
          <cell r="CP169">
            <v>311</v>
          </cell>
          <cell r="CQ169">
            <v>393</v>
          </cell>
          <cell r="CR169">
            <v>88</v>
          </cell>
          <cell r="CS169">
            <v>3960</v>
          </cell>
          <cell r="CT169">
            <v>88</v>
          </cell>
          <cell r="CU169">
            <v>45</v>
          </cell>
          <cell r="CV169">
            <v>42</v>
          </cell>
          <cell r="CW169">
            <v>0</v>
          </cell>
          <cell r="CX169">
            <v>157000</v>
          </cell>
          <cell r="CY169">
            <v>0</v>
          </cell>
          <cell r="CZ169">
            <v>205000</v>
          </cell>
          <cell r="DA169">
            <v>8321</v>
          </cell>
          <cell r="DB169">
            <v>24.636461963706285</v>
          </cell>
          <cell r="DC169">
            <v>1113000</v>
          </cell>
          <cell r="DD169">
            <v>8321</v>
          </cell>
          <cell r="DE169">
            <v>133.7579617834395</v>
          </cell>
          <cell r="DF169">
            <v>877000</v>
          </cell>
          <cell r="DG169">
            <v>8321</v>
          </cell>
          <cell r="DH169">
            <v>105.39598605936787</v>
          </cell>
          <cell r="DI169">
            <v>22336.3</v>
          </cell>
          <cell r="DJ169">
            <v>0.37253260387799236</v>
          </cell>
          <cell r="DK169">
            <v>2.951219512195122E-3</v>
          </cell>
          <cell r="DL169">
            <v>21.99</v>
          </cell>
          <cell r="DM169">
            <v>6.38</v>
          </cell>
        </row>
        <row r="170">
          <cell r="B170" t="str">
            <v>Warren Shire Council</v>
          </cell>
          <cell r="C170">
            <v>9</v>
          </cell>
          <cell r="D170">
            <v>321000</v>
          </cell>
          <cell r="E170">
            <v>1085</v>
          </cell>
          <cell r="F170">
            <v>295.85253456221199</v>
          </cell>
          <cell r="G170">
            <v>2334000</v>
          </cell>
          <cell r="H170">
            <v>708</v>
          </cell>
          <cell r="I170">
            <v>3296.6101694915255</v>
          </cell>
          <cell r="J170">
            <v>108000</v>
          </cell>
          <cell r="K170">
            <v>108</v>
          </cell>
          <cell r="L170">
            <v>1000</v>
          </cell>
          <cell r="M170">
            <v>340000</v>
          </cell>
          <cell r="N170">
            <v>5064000</v>
          </cell>
          <cell r="O170">
            <v>6.714060031595577E-2</v>
          </cell>
          <cell r="P170">
            <v>129000</v>
          </cell>
          <cell r="Q170">
            <v>3370000</v>
          </cell>
          <cell r="R170">
            <v>3.8278931750741839E-2</v>
          </cell>
          <cell r="S170">
            <v>-1159000</v>
          </cell>
          <cell r="T170">
            <v>2724000</v>
          </cell>
          <cell r="U170">
            <v>-0.42547723935389131</v>
          </cell>
          <cell r="V170">
            <v>3499000</v>
          </cell>
          <cell r="W170">
            <v>10059000</v>
          </cell>
          <cell r="X170">
            <v>0.34784769857838749</v>
          </cell>
          <cell r="Y170">
            <v>1565000</v>
          </cell>
          <cell r="Z170">
            <v>10059000</v>
          </cell>
          <cell r="AA170">
            <v>0.15558206581171091</v>
          </cell>
          <cell r="AB170">
            <v>165000</v>
          </cell>
          <cell r="AC170">
            <v>10059000</v>
          </cell>
          <cell r="AD170">
            <v>1.6403220996122875E-2</v>
          </cell>
          <cell r="AE170">
            <v>3991000</v>
          </cell>
          <cell r="AF170">
            <v>10059000</v>
          </cell>
          <cell r="AG170">
            <v>0.39675912118500845</v>
          </cell>
          <cell r="AH170">
            <v>750000</v>
          </cell>
          <cell r="AI170">
            <v>10059000</v>
          </cell>
          <cell r="AJ170">
            <v>7.4560095436922158E-2</v>
          </cell>
          <cell r="AK170">
            <v>89000</v>
          </cell>
          <cell r="AL170">
            <v>10059000</v>
          </cell>
          <cell r="AM170">
            <v>8.847797991848096E-3</v>
          </cell>
          <cell r="AN170">
            <v>8087000</v>
          </cell>
          <cell r="AO170">
            <v>3319</v>
          </cell>
          <cell r="AP170">
            <v>2436.57728231395</v>
          </cell>
          <cell r="AQ170">
            <v>3074000</v>
          </cell>
          <cell r="AR170">
            <v>9062000</v>
          </cell>
          <cell r="AS170">
            <v>0.33921871551533878</v>
          </cell>
          <cell r="AT170">
            <v>2772000</v>
          </cell>
          <cell r="AU170">
            <v>9062000</v>
          </cell>
          <cell r="AV170">
            <v>0.30589273890973295</v>
          </cell>
          <cell r="AW170">
            <v>119000</v>
          </cell>
          <cell r="AX170">
            <v>9062000</v>
          </cell>
          <cell r="AY170">
            <v>1.3131758993599647E-2</v>
          </cell>
          <cell r="AZ170">
            <v>2314000</v>
          </cell>
          <cell r="BA170">
            <v>9062000</v>
          </cell>
          <cell r="BB170">
            <v>0.25535201942176122</v>
          </cell>
          <cell r="BC170">
            <v>783000</v>
          </cell>
          <cell r="BD170">
            <v>9062000</v>
          </cell>
          <cell r="BE170">
            <v>8.6404767159567422E-2</v>
          </cell>
          <cell r="BF170">
            <v>8391000</v>
          </cell>
          <cell r="BG170">
            <v>3319</v>
          </cell>
          <cell r="BH170">
            <v>2528.1711358843027</v>
          </cell>
          <cell r="BI170">
            <v>2414000</v>
          </cell>
          <cell r="BJ170">
            <v>984000</v>
          </cell>
          <cell r="BK170">
            <v>2.4532520325203251</v>
          </cell>
          <cell r="BL170">
            <v>378000</v>
          </cell>
          <cell r="BM170">
            <v>6921000</v>
          </cell>
          <cell r="BN170">
            <v>5.4616384915474644E-2</v>
          </cell>
          <cell r="BO170">
            <v>2316000</v>
          </cell>
          <cell r="BP170">
            <v>2186000</v>
          </cell>
          <cell r="BQ170">
            <v>1.059469350411711</v>
          </cell>
          <cell r="BR170">
            <v>74</v>
          </cell>
          <cell r="BS170" t="str">
            <v>On Time</v>
          </cell>
          <cell r="BT170" t="str">
            <v>On Time</v>
          </cell>
          <cell r="BU170" t="str">
            <v>On Time</v>
          </cell>
          <cell r="BV170">
            <v>129000</v>
          </cell>
          <cell r="BW170">
            <v>3319</v>
          </cell>
          <cell r="BX170">
            <v>38.867128653208795</v>
          </cell>
          <cell r="BY170">
            <v>25832</v>
          </cell>
          <cell r="BZ170">
            <v>3319</v>
          </cell>
          <cell r="CA170">
            <v>7.7830671889123231</v>
          </cell>
          <cell r="CB170">
            <v>107000</v>
          </cell>
          <cell r="CC170">
            <v>925</v>
          </cell>
          <cell r="CD170">
            <v>115.67567567567568</v>
          </cell>
          <cell r="CE170">
            <v>67361</v>
          </cell>
          <cell r="CF170">
            <v>925</v>
          </cell>
          <cell r="CG170">
            <v>72.822702702702699</v>
          </cell>
          <cell r="CH170">
            <v>210000</v>
          </cell>
          <cell r="CI170">
            <v>3319</v>
          </cell>
          <cell r="CJ170">
            <v>63.272069900572461</v>
          </cell>
          <cell r="CK170">
            <v>1550000</v>
          </cell>
          <cell r="CL170">
            <v>3319</v>
          </cell>
          <cell r="CM170">
            <v>467.00813498041578</v>
          </cell>
          <cell r="CN170">
            <v>410.79163554891699</v>
          </cell>
          <cell r="CO170">
            <v>455.56385362210602</v>
          </cell>
          <cell r="CP170">
            <v>434.672965851127</v>
          </cell>
          <cell r="CQ170">
            <v>341.96384953590598</v>
          </cell>
          <cell r="CR170">
            <v>63</v>
          </cell>
          <cell r="CS170">
            <v>1370</v>
          </cell>
          <cell r="CT170">
            <v>63</v>
          </cell>
          <cell r="CU170">
            <v>21.746031746031747</v>
          </cell>
          <cell r="CV170">
            <v>12</v>
          </cell>
          <cell r="CW170">
            <v>0</v>
          </cell>
          <cell r="CX170">
            <v>0</v>
          </cell>
          <cell r="CY170" t="str">
            <v>N/A</v>
          </cell>
          <cell r="CZ170">
            <v>360000</v>
          </cell>
          <cell r="DA170">
            <v>3319</v>
          </cell>
          <cell r="DB170">
            <v>108.4664055438385</v>
          </cell>
          <cell r="DC170">
            <v>501000</v>
          </cell>
          <cell r="DD170">
            <v>3319</v>
          </cell>
          <cell r="DE170">
            <v>150.94908104850859</v>
          </cell>
          <cell r="DF170">
            <v>47000</v>
          </cell>
          <cell r="DG170">
            <v>3319</v>
          </cell>
          <cell r="DH170">
            <v>14.160891834890027</v>
          </cell>
          <cell r="DI170">
            <v>10760.3</v>
          </cell>
          <cell r="DJ170">
            <v>0.3084486492012305</v>
          </cell>
          <cell r="DK170">
            <v>-2.0594594594594593E-2</v>
          </cell>
          <cell r="DL170">
            <v>11.03</v>
          </cell>
          <cell r="DM170">
            <v>0.39</v>
          </cell>
        </row>
        <row r="171">
          <cell r="B171" t="str">
            <v>Warringah Council</v>
          </cell>
          <cell r="C171">
            <v>3</v>
          </cell>
          <cell r="D171">
            <v>34145000</v>
          </cell>
          <cell r="E171">
            <v>47368</v>
          </cell>
          <cell r="F171">
            <v>720.84529640263474</v>
          </cell>
          <cell r="G171">
            <v>0</v>
          </cell>
          <cell r="H171">
            <v>0</v>
          </cell>
          <cell r="I171" t="str">
            <v>N/A</v>
          </cell>
          <cell r="J171">
            <v>8781000</v>
          </cell>
          <cell r="K171">
            <v>2726</v>
          </cell>
          <cell r="L171">
            <v>3221.2032281731476</v>
          </cell>
          <cell r="M171">
            <v>6230000</v>
          </cell>
          <cell r="N171">
            <v>75039000</v>
          </cell>
          <cell r="O171">
            <v>8.3023494449552898E-2</v>
          </cell>
          <cell r="P171">
            <v>1945000</v>
          </cell>
          <cell r="Q171">
            <v>51131000</v>
          </cell>
          <cell r="R171">
            <v>3.8039545481214916E-2</v>
          </cell>
          <cell r="S171">
            <v>2251000</v>
          </cell>
          <cell r="T171">
            <v>19712000</v>
          </cell>
          <cell r="U171">
            <v>0.11419439935064934</v>
          </cell>
          <cell r="V171">
            <v>53076000</v>
          </cell>
          <cell r="W171">
            <v>94589000</v>
          </cell>
          <cell r="X171">
            <v>0.56112232923490046</v>
          </cell>
          <cell r="Y171">
            <v>21963000</v>
          </cell>
          <cell r="Z171">
            <v>94589000</v>
          </cell>
          <cell r="AA171">
            <v>0.23219401833194134</v>
          </cell>
          <cell r="AB171">
            <v>2417000</v>
          </cell>
          <cell r="AC171">
            <v>94589000</v>
          </cell>
          <cell r="AD171">
            <v>2.555265411411475E-2</v>
          </cell>
          <cell r="AE171">
            <v>6456000</v>
          </cell>
          <cell r="AF171">
            <v>94589000</v>
          </cell>
          <cell r="AG171">
            <v>6.8253179545190237E-2</v>
          </cell>
          <cell r="AH171">
            <v>8574000</v>
          </cell>
          <cell r="AI171">
            <v>94589000</v>
          </cell>
          <cell r="AJ171">
            <v>9.0644789563268463E-2</v>
          </cell>
          <cell r="AK171">
            <v>2103000</v>
          </cell>
          <cell r="AL171">
            <v>94589000</v>
          </cell>
          <cell r="AM171">
            <v>2.2233029210584742E-2</v>
          </cell>
          <cell r="AN171">
            <v>95631000</v>
          </cell>
          <cell r="AO171">
            <v>136662</v>
          </cell>
          <cell r="AP171">
            <v>699.76291873381047</v>
          </cell>
          <cell r="AQ171">
            <v>30978000</v>
          </cell>
          <cell r="AR171">
            <v>84357000</v>
          </cell>
          <cell r="AS171">
            <v>0.36722500800170704</v>
          </cell>
          <cell r="AT171">
            <v>27146000</v>
          </cell>
          <cell r="AU171">
            <v>84357000</v>
          </cell>
          <cell r="AV171">
            <v>0.32179902082814704</v>
          </cell>
          <cell r="AW171">
            <v>896000</v>
          </cell>
          <cell r="AX171">
            <v>84357000</v>
          </cell>
          <cell r="AY171">
            <v>1.0621525184631981E-2</v>
          </cell>
          <cell r="AZ171">
            <v>11331000</v>
          </cell>
          <cell r="BA171">
            <v>84357000</v>
          </cell>
          <cell r="BB171">
            <v>0.13432198869092074</v>
          </cell>
          <cell r="BC171">
            <v>14006000</v>
          </cell>
          <cell r="BD171">
            <v>84357000</v>
          </cell>
          <cell r="BE171">
            <v>0.16603245729459321</v>
          </cell>
          <cell r="BF171">
            <v>84742000</v>
          </cell>
          <cell r="BG171">
            <v>136662</v>
          </cell>
          <cell r="BH171">
            <v>620.08458825423304</v>
          </cell>
          <cell r="BI171">
            <v>38432000</v>
          </cell>
          <cell r="BJ171">
            <v>14675000</v>
          </cell>
          <cell r="BK171">
            <v>2.6188756388415673</v>
          </cell>
          <cell r="BL171">
            <v>2064000</v>
          </cell>
          <cell r="BM171">
            <v>91923000</v>
          </cell>
          <cell r="BN171">
            <v>2.2453575274958389E-2</v>
          </cell>
          <cell r="BO171">
            <v>1116000</v>
          </cell>
          <cell r="BP171">
            <v>11331000</v>
          </cell>
          <cell r="BQ171">
            <v>9.8490865766481334E-2</v>
          </cell>
          <cell r="BR171">
            <v>507</v>
          </cell>
          <cell r="BS171" t="str">
            <v>On Time</v>
          </cell>
          <cell r="BT171" t="str">
            <v>On Time</v>
          </cell>
          <cell r="BU171" t="str">
            <v>On Time</v>
          </cell>
          <cell r="BV171">
            <v>2543000</v>
          </cell>
          <cell r="BW171">
            <v>136662</v>
          </cell>
          <cell r="BX171">
            <v>18.607952466669595</v>
          </cell>
          <cell r="BY171">
            <v>1088944</v>
          </cell>
          <cell r="BZ171">
            <v>136662</v>
          </cell>
          <cell r="CA171">
            <v>7.9681550101710794</v>
          </cell>
          <cell r="CB171">
            <v>10150000</v>
          </cell>
          <cell r="CC171">
            <v>48179</v>
          </cell>
          <cell r="CD171">
            <v>210.67269972394612</v>
          </cell>
          <cell r="CE171">
            <v>7993047</v>
          </cell>
          <cell r="CF171">
            <v>110812</v>
          </cell>
          <cell r="CG171">
            <v>72.131601270620507</v>
          </cell>
          <cell r="CH171">
            <v>33122890</v>
          </cell>
          <cell r="CI171">
            <v>136662</v>
          </cell>
          <cell r="CJ171">
            <v>242.37088583512607</v>
          </cell>
          <cell r="CK171">
            <v>27737480</v>
          </cell>
          <cell r="CL171">
            <v>136662</v>
          </cell>
          <cell r="CM171">
            <v>202.96410121321216</v>
          </cell>
          <cell r="CN171" t="str">
            <v>N/A</v>
          </cell>
          <cell r="CO171" t="str">
            <v>N/A</v>
          </cell>
          <cell r="CP171" t="str">
            <v>N/A</v>
          </cell>
          <cell r="CQ171" t="str">
            <v>N/A</v>
          </cell>
          <cell r="CR171">
            <v>2092</v>
          </cell>
          <cell r="CS171">
            <v>184096</v>
          </cell>
          <cell r="CT171">
            <v>2092</v>
          </cell>
          <cell r="CU171">
            <v>88</v>
          </cell>
          <cell r="CV171">
            <v>57</v>
          </cell>
          <cell r="CW171">
            <v>1607000</v>
          </cell>
          <cell r="CX171">
            <v>4292000</v>
          </cell>
          <cell r="CY171">
            <v>0.37441752096924513</v>
          </cell>
          <cell r="CZ171">
            <v>2852000</v>
          </cell>
          <cell r="DA171">
            <v>136662</v>
          </cell>
          <cell r="DB171">
            <v>20.869005283107228</v>
          </cell>
          <cell r="DC171">
            <v>5242000</v>
          </cell>
          <cell r="DD171">
            <v>136662</v>
          </cell>
          <cell r="DE171">
            <v>38.357407326103818</v>
          </cell>
          <cell r="DF171">
            <v>5442000</v>
          </cell>
          <cell r="DG171">
            <v>136662</v>
          </cell>
          <cell r="DH171">
            <v>39.82087193221232</v>
          </cell>
          <cell r="DI171">
            <v>149.6</v>
          </cell>
          <cell r="DJ171">
            <v>913.51604278074865</v>
          </cell>
          <cell r="DK171">
            <v>1.0898148148148148E-2</v>
          </cell>
          <cell r="DL171">
            <v>0.37</v>
          </cell>
          <cell r="DM171">
            <v>13.19</v>
          </cell>
        </row>
        <row r="172">
          <cell r="B172" t="str">
            <v>Waverley Council</v>
          </cell>
          <cell r="C172">
            <v>2</v>
          </cell>
          <cell r="D172">
            <v>13359000</v>
          </cell>
          <cell r="E172">
            <v>25520</v>
          </cell>
          <cell r="F172">
            <v>523.47178683385584</v>
          </cell>
          <cell r="G172">
            <v>0</v>
          </cell>
          <cell r="H172">
            <v>0</v>
          </cell>
          <cell r="I172" t="str">
            <v>N/A</v>
          </cell>
          <cell r="J172">
            <v>4733000</v>
          </cell>
          <cell r="K172">
            <v>1388</v>
          </cell>
          <cell r="L172">
            <v>3409.9423631123918</v>
          </cell>
          <cell r="M172">
            <v>1625000</v>
          </cell>
          <cell r="N172">
            <v>40503000</v>
          </cell>
          <cell r="O172">
            <v>4.0120484902352913E-2</v>
          </cell>
          <cell r="P172">
            <v>1880000</v>
          </cell>
          <cell r="Q172">
            <v>24593000</v>
          </cell>
          <cell r="R172">
            <v>7.6444516732403531E-2</v>
          </cell>
          <cell r="S172">
            <v>2542000</v>
          </cell>
          <cell r="T172">
            <v>11488000</v>
          </cell>
          <cell r="U172">
            <v>0.22127437325905291</v>
          </cell>
          <cell r="V172">
            <v>26473000</v>
          </cell>
          <cell r="W172">
            <v>53089000</v>
          </cell>
          <cell r="X172">
            <v>0.49865320499538512</v>
          </cell>
          <cell r="Y172">
            <v>14030000</v>
          </cell>
          <cell r="Z172">
            <v>53089000</v>
          </cell>
          <cell r="AA172">
            <v>0.26427320160485224</v>
          </cell>
          <cell r="AB172">
            <v>1170000</v>
          </cell>
          <cell r="AC172">
            <v>53089000</v>
          </cell>
          <cell r="AD172">
            <v>2.2038463711880049E-2</v>
          </cell>
          <cell r="AE172">
            <v>4745000</v>
          </cell>
          <cell r="AF172">
            <v>53089000</v>
          </cell>
          <cell r="AG172">
            <v>8.9378213942624643E-2</v>
          </cell>
          <cell r="AH172">
            <v>2362000</v>
          </cell>
          <cell r="AI172">
            <v>53089000</v>
          </cell>
          <cell r="AJ172">
            <v>4.449132588671853E-2</v>
          </cell>
          <cell r="AK172">
            <v>4309000</v>
          </cell>
          <cell r="AL172">
            <v>53089000</v>
          </cell>
          <cell r="AM172">
            <v>8.116558985853943E-2</v>
          </cell>
          <cell r="AN172">
            <v>51012000</v>
          </cell>
          <cell r="AO172">
            <v>63741</v>
          </cell>
          <cell r="AP172">
            <v>800.30121899562289</v>
          </cell>
          <cell r="AQ172">
            <v>24913000</v>
          </cell>
          <cell r="AR172">
            <v>47277000</v>
          </cell>
          <cell r="AS172">
            <v>0.52695814032193244</v>
          </cell>
          <cell r="AT172">
            <v>6533000</v>
          </cell>
          <cell r="AU172">
            <v>47277000</v>
          </cell>
          <cell r="AV172">
            <v>0.13818558707193773</v>
          </cell>
          <cell r="AW172">
            <v>696000</v>
          </cell>
          <cell r="AX172">
            <v>47277000</v>
          </cell>
          <cell r="AY172">
            <v>1.4721746303699473E-2</v>
          </cell>
          <cell r="AZ172">
            <v>6043000</v>
          </cell>
          <cell r="BA172">
            <v>47277000</v>
          </cell>
          <cell r="BB172">
            <v>0.12782113924318378</v>
          </cell>
          <cell r="BC172">
            <v>9092000</v>
          </cell>
          <cell r="BD172">
            <v>47277000</v>
          </cell>
          <cell r="BE172">
            <v>0.19231338705924655</v>
          </cell>
          <cell r="BF172">
            <v>49142000</v>
          </cell>
          <cell r="BG172">
            <v>63741</v>
          </cell>
          <cell r="BH172">
            <v>770.96374390109975</v>
          </cell>
          <cell r="BI172">
            <v>21002000</v>
          </cell>
          <cell r="BJ172">
            <v>8479000</v>
          </cell>
          <cell r="BK172">
            <v>2.4769430357353461</v>
          </cell>
          <cell r="BL172">
            <v>2106000</v>
          </cell>
          <cell r="BM172">
            <v>48097000</v>
          </cell>
          <cell r="BN172">
            <v>4.3786514751439798E-2</v>
          </cell>
          <cell r="BO172">
            <v>4539000</v>
          </cell>
          <cell r="BP172">
            <v>6043000</v>
          </cell>
          <cell r="BQ172">
            <v>0.75111699487009764</v>
          </cell>
          <cell r="BR172">
            <v>434</v>
          </cell>
          <cell r="BS172" t="str">
            <v>On Time</v>
          </cell>
          <cell r="BT172" t="str">
            <v>On Time</v>
          </cell>
          <cell r="BU172" t="str">
            <v>On Time</v>
          </cell>
          <cell r="BV172">
            <v>3559000</v>
          </cell>
          <cell r="BW172">
            <v>63741</v>
          </cell>
          <cell r="BX172">
            <v>55.835333615726142</v>
          </cell>
          <cell r="BY172">
            <v>658267</v>
          </cell>
          <cell r="BZ172">
            <v>63741</v>
          </cell>
          <cell r="CA172">
            <v>10.327214822484743</v>
          </cell>
          <cell r="CB172">
            <v>7981000</v>
          </cell>
          <cell r="CC172">
            <v>25117</v>
          </cell>
          <cell r="CD172">
            <v>317.75291635147511</v>
          </cell>
          <cell r="CE172">
            <v>5494432</v>
          </cell>
          <cell r="CF172">
            <v>25868</v>
          </cell>
          <cell r="CG172">
            <v>212.40265965671873</v>
          </cell>
          <cell r="CH172">
            <v>8285000</v>
          </cell>
          <cell r="CI172">
            <v>63741</v>
          </cell>
          <cell r="CJ172">
            <v>129.97913430915736</v>
          </cell>
          <cell r="CK172">
            <v>18373100</v>
          </cell>
          <cell r="CL172">
            <v>63741</v>
          </cell>
          <cell r="CM172">
            <v>288.24618377496432</v>
          </cell>
          <cell r="CN172" t="str">
            <v>N/A</v>
          </cell>
          <cell r="CO172" t="str">
            <v>N/A</v>
          </cell>
          <cell r="CP172" t="str">
            <v>N/A</v>
          </cell>
          <cell r="CQ172" t="str">
            <v>N/A</v>
          </cell>
          <cell r="CR172">
            <v>929</v>
          </cell>
          <cell r="CS172">
            <v>79266</v>
          </cell>
          <cell r="CT172">
            <v>929</v>
          </cell>
          <cell r="CU172">
            <v>85.32400430570506</v>
          </cell>
          <cell r="CV172">
            <v>70</v>
          </cell>
          <cell r="CW172">
            <v>50000</v>
          </cell>
          <cell r="CX172">
            <v>1700000</v>
          </cell>
          <cell r="CY172">
            <v>2.9411764705882353E-2</v>
          </cell>
          <cell r="CZ172">
            <v>1158000</v>
          </cell>
          <cell r="DA172">
            <v>63741</v>
          </cell>
          <cell r="DB172">
            <v>18.167270673506849</v>
          </cell>
          <cell r="DC172">
            <v>4858000</v>
          </cell>
          <cell r="DD172">
            <v>63741</v>
          </cell>
          <cell r="DE172">
            <v>76.214681288338753</v>
          </cell>
          <cell r="DF172">
            <v>4993000</v>
          </cell>
          <cell r="DG172">
            <v>63741</v>
          </cell>
          <cell r="DH172">
            <v>78.33262735131234</v>
          </cell>
          <cell r="DI172">
            <v>9.1999999999999993</v>
          </cell>
          <cell r="DJ172">
            <v>6928.3695652173919</v>
          </cell>
          <cell r="DK172">
            <v>1.1764119601328903E-2</v>
          </cell>
          <cell r="DL172">
            <v>0.39</v>
          </cell>
          <cell r="DM172">
            <v>23.84</v>
          </cell>
        </row>
        <row r="173">
          <cell r="B173" t="str">
            <v>Weddin Shire Council</v>
          </cell>
          <cell r="C173">
            <v>9</v>
          </cell>
          <cell r="D173">
            <v>284000</v>
          </cell>
          <cell r="E173">
            <v>1192</v>
          </cell>
          <cell r="F173">
            <v>238.25503355704697</v>
          </cell>
          <cell r="G173">
            <v>817000</v>
          </cell>
          <cell r="H173">
            <v>1080</v>
          </cell>
          <cell r="I173">
            <v>756.48148148148152</v>
          </cell>
          <cell r="J173">
            <v>90000</v>
          </cell>
          <cell r="K173">
            <v>131</v>
          </cell>
          <cell r="L173">
            <v>687.02290076335873</v>
          </cell>
          <cell r="M173">
            <v>131000</v>
          </cell>
          <cell r="N173">
            <v>2843000</v>
          </cell>
          <cell r="O173">
            <v>4.607808652831516E-2</v>
          </cell>
          <cell r="P173">
            <v>57000</v>
          </cell>
          <cell r="Q173">
            <v>1391000</v>
          </cell>
          <cell r="R173">
            <v>4.0977713874910136E-2</v>
          </cell>
          <cell r="S173">
            <v>370000</v>
          </cell>
          <cell r="T173">
            <v>1025000</v>
          </cell>
          <cell r="U173">
            <v>0.36097560975609755</v>
          </cell>
          <cell r="V173">
            <v>1448000</v>
          </cell>
          <cell r="W173">
            <v>6781000</v>
          </cell>
          <cell r="X173">
            <v>0.21353782627930984</v>
          </cell>
          <cell r="Y173">
            <v>1395000</v>
          </cell>
          <cell r="Z173">
            <v>6781000</v>
          </cell>
          <cell r="AA173">
            <v>0.20572186993068869</v>
          </cell>
          <cell r="AB173">
            <v>204000</v>
          </cell>
          <cell r="AC173">
            <v>6781000</v>
          </cell>
          <cell r="AD173">
            <v>3.0084058398466302E-2</v>
          </cell>
          <cell r="AE173">
            <v>2955000</v>
          </cell>
          <cell r="AF173">
            <v>6781000</v>
          </cell>
          <cell r="AG173">
            <v>0.43577643415425454</v>
          </cell>
          <cell r="AH173">
            <v>750000</v>
          </cell>
          <cell r="AI173">
            <v>6781000</v>
          </cell>
          <cell r="AJ173">
            <v>0.11060315587671435</v>
          </cell>
          <cell r="AK173">
            <v>29000</v>
          </cell>
          <cell r="AL173">
            <v>6781000</v>
          </cell>
          <cell r="AM173">
            <v>4.2766553605662885E-3</v>
          </cell>
          <cell r="AN173">
            <v>5739000</v>
          </cell>
          <cell r="AO173">
            <v>3856</v>
          </cell>
          <cell r="AP173">
            <v>1488.3298755186722</v>
          </cell>
          <cell r="AQ173">
            <v>2365000</v>
          </cell>
          <cell r="AR173">
            <v>6797000</v>
          </cell>
          <cell r="AS173">
            <v>0.34794762395174339</v>
          </cell>
          <cell r="AT173">
            <v>1858000</v>
          </cell>
          <cell r="AU173">
            <v>6797000</v>
          </cell>
          <cell r="AV173">
            <v>0.27335589230542884</v>
          </cell>
          <cell r="AW173">
            <v>0</v>
          </cell>
          <cell r="AX173">
            <v>6797000</v>
          </cell>
          <cell r="AY173">
            <v>0</v>
          </cell>
          <cell r="AZ173">
            <v>2117000</v>
          </cell>
          <cell r="BA173">
            <v>6797000</v>
          </cell>
          <cell r="BB173">
            <v>0.31146093864940416</v>
          </cell>
          <cell r="BC173">
            <v>457000</v>
          </cell>
          <cell r="BD173">
            <v>6797000</v>
          </cell>
          <cell r="BE173">
            <v>6.7235545093423568E-2</v>
          </cell>
          <cell r="BF173">
            <v>6535000</v>
          </cell>
          <cell r="BG173">
            <v>3856</v>
          </cell>
          <cell r="BH173">
            <v>1694.7614107883817</v>
          </cell>
          <cell r="BI173">
            <v>4440000</v>
          </cell>
          <cell r="BJ173">
            <v>674000</v>
          </cell>
          <cell r="BK173">
            <v>6.5875370919881302</v>
          </cell>
          <cell r="BL173">
            <v>0</v>
          </cell>
          <cell r="BM173">
            <v>4707000</v>
          </cell>
          <cell r="BN173">
            <v>0</v>
          </cell>
          <cell r="BO173">
            <v>1404000</v>
          </cell>
          <cell r="BP173">
            <v>1987000</v>
          </cell>
          <cell r="BQ173">
            <v>0.70659285354806245</v>
          </cell>
          <cell r="BR173">
            <v>71</v>
          </cell>
          <cell r="BS173" t="str">
            <v>On Time</v>
          </cell>
          <cell r="BT173" t="str">
            <v>On Time</v>
          </cell>
          <cell r="BU173" t="str">
            <v>On Time</v>
          </cell>
          <cell r="BV173">
            <v>156000</v>
          </cell>
          <cell r="BW173">
            <v>3856</v>
          </cell>
          <cell r="BX173">
            <v>40.456431535269708</v>
          </cell>
          <cell r="BY173">
            <v>23140</v>
          </cell>
          <cell r="BZ173">
            <v>3856</v>
          </cell>
          <cell r="CA173">
            <v>6.0010373443983402</v>
          </cell>
          <cell r="CB173">
            <v>132000</v>
          </cell>
          <cell r="CC173">
            <v>950</v>
          </cell>
          <cell r="CD173">
            <v>138.94736842105263</v>
          </cell>
          <cell r="CE173">
            <v>118000</v>
          </cell>
          <cell r="CF173">
            <v>964</v>
          </cell>
          <cell r="CG173">
            <v>122.40663900414938</v>
          </cell>
          <cell r="CH173">
            <v>620000</v>
          </cell>
          <cell r="CI173">
            <v>3856</v>
          </cell>
          <cell r="CJ173">
            <v>160.78838174273858</v>
          </cell>
          <cell r="CK173">
            <v>610000</v>
          </cell>
          <cell r="CL173">
            <v>3856</v>
          </cell>
          <cell r="CM173">
            <v>158.19502074688796</v>
          </cell>
          <cell r="CN173" t="str">
            <v>N/A</v>
          </cell>
          <cell r="CO173" t="str">
            <v>N/A</v>
          </cell>
          <cell r="CP173">
            <v>113.257940922012</v>
          </cell>
          <cell r="CQ173">
            <v>281.91489361702099</v>
          </cell>
          <cell r="CR173">
            <v>93</v>
          </cell>
          <cell r="CS173">
            <v>1662</v>
          </cell>
          <cell r="CT173">
            <v>93</v>
          </cell>
          <cell r="CU173">
            <v>17.870967741935484</v>
          </cell>
          <cell r="CV173">
            <v>11</v>
          </cell>
          <cell r="CW173">
            <v>0</v>
          </cell>
          <cell r="CX173">
            <v>59000</v>
          </cell>
          <cell r="CY173">
            <v>0</v>
          </cell>
          <cell r="CZ173">
            <v>152000</v>
          </cell>
          <cell r="DA173">
            <v>3856</v>
          </cell>
          <cell r="DB173">
            <v>39.419087136929463</v>
          </cell>
          <cell r="DC173">
            <v>339000</v>
          </cell>
          <cell r="DD173">
            <v>3856</v>
          </cell>
          <cell r="DE173">
            <v>87.914937759336098</v>
          </cell>
          <cell r="DF173">
            <v>49000</v>
          </cell>
          <cell r="DG173">
            <v>3856</v>
          </cell>
          <cell r="DH173">
            <v>12.707468879668049</v>
          </cell>
          <cell r="DI173">
            <v>3409.7</v>
          </cell>
          <cell r="DJ173">
            <v>1.130891280757838</v>
          </cell>
          <cell r="DK173">
            <v>-1.9391100702576113E-2</v>
          </cell>
          <cell r="DL173">
            <v>0.92</v>
          </cell>
          <cell r="DM173">
            <v>1.56</v>
          </cell>
        </row>
        <row r="174">
          <cell r="B174" t="str">
            <v>Wellington Council</v>
          </cell>
          <cell r="C174">
            <v>10</v>
          </cell>
          <cell r="D174">
            <v>1094000</v>
          </cell>
          <cell r="E174">
            <v>2896</v>
          </cell>
          <cell r="F174">
            <v>377.76243093922653</v>
          </cell>
          <cell r="G174">
            <v>2217000</v>
          </cell>
          <cell r="H174">
            <v>1141</v>
          </cell>
          <cell r="I174">
            <v>1943.0324276950043</v>
          </cell>
          <cell r="J174">
            <v>163000</v>
          </cell>
          <cell r="K174">
            <v>278</v>
          </cell>
          <cell r="L174">
            <v>586.33093525179856</v>
          </cell>
          <cell r="M174">
            <v>440000</v>
          </cell>
          <cell r="N174">
            <v>8475000</v>
          </cell>
          <cell r="O174">
            <v>5.191740412979351E-2</v>
          </cell>
          <cell r="P174">
            <v>-27000</v>
          </cell>
          <cell r="Q174">
            <v>5782000</v>
          </cell>
          <cell r="R174">
            <v>-4.6696644759598753E-3</v>
          </cell>
          <cell r="S174">
            <v>562000</v>
          </cell>
          <cell r="T174">
            <v>2158000</v>
          </cell>
          <cell r="U174">
            <v>0.26042632066728455</v>
          </cell>
          <cell r="V174">
            <v>5755000</v>
          </cell>
          <cell r="W174">
            <v>14380000</v>
          </cell>
          <cell r="X174">
            <v>0.40020862308762167</v>
          </cell>
          <cell r="Y174">
            <v>2720000</v>
          </cell>
          <cell r="Z174">
            <v>14380000</v>
          </cell>
          <cell r="AA174">
            <v>0.18915159944367177</v>
          </cell>
          <cell r="AB174">
            <v>330000</v>
          </cell>
          <cell r="AC174">
            <v>14380000</v>
          </cell>
          <cell r="AD174">
            <v>2.294853963838665E-2</v>
          </cell>
          <cell r="AE174">
            <v>3830000</v>
          </cell>
          <cell r="AF174">
            <v>14380000</v>
          </cell>
          <cell r="AG174">
            <v>0.26634214186369959</v>
          </cell>
          <cell r="AH174">
            <v>1353000</v>
          </cell>
          <cell r="AI174">
            <v>14380000</v>
          </cell>
          <cell r="AJ174">
            <v>9.4089012517385259E-2</v>
          </cell>
          <cell r="AK174">
            <v>392000</v>
          </cell>
          <cell r="AL174">
            <v>14380000</v>
          </cell>
          <cell r="AM174">
            <v>2.7260083449235049E-2</v>
          </cell>
          <cell r="AN174">
            <v>10861000</v>
          </cell>
          <cell r="AO174">
            <v>8835</v>
          </cell>
          <cell r="AP174">
            <v>1229.3152235427278</v>
          </cell>
          <cell r="AQ174">
            <v>5776000</v>
          </cell>
          <cell r="AR174">
            <v>14996000</v>
          </cell>
          <cell r="AS174">
            <v>0.38516937850093358</v>
          </cell>
          <cell r="AT174">
            <v>3234000</v>
          </cell>
          <cell r="AU174">
            <v>14996000</v>
          </cell>
          <cell r="AV174">
            <v>0.2156575086689784</v>
          </cell>
          <cell r="AW174">
            <v>273000</v>
          </cell>
          <cell r="AX174">
            <v>14996000</v>
          </cell>
          <cell r="AY174">
            <v>1.8204854627900773E-2</v>
          </cell>
          <cell r="AZ174">
            <v>4426000</v>
          </cell>
          <cell r="BA174">
            <v>14996000</v>
          </cell>
          <cell r="BB174">
            <v>0.29514537209922648</v>
          </cell>
          <cell r="BC174">
            <v>1287000</v>
          </cell>
          <cell r="BD174">
            <v>14996000</v>
          </cell>
          <cell r="BE174">
            <v>8.5822886102960794E-2</v>
          </cell>
          <cell r="BF174">
            <v>12606000</v>
          </cell>
          <cell r="BG174">
            <v>8835</v>
          </cell>
          <cell r="BH174">
            <v>1426.8251273344652</v>
          </cell>
          <cell r="BI174">
            <v>3406000</v>
          </cell>
          <cell r="BJ174">
            <v>1616000</v>
          </cell>
          <cell r="BK174">
            <v>2.1076732673267329</v>
          </cell>
          <cell r="BL174">
            <v>956000</v>
          </cell>
          <cell r="BM174">
            <v>11630000</v>
          </cell>
          <cell r="BN174">
            <v>8.2201203783319007E-2</v>
          </cell>
          <cell r="BO174">
            <v>1507000</v>
          </cell>
          <cell r="BP174">
            <v>3836000</v>
          </cell>
          <cell r="BQ174">
            <v>0.39285714285714285</v>
          </cell>
          <cell r="BR174">
            <v>137.97</v>
          </cell>
          <cell r="BS174" t="str">
            <v>On Time</v>
          </cell>
          <cell r="BT174" t="str">
            <v>Not Received</v>
          </cell>
          <cell r="BU174" t="str">
            <v>On Time</v>
          </cell>
          <cell r="BV174">
            <v>184000</v>
          </cell>
          <cell r="BW174">
            <v>8835</v>
          </cell>
          <cell r="BX174">
            <v>20.826259196378043</v>
          </cell>
          <cell r="BY174">
            <v>38084</v>
          </cell>
          <cell r="BZ174">
            <v>8835</v>
          </cell>
          <cell r="CA174">
            <v>4.3105829088851157</v>
          </cell>
          <cell r="CB174">
            <v>343000</v>
          </cell>
          <cell r="CC174">
            <v>2390</v>
          </cell>
          <cell r="CD174">
            <v>143.51464435146443</v>
          </cell>
          <cell r="CE174">
            <v>155005</v>
          </cell>
          <cell r="CF174">
            <v>2390</v>
          </cell>
          <cell r="CG174">
            <v>64.855648535564853</v>
          </cell>
          <cell r="CI174">
            <v>8835</v>
          </cell>
          <cell r="CJ174" t="str">
            <v>N/A</v>
          </cell>
          <cell r="CK174">
            <v>2184000</v>
          </cell>
          <cell r="CL174">
            <v>8835</v>
          </cell>
          <cell r="CM174">
            <v>247.19864176570459</v>
          </cell>
          <cell r="CN174">
            <v>620.46059183868397</v>
          </cell>
          <cell r="CO174">
            <v>512.87250637384295</v>
          </cell>
          <cell r="CP174">
            <v>489.22562152772298</v>
          </cell>
          <cell r="CQ174">
            <v>416.58341658341698</v>
          </cell>
          <cell r="CR174">
            <v>145</v>
          </cell>
          <cell r="CS174">
            <v>1793</v>
          </cell>
          <cell r="CT174">
            <v>145</v>
          </cell>
          <cell r="CU174">
            <v>12.36551724137931</v>
          </cell>
          <cell r="CV174">
            <v>7</v>
          </cell>
          <cell r="CW174">
            <v>1000</v>
          </cell>
          <cell r="CX174">
            <v>276000</v>
          </cell>
          <cell r="CY174">
            <v>3.6231884057971015E-3</v>
          </cell>
          <cell r="CZ174">
            <v>261000</v>
          </cell>
          <cell r="DA174">
            <v>8835</v>
          </cell>
          <cell r="DB174">
            <v>29.541595925297113</v>
          </cell>
          <cell r="DC174">
            <v>1005000</v>
          </cell>
          <cell r="DD174">
            <v>8835</v>
          </cell>
          <cell r="DE174">
            <v>113.75212224108658</v>
          </cell>
          <cell r="DF174">
            <v>168000</v>
          </cell>
          <cell r="DG174">
            <v>8835</v>
          </cell>
          <cell r="DH174">
            <v>19.015280135823428</v>
          </cell>
          <cell r="DI174">
            <v>4113.1000000000004</v>
          </cell>
          <cell r="DJ174">
            <v>2.148014879288128</v>
          </cell>
          <cell r="DK174">
            <v>-1.3804004214963118E-2</v>
          </cell>
          <cell r="DL174">
            <v>11.85</v>
          </cell>
          <cell r="DM174">
            <v>1.94</v>
          </cell>
        </row>
        <row r="175">
          <cell r="B175" t="str">
            <v>Wentworth Shire Council</v>
          </cell>
          <cell r="C175">
            <v>10</v>
          </cell>
          <cell r="D175">
            <v>652000</v>
          </cell>
          <cell r="E175">
            <v>1926</v>
          </cell>
          <cell r="F175">
            <v>338.52544132917967</v>
          </cell>
          <cell r="G175">
            <v>966000</v>
          </cell>
          <cell r="H175">
            <v>889</v>
          </cell>
          <cell r="I175">
            <v>1086.6141732283465</v>
          </cell>
          <cell r="J175">
            <v>195000</v>
          </cell>
          <cell r="K175">
            <v>183</v>
          </cell>
          <cell r="L175">
            <v>1065.5737704918033</v>
          </cell>
          <cell r="M175">
            <v>744000</v>
          </cell>
          <cell r="N175">
            <v>6305000</v>
          </cell>
          <cell r="O175">
            <v>0.11800158604282315</v>
          </cell>
          <cell r="P175">
            <v>151000</v>
          </cell>
          <cell r="Q175">
            <v>3394000</v>
          </cell>
          <cell r="R175">
            <v>4.4490276959340012E-2</v>
          </cell>
          <cell r="S175">
            <v>346000</v>
          </cell>
          <cell r="T175">
            <v>2414000</v>
          </cell>
          <cell r="U175">
            <v>0.14333057166528584</v>
          </cell>
          <cell r="V175">
            <v>3545000</v>
          </cell>
          <cell r="W175">
            <v>13232000</v>
          </cell>
          <cell r="X175">
            <v>0.2679111245465538</v>
          </cell>
          <cell r="Y175">
            <v>2760000</v>
          </cell>
          <cell r="Z175">
            <v>13232000</v>
          </cell>
          <cell r="AA175">
            <v>0.20858524788391777</v>
          </cell>
          <cell r="AB175">
            <v>204000</v>
          </cell>
          <cell r="AC175">
            <v>13232000</v>
          </cell>
          <cell r="AD175">
            <v>1.5417170495767836E-2</v>
          </cell>
          <cell r="AE175">
            <v>4142000</v>
          </cell>
          <cell r="AF175">
            <v>13232000</v>
          </cell>
          <cell r="AG175">
            <v>0.31302902055622733</v>
          </cell>
          <cell r="AH175">
            <v>2523000</v>
          </cell>
          <cell r="AI175">
            <v>13232000</v>
          </cell>
          <cell r="AJ175">
            <v>0.19067412333736397</v>
          </cell>
          <cell r="AK175">
            <v>58000</v>
          </cell>
          <cell r="AL175">
            <v>13232000</v>
          </cell>
          <cell r="AM175">
            <v>4.3833131801692864E-3</v>
          </cell>
          <cell r="AN175">
            <v>11726000</v>
          </cell>
          <cell r="AO175">
            <v>7078</v>
          </cell>
          <cell r="AP175">
            <v>1656.6826787228031</v>
          </cell>
          <cell r="AQ175">
            <v>1653000</v>
          </cell>
          <cell r="AR175">
            <v>12745000</v>
          </cell>
          <cell r="AS175">
            <v>0.12969792075323655</v>
          </cell>
          <cell r="AT175">
            <v>6531000</v>
          </cell>
          <cell r="AU175">
            <v>12745000</v>
          </cell>
          <cell r="AV175">
            <v>0.51243624950961164</v>
          </cell>
          <cell r="AW175">
            <v>447000</v>
          </cell>
          <cell r="AX175">
            <v>12745000</v>
          </cell>
          <cell r="AY175">
            <v>3.507257748136524E-2</v>
          </cell>
          <cell r="AZ175">
            <v>2763000</v>
          </cell>
          <cell r="BA175">
            <v>12745000</v>
          </cell>
          <cell r="BB175">
            <v>0.2167908983915261</v>
          </cell>
          <cell r="BC175">
            <v>1351000</v>
          </cell>
          <cell r="BD175">
            <v>12745000</v>
          </cell>
          <cell r="BE175">
            <v>0.10600235386426049</v>
          </cell>
          <cell r="BF175">
            <v>10782000</v>
          </cell>
          <cell r="BG175">
            <v>7078</v>
          </cell>
          <cell r="BH175">
            <v>1523.3116699632665</v>
          </cell>
          <cell r="BI175">
            <v>2675000</v>
          </cell>
          <cell r="BJ175">
            <v>1681000</v>
          </cell>
          <cell r="BK175">
            <v>1.5913146936347413</v>
          </cell>
          <cell r="BL175">
            <v>829000</v>
          </cell>
          <cell r="BM175">
            <v>9883000</v>
          </cell>
          <cell r="BN175">
            <v>8.3881412526560756E-2</v>
          </cell>
          <cell r="BO175">
            <v>4344000</v>
          </cell>
          <cell r="BP175">
            <v>2170000</v>
          </cell>
          <cell r="BQ175">
            <v>2.0018433179723503</v>
          </cell>
          <cell r="BR175">
            <v>85.4</v>
          </cell>
          <cell r="BS175" t="str">
            <v>&lt;=8</v>
          </cell>
          <cell r="BT175" t="str">
            <v>&lt;=8</v>
          </cell>
          <cell r="BU175" t="str">
            <v>On Time</v>
          </cell>
          <cell r="BV175">
            <v>488000</v>
          </cell>
          <cell r="BW175">
            <v>7078</v>
          </cell>
          <cell r="BX175">
            <v>68.946029951963837</v>
          </cell>
          <cell r="BY175">
            <v>42246</v>
          </cell>
          <cell r="BZ175">
            <v>7078</v>
          </cell>
          <cell r="CA175">
            <v>5.9686352076857867</v>
          </cell>
          <cell r="CB175">
            <v>333000</v>
          </cell>
          <cell r="CC175">
            <v>1612</v>
          </cell>
          <cell r="CD175">
            <v>206.575682382134</v>
          </cell>
          <cell r="CE175">
            <v>257802</v>
          </cell>
          <cell r="CF175">
            <v>2344</v>
          </cell>
          <cell r="CG175">
            <v>109.98378839590444</v>
          </cell>
          <cell r="CI175">
            <v>7078</v>
          </cell>
          <cell r="CJ175" t="str">
            <v>N/A</v>
          </cell>
          <cell r="CK175">
            <v>1305000</v>
          </cell>
          <cell r="CL175">
            <v>7078</v>
          </cell>
          <cell r="CM175">
            <v>184.37411698219836</v>
          </cell>
          <cell r="CN175">
            <v>577.47154343837599</v>
          </cell>
          <cell r="CO175">
            <v>726.31578947368405</v>
          </cell>
          <cell r="CP175">
            <v>365.48889152904798</v>
          </cell>
          <cell r="CQ175">
            <v>383.85964912280701</v>
          </cell>
          <cell r="CR175">
            <v>219</v>
          </cell>
          <cell r="CS175">
            <v>4269</v>
          </cell>
          <cell r="CT175">
            <v>219</v>
          </cell>
          <cell r="CU175">
            <v>19.493150684931507</v>
          </cell>
          <cell r="CV175">
            <v>21</v>
          </cell>
          <cell r="CW175">
            <v>10000</v>
          </cell>
          <cell r="CX175">
            <v>374000</v>
          </cell>
          <cell r="CY175">
            <v>2.6737967914438502E-2</v>
          </cell>
          <cell r="CZ175">
            <v>349000</v>
          </cell>
          <cell r="DA175">
            <v>7078</v>
          </cell>
          <cell r="DB175">
            <v>49.307714043515119</v>
          </cell>
          <cell r="DC175">
            <v>880000</v>
          </cell>
          <cell r="DD175">
            <v>7078</v>
          </cell>
          <cell r="DE175">
            <v>124.32890647075445</v>
          </cell>
          <cell r="DF175">
            <v>38000</v>
          </cell>
          <cell r="DG175">
            <v>7078</v>
          </cell>
          <cell r="DH175">
            <v>5.3687482339643964</v>
          </cell>
          <cell r="DI175">
            <v>26273</v>
          </cell>
          <cell r="DJ175">
            <v>0.26940204772960835</v>
          </cell>
          <cell r="DK175">
            <v>-5.8161865569272978E-3</v>
          </cell>
          <cell r="DL175">
            <v>11.59</v>
          </cell>
          <cell r="DM175">
            <v>3.24</v>
          </cell>
        </row>
        <row r="176">
          <cell r="B176" t="str">
            <v>Willoughby City Council</v>
          </cell>
          <cell r="C176">
            <v>2</v>
          </cell>
          <cell r="D176">
            <v>12932000</v>
          </cell>
          <cell r="E176">
            <v>24767</v>
          </cell>
          <cell r="F176">
            <v>522.14640448984539</v>
          </cell>
          <cell r="G176">
            <v>0</v>
          </cell>
          <cell r="H176">
            <v>0</v>
          </cell>
          <cell r="I176" t="str">
            <v>N/A</v>
          </cell>
          <cell r="J176">
            <v>10066000</v>
          </cell>
          <cell r="K176">
            <v>2395</v>
          </cell>
          <cell r="L176">
            <v>4202.9227557411277</v>
          </cell>
          <cell r="M176">
            <v>2243000</v>
          </cell>
          <cell r="N176">
            <v>40324000</v>
          </cell>
          <cell r="O176">
            <v>5.562444201964091E-2</v>
          </cell>
          <cell r="P176">
            <v>1413000</v>
          </cell>
          <cell r="Q176">
            <v>27043000</v>
          </cell>
          <cell r="R176">
            <v>5.2250120178974228E-2</v>
          </cell>
          <cell r="S176">
            <v>-454000</v>
          </cell>
          <cell r="T176">
            <v>12322000</v>
          </cell>
          <cell r="U176">
            <v>-3.6844668073364714E-2</v>
          </cell>
          <cell r="V176">
            <v>28456000</v>
          </cell>
          <cell r="W176">
            <v>54839000</v>
          </cell>
          <cell r="X176">
            <v>0.51890078228997616</v>
          </cell>
          <cell r="Y176">
            <v>11868000</v>
          </cell>
          <cell r="Z176">
            <v>54839000</v>
          </cell>
          <cell r="AA176">
            <v>0.21641532486004486</v>
          </cell>
          <cell r="AB176">
            <v>1178000</v>
          </cell>
          <cell r="AC176">
            <v>54839000</v>
          </cell>
          <cell r="AD176">
            <v>2.1481062747314868E-2</v>
          </cell>
          <cell r="AE176">
            <v>2498000</v>
          </cell>
          <cell r="AF176">
            <v>54839000</v>
          </cell>
          <cell r="AG176">
            <v>4.5551523550757672E-2</v>
          </cell>
          <cell r="AH176">
            <v>9725000</v>
          </cell>
          <cell r="AI176">
            <v>54839000</v>
          </cell>
          <cell r="AJ176">
            <v>0.17733729644960702</v>
          </cell>
          <cell r="AK176">
            <v>1114000</v>
          </cell>
          <cell r="AL176">
            <v>54839000</v>
          </cell>
          <cell r="AM176">
            <v>2.0314010102299457E-2</v>
          </cell>
          <cell r="AN176">
            <v>46057000</v>
          </cell>
          <cell r="AO176">
            <v>62213</v>
          </cell>
          <cell r="AP176">
            <v>740.31151045601405</v>
          </cell>
          <cell r="AQ176">
            <v>19904000</v>
          </cell>
          <cell r="AR176">
            <v>49441000</v>
          </cell>
          <cell r="AS176">
            <v>0.40258085394712889</v>
          </cell>
          <cell r="AT176">
            <v>13261000</v>
          </cell>
          <cell r="AU176">
            <v>49441000</v>
          </cell>
          <cell r="AV176">
            <v>0.26821868489715012</v>
          </cell>
          <cell r="AW176">
            <v>336000</v>
          </cell>
          <cell r="AX176">
            <v>49441000</v>
          </cell>
          <cell r="AY176">
            <v>6.7959790457312753E-3</v>
          </cell>
          <cell r="AZ176">
            <v>9203000</v>
          </cell>
          <cell r="BA176">
            <v>49441000</v>
          </cell>
          <cell r="BB176">
            <v>0.18614105701745515</v>
          </cell>
          <cell r="BC176">
            <v>6737000</v>
          </cell>
          <cell r="BD176">
            <v>49441000</v>
          </cell>
          <cell r="BE176">
            <v>0.13626342509253453</v>
          </cell>
          <cell r="BF176">
            <v>49531000</v>
          </cell>
          <cell r="BG176">
            <v>62213</v>
          </cell>
          <cell r="BH176">
            <v>796.15192966100335</v>
          </cell>
          <cell r="BI176">
            <v>14108000</v>
          </cell>
          <cell r="BJ176">
            <v>8532000</v>
          </cell>
          <cell r="BK176">
            <v>1.653539615564932</v>
          </cell>
          <cell r="BL176">
            <v>1241000</v>
          </cell>
          <cell r="BM176">
            <v>43982000</v>
          </cell>
          <cell r="BN176">
            <v>2.8216088399799919E-2</v>
          </cell>
          <cell r="BO176">
            <v>9704000</v>
          </cell>
          <cell r="BP176">
            <v>9203000</v>
          </cell>
          <cell r="BQ176">
            <v>1.0544387699663154</v>
          </cell>
          <cell r="BR176">
            <v>387</v>
          </cell>
          <cell r="BS176" t="str">
            <v>On Time</v>
          </cell>
          <cell r="BT176" t="str">
            <v>On Time</v>
          </cell>
          <cell r="BU176" t="str">
            <v>&lt;=4</v>
          </cell>
          <cell r="BV176">
            <v>3215000</v>
          </cell>
          <cell r="BW176">
            <v>62213</v>
          </cell>
          <cell r="BX176">
            <v>51.67730217157186</v>
          </cell>
          <cell r="BY176">
            <v>834669</v>
          </cell>
          <cell r="BZ176">
            <v>62213</v>
          </cell>
          <cell r="CA176">
            <v>13.416311703341746</v>
          </cell>
          <cell r="CB176">
            <v>5458000</v>
          </cell>
          <cell r="CC176">
            <v>24872</v>
          </cell>
          <cell r="CD176">
            <v>219.44355098102284</v>
          </cell>
          <cell r="CE176">
            <v>4145861</v>
          </cell>
          <cell r="CF176">
            <v>24872</v>
          </cell>
          <cell r="CG176">
            <v>166.68788195561274</v>
          </cell>
          <cell r="CH176">
            <v>12990820</v>
          </cell>
          <cell r="CI176">
            <v>62213</v>
          </cell>
          <cell r="CJ176">
            <v>208.81198463343674</v>
          </cell>
          <cell r="CK176">
            <v>14800000</v>
          </cell>
          <cell r="CL176">
            <v>62213</v>
          </cell>
          <cell r="CM176">
            <v>237.89240190956875</v>
          </cell>
          <cell r="CN176" t="str">
            <v>N/A</v>
          </cell>
          <cell r="CO176" t="str">
            <v>N/A</v>
          </cell>
          <cell r="CP176" t="str">
            <v>N/A</v>
          </cell>
          <cell r="CQ176" t="str">
            <v>N/A</v>
          </cell>
          <cell r="CR176">
            <v>1542</v>
          </cell>
          <cell r="CS176">
            <v>88233</v>
          </cell>
          <cell r="CT176">
            <v>1542</v>
          </cell>
          <cell r="CU176">
            <v>57.219844357976655</v>
          </cell>
          <cell r="CV176">
            <v>50</v>
          </cell>
          <cell r="CW176">
            <v>329000</v>
          </cell>
          <cell r="CX176">
            <v>3746000</v>
          </cell>
          <cell r="CY176">
            <v>8.7827015483182058E-2</v>
          </cell>
          <cell r="CZ176">
            <v>2032000</v>
          </cell>
          <cell r="DA176">
            <v>62213</v>
          </cell>
          <cell r="DB176">
            <v>32.661983829746191</v>
          </cell>
          <cell r="DC176">
            <v>3668000</v>
          </cell>
          <cell r="DD176">
            <v>62213</v>
          </cell>
          <cell r="DE176">
            <v>58.958738527317443</v>
          </cell>
          <cell r="DF176">
            <v>5001000</v>
          </cell>
          <cell r="DG176">
            <v>62213</v>
          </cell>
          <cell r="DH176">
            <v>80.385128510118463</v>
          </cell>
          <cell r="DI176">
            <v>22.6</v>
          </cell>
          <cell r="DJ176">
            <v>2752.787610619469</v>
          </cell>
          <cell r="DK176">
            <v>1.9059859154929578E-2</v>
          </cell>
          <cell r="DL176">
            <v>0.18</v>
          </cell>
          <cell r="DM176">
            <v>25.59</v>
          </cell>
        </row>
        <row r="177">
          <cell r="B177" t="str">
            <v>Windouran Shire Council</v>
          </cell>
          <cell r="C177" t="str">
            <v>A</v>
          </cell>
          <cell r="F177">
            <v>0</v>
          </cell>
          <cell r="I177">
            <v>0</v>
          </cell>
          <cell r="L177">
            <v>0</v>
          </cell>
          <cell r="O177">
            <v>0</v>
          </cell>
          <cell r="R177">
            <v>0</v>
          </cell>
          <cell r="U177">
            <v>0</v>
          </cell>
          <cell r="X177">
            <v>0</v>
          </cell>
          <cell r="Z177">
            <v>0</v>
          </cell>
          <cell r="AA177">
            <v>0</v>
          </cell>
          <cell r="AC177">
            <v>0</v>
          </cell>
          <cell r="AD177">
            <v>0</v>
          </cell>
          <cell r="AF177">
            <v>0</v>
          </cell>
          <cell r="AG177">
            <v>0</v>
          </cell>
          <cell r="AI177">
            <v>0</v>
          </cell>
          <cell r="AJ177">
            <v>0</v>
          </cell>
          <cell r="AL177">
            <v>0</v>
          </cell>
          <cell r="AM177">
            <v>0</v>
          </cell>
          <cell r="AP177">
            <v>0</v>
          </cell>
          <cell r="AS177">
            <v>0</v>
          </cell>
          <cell r="AU177">
            <v>0</v>
          </cell>
          <cell r="AV177">
            <v>0</v>
          </cell>
          <cell r="AX177">
            <v>0</v>
          </cell>
          <cell r="AY177">
            <v>0</v>
          </cell>
          <cell r="BA177">
            <v>0</v>
          </cell>
          <cell r="BB177">
            <v>0</v>
          </cell>
          <cell r="BD177">
            <v>0</v>
          </cell>
          <cell r="BE177">
            <v>0</v>
          </cell>
          <cell r="BG177">
            <v>0</v>
          </cell>
          <cell r="BH177">
            <v>0</v>
          </cell>
          <cell r="BK177">
            <v>0</v>
          </cell>
          <cell r="BN177">
            <v>0</v>
          </cell>
          <cell r="BQ177">
            <v>0</v>
          </cell>
          <cell r="BW177">
            <v>0</v>
          </cell>
          <cell r="BX177">
            <v>0</v>
          </cell>
          <cell r="BZ177">
            <v>0</v>
          </cell>
          <cell r="CA177">
            <v>0</v>
          </cell>
          <cell r="CD177">
            <v>0</v>
          </cell>
          <cell r="CG177">
            <v>0</v>
          </cell>
          <cell r="CI177">
            <v>0</v>
          </cell>
          <cell r="CJ177">
            <v>0</v>
          </cell>
          <cell r="CL177">
            <v>0</v>
          </cell>
          <cell r="CM177">
            <v>0</v>
          </cell>
          <cell r="CT177">
            <v>0</v>
          </cell>
          <cell r="CU177">
            <v>0</v>
          </cell>
          <cell r="CY177">
            <v>0</v>
          </cell>
          <cell r="DA177">
            <v>0</v>
          </cell>
          <cell r="DB177">
            <v>0</v>
          </cell>
          <cell r="DD177">
            <v>0</v>
          </cell>
          <cell r="DE177">
            <v>0</v>
          </cell>
          <cell r="DG177">
            <v>0</v>
          </cell>
          <cell r="DH177">
            <v>0</v>
          </cell>
          <cell r="DI177">
            <v>5062.8999999999996</v>
          </cell>
          <cell r="DJ177">
            <v>0</v>
          </cell>
          <cell r="DK177">
            <v>-0.2</v>
          </cell>
          <cell r="DL177">
            <v>3.7</v>
          </cell>
          <cell r="DM177">
            <v>1.49</v>
          </cell>
        </row>
        <row r="178">
          <cell r="B178" t="str">
            <v>Wingecarribee Shire Council</v>
          </cell>
          <cell r="C178">
            <v>4</v>
          </cell>
          <cell r="D178">
            <v>7929000</v>
          </cell>
          <cell r="E178">
            <v>16927</v>
          </cell>
          <cell r="F178">
            <v>468.42322916051279</v>
          </cell>
          <cell r="G178">
            <v>1687000</v>
          </cell>
          <cell r="H178">
            <v>1621</v>
          </cell>
          <cell r="I178">
            <v>1040.715607649599</v>
          </cell>
          <cell r="J178">
            <v>1675000</v>
          </cell>
          <cell r="K178">
            <v>1223</v>
          </cell>
          <cell r="L178">
            <v>1369.5829926410465</v>
          </cell>
          <cell r="M178">
            <v>7246000</v>
          </cell>
          <cell r="N178">
            <v>33887000</v>
          </cell>
          <cell r="O178">
            <v>0.21382831174196595</v>
          </cell>
          <cell r="P178">
            <v>2245000</v>
          </cell>
          <cell r="Q178">
            <v>20675000</v>
          </cell>
          <cell r="R178">
            <v>0.10858524788391777</v>
          </cell>
          <cell r="S178">
            <v>939000</v>
          </cell>
          <cell r="T178">
            <v>10028000</v>
          </cell>
          <cell r="U178">
            <v>9.3637814120462709E-2</v>
          </cell>
          <cell r="V178">
            <v>22920000</v>
          </cell>
          <cell r="W178">
            <v>52644000</v>
          </cell>
          <cell r="X178">
            <v>0.43537725096877139</v>
          </cell>
          <cell r="Y178">
            <v>10967000</v>
          </cell>
          <cell r="Z178">
            <v>52644000</v>
          </cell>
          <cell r="AA178">
            <v>0.20832383557480436</v>
          </cell>
          <cell r="AB178">
            <v>2199000</v>
          </cell>
          <cell r="AC178">
            <v>52644000</v>
          </cell>
          <cell r="AD178">
            <v>4.1771142010485526E-2</v>
          </cell>
          <cell r="AE178">
            <v>11118000</v>
          </cell>
          <cell r="AF178">
            <v>52644000</v>
          </cell>
          <cell r="AG178">
            <v>0.21119215865055846</v>
          </cell>
          <cell r="AH178">
            <v>4348000</v>
          </cell>
          <cell r="AI178">
            <v>52644000</v>
          </cell>
          <cell r="AJ178">
            <v>8.2592508168072329E-2</v>
          </cell>
          <cell r="AK178">
            <v>1092000</v>
          </cell>
          <cell r="AL178">
            <v>52644000</v>
          </cell>
          <cell r="AM178">
            <v>2.0743104627307954E-2</v>
          </cell>
          <cell r="AN178">
            <v>27299000</v>
          </cell>
          <cell r="AO178">
            <v>42938</v>
          </cell>
          <cell r="AP178">
            <v>635.7771670781126</v>
          </cell>
          <cell r="AQ178">
            <v>13725000</v>
          </cell>
          <cell r="AR178">
            <v>46711000</v>
          </cell>
          <cell r="AS178">
            <v>0.2938280062512042</v>
          </cell>
          <cell r="AT178">
            <v>10987000</v>
          </cell>
          <cell r="AU178">
            <v>46711000</v>
          </cell>
          <cell r="AV178">
            <v>0.2352122626362099</v>
          </cell>
          <cell r="AW178">
            <v>2082000</v>
          </cell>
          <cell r="AX178">
            <v>46711000</v>
          </cell>
          <cell r="AY178">
            <v>4.4571942369035132E-2</v>
          </cell>
          <cell r="AZ178">
            <v>13190000</v>
          </cell>
          <cell r="BA178">
            <v>46711000</v>
          </cell>
          <cell r="BB178">
            <v>0.28237460127164909</v>
          </cell>
          <cell r="BC178">
            <v>6727000</v>
          </cell>
          <cell r="BD178">
            <v>46711000</v>
          </cell>
          <cell r="BE178">
            <v>0.1440131874719017</v>
          </cell>
          <cell r="BF178">
            <v>36891000</v>
          </cell>
          <cell r="BG178">
            <v>42938</v>
          </cell>
          <cell r="BH178">
            <v>859.16903442172429</v>
          </cell>
          <cell r="BI178">
            <v>20727000</v>
          </cell>
          <cell r="BJ178">
            <v>8510000</v>
          </cell>
          <cell r="BK178">
            <v>2.4356051703877792</v>
          </cell>
          <cell r="BL178">
            <v>5188000</v>
          </cell>
          <cell r="BM178">
            <v>40786000</v>
          </cell>
          <cell r="BN178">
            <v>0.12720050997891433</v>
          </cell>
          <cell r="BO178">
            <v>6998000</v>
          </cell>
          <cell r="BP178">
            <v>9712000</v>
          </cell>
          <cell r="BQ178">
            <v>0.72055189456342672</v>
          </cell>
          <cell r="BR178">
            <v>310</v>
          </cell>
          <cell r="BS178" t="str">
            <v>On Time</v>
          </cell>
          <cell r="BT178" t="str">
            <v>On Time</v>
          </cell>
          <cell r="BU178" t="str">
            <v>On Time</v>
          </cell>
          <cell r="BV178">
            <v>1339000</v>
          </cell>
          <cell r="BW178">
            <v>42938</v>
          </cell>
          <cell r="BX178">
            <v>31.184498579346965</v>
          </cell>
          <cell r="BY178">
            <v>352613</v>
          </cell>
          <cell r="BZ178">
            <v>42938</v>
          </cell>
          <cell r="CA178">
            <v>8.2121430900367969</v>
          </cell>
          <cell r="CB178">
            <v>2932000</v>
          </cell>
          <cell r="CC178">
            <v>13851</v>
          </cell>
          <cell r="CD178">
            <v>211.68146704209082</v>
          </cell>
          <cell r="CE178">
            <v>2338382</v>
          </cell>
          <cell r="CF178">
            <v>13162</v>
          </cell>
          <cell r="CG178">
            <v>177.66160158030695</v>
          </cell>
          <cell r="CH178">
            <v>11144000</v>
          </cell>
          <cell r="CI178">
            <v>42938</v>
          </cell>
          <cell r="CJ178">
            <v>259.53700684708184</v>
          </cell>
          <cell r="CK178">
            <v>5845600</v>
          </cell>
          <cell r="CL178">
            <v>42938</v>
          </cell>
          <cell r="CM178">
            <v>136.14048162466813</v>
          </cell>
          <cell r="CN178">
            <v>437.57382133138702</v>
          </cell>
          <cell r="CO178">
            <v>299.53426480372599</v>
          </cell>
          <cell r="CP178">
            <v>483.220020997772</v>
          </cell>
          <cell r="CQ178">
            <v>462.16565576215601</v>
          </cell>
          <cell r="CR178">
            <v>1412</v>
          </cell>
          <cell r="CS178">
            <v>71180</v>
          </cell>
          <cell r="CT178">
            <v>1412</v>
          </cell>
          <cell r="CU178">
            <v>50.410764872521248</v>
          </cell>
          <cell r="CV178">
            <v>36</v>
          </cell>
          <cell r="CW178">
            <v>297000</v>
          </cell>
          <cell r="CX178">
            <v>2149000</v>
          </cell>
          <cell r="CY178">
            <v>0.13820381572824569</v>
          </cell>
          <cell r="CZ178">
            <v>1154000</v>
          </cell>
          <cell r="DA178">
            <v>42938</v>
          </cell>
          <cell r="DB178">
            <v>26.875960687502911</v>
          </cell>
          <cell r="DC178">
            <v>2097000</v>
          </cell>
          <cell r="DD178">
            <v>42938</v>
          </cell>
          <cell r="DE178">
            <v>48.837859238902602</v>
          </cell>
          <cell r="DF178">
            <v>1011000</v>
          </cell>
          <cell r="DG178">
            <v>42938</v>
          </cell>
          <cell r="DH178">
            <v>23.545577344077508</v>
          </cell>
          <cell r="DI178">
            <v>2688.8</v>
          </cell>
          <cell r="DJ178">
            <v>15.96920559357334</v>
          </cell>
          <cell r="DK178">
            <v>2.6466244725738396E-2</v>
          </cell>
          <cell r="DL178">
            <v>0.99</v>
          </cell>
          <cell r="DM178">
            <v>5.18</v>
          </cell>
        </row>
        <row r="179">
          <cell r="B179" t="str">
            <v>Wollondilly Shire Council</v>
          </cell>
          <cell r="C179">
            <v>6</v>
          </cell>
          <cell r="D179">
            <v>7235000</v>
          </cell>
          <cell r="E179">
            <v>13613</v>
          </cell>
          <cell r="F179">
            <v>531.47726437963706</v>
          </cell>
          <cell r="G179">
            <v>885000</v>
          </cell>
          <cell r="H179">
            <v>544</v>
          </cell>
          <cell r="I179">
            <v>1626.8382352941176</v>
          </cell>
          <cell r="J179">
            <v>399000</v>
          </cell>
          <cell r="K179">
            <v>508</v>
          </cell>
          <cell r="L179">
            <v>785.43307086614175</v>
          </cell>
          <cell r="M179">
            <v>1730000</v>
          </cell>
          <cell r="N179">
            <v>15640000</v>
          </cell>
          <cell r="O179">
            <v>0.11061381074168798</v>
          </cell>
          <cell r="P179">
            <v>372000</v>
          </cell>
          <cell r="Q179">
            <v>10790000</v>
          </cell>
          <cell r="R179">
            <v>3.4476367006487485E-2</v>
          </cell>
          <cell r="S179">
            <v>-735000</v>
          </cell>
          <cell r="T179">
            <v>5213000</v>
          </cell>
          <cell r="U179">
            <v>-0.14099366967197391</v>
          </cell>
          <cell r="V179">
            <v>11162000</v>
          </cell>
          <cell r="W179">
            <v>24281000</v>
          </cell>
          <cell r="X179">
            <v>0.45970100078250486</v>
          </cell>
          <cell r="Y179">
            <v>4478000</v>
          </cell>
          <cell r="Z179">
            <v>24281000</v>
          </cell>
          <cell r="AA179">
            <v>0.18442403525390222</v>
          </cell>
          <cell r="AB179">
            <v>790000</v>
          </cell>
          <cell r="AC179">
            <v>24281000</v>
          </cell>
          <cell r="AD179">
            <v>3.2535727523578105E-2</v>
          </cell>
          <cell r="AE179">
            <v>6103000</v>
          </cell>
          <cell r="AF179">
            <v>24281000</v>
          </cell>
          <cell r="AG179">
            <v>0.25134879123594578</v>
          </cell>
          <cell r="AH179">
            <v>1620000</v>
          </cell>
          <cell r="AI179">
            <v>24281000</v>
          </cell>
          <cell r="AJ179">
            <v>6.6718833655944984E-2</v>
          </cell>
          <cell r="AK179">
            <v>128000</v>
          </cell>
          <cell r="AL179">
            <v>24281000</v>
          </cell>
          <cell r="AM179">
            <v>5.2716115481240477E-3</v>
          </cell>
          <cell r="AN179">
            <v>21419000</v>
          </cell>
          <cell r="AO179">
            <v>38639</v>
          </cell>
          <cell r="AP179">
            <v>554.33629234711043</v>
          </cell>
          <cell r="AQ179">
            <v>9022000</v>
          </cell>
          <cell r="AR179">
            <v>24124000</v>
          </cell>
          <cell r="AS179">
            <v>0.37398441386171449</v>
          </cell>
          <cell r="AT179">
            <v>7047000</v>
          </cell>
          <cell r="AU179">
            <v>24124000</v>
          </cell>
          <cell r="AV179">
            <v>0.29211573536726909</v>
          </cell>
          <cell r="AW179">
            <v>250000</v>
          </cell>
          <cell r="AX179">
            <v>24124000</v>
          </cell>
          <cell r="AY179">
            <v>1.0363123860056375E-2</v>
          </cell>
          <cell r="AZ179">
            <v>5553000</v>
          </cell>
          <cell r="BA179">
            <v>24124000</v>
          </cell>
          <cell r="BB179">
            <v>0.23018570717957221</v>
          </cell>
          <cell r="BC179">
            <v>2252000</v>
          </cell>
          <cell r="BD179">
            <v>24124000</v>
          </cell>
          <cell r="BE179">
            <v>9.3351019731387833E-2</v>
          </cell>
          <cell r="BF179">
            <v>24243000</v>
          </cell>
          <cell r="BG179">
            <v>38639</v>
          </cell>
          <cell r="BH179">
            <v>627.42306995522654</v>
          </cell>
          <cell r="BI179">
            <v>9795000</v>
          </cell>
          <cell r="BJ179">
            <v>4343000</v>
          </cell>
          <cell r="BK179">
            <v>2.2553534423209762</v>
          </cell>
          <cell r="BL179">
            <v>541000</v>
          </cell>
          <cell r="BM179">
            <v>19207000</v>
          </cell>
          <cell r="BN179">
            <v>2.8166814182329358E-2</v>
          </cell>
          <cell r="BO179">
            <v>5730000</v>
          </cell>
          <cell r="BP179">
            <v>5553000</v>
          </cell>
          <cell r="BQ179">
            <v>1.0318746623446786</v>
          </cell>
          <cell r="BR179">
            <v>192</v>
          </cell>
          <cell r="BS179" t="str">
            <v>On Time</v>
          </cell>
          <cell r="BT179" t="str">
            <v>On Time</v>
          </cell>
          <cell r="BU179" t="str">
            <v>On Time</v>
          </cell>
          <cell r="BV179">
            <v>690000</v>
          </cell>
          <cell r="BW179">
            <v>38639</v>
          </cell>
          <cell r="BX179">
            <v>17.857605010481638</v>
          </cell>
          <cell r="BY179">
            <v>119120</v>
          </cell>
          <cell r="BZ179">
            <v>38639</v>
          </cell>
          <cell r="CA179">
            <v>3.0828955200703954</v>
          </cell>
          <cell r="CB179">
            <v>2352000</v>
          </cell>
          <cell r="CC179">
            <v>12021</v>
          </cell>
          <cell r="CD179">
            <v>195.65759920139755</v>
          </cell>
          <cell r="CE179">
            <v>2042050</v>
          </cell>
          <cell r="CF179">
            <v>11636</v>
          </cell>
          <cell r="CG179">
            <v>175.49415606737711</v>
          </cell>
          <cell r="CH179">
            <v>2056470</v>
          </cell>
          <cell r="CI179">
            <v>38639</v>
          </cell>
          <cell r="CJ179">
            <v>53.222650689717646</v>
          </cell>
          <cell r="CK179">
            <v>8488890</v>
          </cell>
          <cell r="CL179">
            <v>38639</v>
          </cell>
          <cell r="CM179">
            <v>219.69745593830069</v>
          </cell>
          <cell r="CN179" t="str">
            <v>N/A</v>
          </cell>
          <cell r="CO179" t="str">
            <v>N/A</v>
          </cell>
          <cell r="CP179" t="str">
            <v>N/A</v>
          </cell>
          <cell r="CQ179" t="str">
            <v>N/A</v>
          </cell>
          <cell r="CR179">
            <v>1514</v>
          </cell>
          <cell r="CS179">
            <v>48947</v>
          </cell>
          <cell r="CT179">
            <v>1514</v>
          </cell>
          <cell r="CU179">
            <v>32.329590488771466</v>
          </cell>
          <cell r="CV179">
            <v>30</v>
          </cell>
          <cell r="CW179">
            <v>82000</v>
          </cell>
          <cell r="CX179">
            <v>2121000</v>
          </cell>
          <cell r="CY179">
            <v>3.8661008958038659E-2</v>
          </cell>
          <cell r="CZ179">
            <v>383000</v>
          </cell>
          <cell r="DA179">
            <v>38639</v>
          </cell>
          <cell r="DB179">
            <v>9.9122648101658939</v>
          </cell>
          <cell r="DC179">
            <v>1453000</v>
          </cell>
          <cell r="DD179">
            <v>38639</v>
          </cell>
          <cell r="DE179">
            <v>37.604492869898287</v>
          </cell>
          <cell r="DF179">
            <v>1237000</v>
          </cell>
          <cell r="DG179">
            <v>38639</v>
          </cell>
          <cell r="DH179">
            <v>32.014286084008383</v>
          </cell>
          <cell r="DI179">
            <v>2556.6</v>
          </cell>
          <cell r="DJ179">
            <v>15.113431901744505</v>
          </cell>
          <cell r="DK179">
            <v>2.3346820809248554E-2</v>
          </cell>
          <cell r="DL179">
            <v>1.46</v>
          </cell>
          <cell r="DM179">
            <v>5.68</v>
          </cell>
        </row>
        <row r="180">
          <cell r="B180" t="str">
            <v>Wollongong City Council</v>
          </cell>
          <cell r="C180">
            <v>5</v>
          </cell>
          <cell r="D180">
            <v>44710000</v>
          </cell>
          <cell r="E180">
            <v>67055</v>
          </cell>
          <cell r="F180">
            <v>666.76608754007907</v>
          </cell>
          <cell r="G180">
            <v>591000</v>
          </cell>
          <cell r="H180">
            <v>225</v>
          </cell>
          <cell r="I180">
            <v>2626.6666666666665</v>
          </cell>
          <cell r="J180">
            <v>23633000</v>
          </cell>
          <cell r="K180">
            <v>3615</v>
          </cell>
          <cell r="L180">
            <v>6537.4827109266944</v>
          </cell>
          <cell r="M180">
            <v>5717000</v>
          </cell>
          <cell r="N180">
            <v>100317000</v>
          </cell>
          <cell r="O180">
            <v>5.6989343780216715E-2</v>
          </cell>
          <cell r="P180">
            <v>2838000</v>
          </cell>
          <cell r="Q180">
            <v>79532000</v>
          </cell>
          <cell r="R180">
            <v>3.5683749937132227E-2</v>
          </cell>
          <cell r="S180">
            <v>1006000</v>
          </cell>
          <cell r="T180">
            <v>16941000</v>
          </cell>
          <cell r="U180">
            <v>5.9382563012809163E-2</v>
          </cell>
          <cell r="V180">
            <v>82370000</v>
          </cell>
          <cell r="W180">
            <v>136118000</v>
          </cell>
          <cell r="X180">
            <v>0.60513671961092586</v>
          </cell>
          <cell r="Y180">
            <v>17947000</v>
          </cell>
          <cell r="Z180">
            <v>136118000</v>
          </cell>
          <cell r="AA180">
            <v>0.13184883703845193</v>
          </cell>
          <cell r="AB180">
            <v>2676000</v>
          </cell>
          <cell r="AC180">
            <v>136118000</v>
          </cell>
          <cell r="AD180">
            <v>1.9659413156232094E-2</v>
          </cell>
          <cell r="AE180">
            <v>22986000</v>
          </cell>
          <cell r="AF180">
            <v>136118000</v>
          </cell>
          <cell r="AG180">
            <v>0.1688681878957963</v>
          </cell>
          <cell r="AH180">
            <v>6841000</v>
          </cell>
          <cell r="AI180">
            <v>136118000</v>
          </cell>
          <cell r="AJ180">
            <v>5.0257864499919189E-2</v>
          </cell>
          <cell r="AK180">
            <v>3298000</v>
          </cell>
          <cell r="AL180">
            <v>136118000</v>
          </cell>
          <cell r="AM180">
            <v>2.4228977798674681E-2</v>
          </cell>
          <cell r="AN180">
            <v>126264000</v>
          </cell>
          <cell r="AO180">
            <v>191049</v>
          </cell>
          <cell r="AP180">
            <v>660.89851294694029</v>
          </cell>
          <cell r="AQ180">
            <v>56557000</v>
          </cell>
          <cell r="AR180">
            <v>143547000</v>
          </cell>
          <cell r="AS180">
            <v>0.39399639142580478</v>
          </cell>
          <cell r="AT180">
            <v>37397000</v>
          </cell>
          <cell r="AU180">
            <v>143547000</v>
          </cell>
          <cell r="AV180">
            <v>0.26052094435968709</v>
          </cell>
          <cell r="AW180">
            <v>215000</v>
          </cell>
          <cell r="AX180">
            <v>143547000</v>
          </cell>
          <cell r="AY180">
            <v>1.4977672817962061E-3</v>
          </cell>
          <cell r="AZ180">
            <v>28057000</v>
          </cell>
          <cell r="BA180">
            <v>143547000</v>
          </cell>
          <cell r="BB180">
            <v>0.19545514709467979</v>
          </cell>
          <cell r="BC180">
            <v>21321000</v>
          </cell>
          <cell r="BD180">
            <v>143547000</v>
          </cell>
          <cell r="BE180">
            <v>0.14852974983803213</v>
          </cell>
          <cell r="BF180">
            <v>143547000</v>
          </cell>
          <cell r="BG180">
            <v>191049</v>
          </cell>
          <cell r="BH180">
            <v>751.36221597600615</v>
          </cell>
          <cell r="BI180">
            <v>37974000</v>
          </cell>
          <cell r="BJ180">
            <v>23489000</v>
          </cell>
          <cell r="BK180">
            <v>1.6166716335305888</v>
          </cell>
          <cell r="BL180">
            <v>2341000</v>
          </cell>
          <cell r="BM180">
            <v>120351000</v>
          </cell>
          <cell r="BN180">
            <v>1.9451437877541524E-2</v>
          </cell>
          <cell r="BO180">
            <v>22516000</v>
          </cell>
          <cell r="BP180">
            <v>28057000</v>
          </cell>
          <cell r="BQ180">
            <v>0.80250917774530417</v>
          </cell>
          <cell r="BR180">
            <v>1028.5</v>
          </cell>
          <cell r="BS180" t="str">
            <v>On Time</v>
          </cell>
          <cell r="BT180" t="str">
            <v>On Time</v>
          </cell>
          <cell r="BU180" t="str">
            <v>On Time</v>
          </cell>
          <cell r="BV180">
            <v>5986000</v>
          </cell>
          <cell r="BW180">
            <v>191049</v>
          </cell>
          <cell r="BX180">
            <v>31.332276012960026</v>
          </cell>
          <cell r="BY180">
            <v>1479944</v>
          </cell>
          <cell r="BZ180">
            <v>191049</v>
          </cell>
          <cell r="CA180">
            <v>7.7464106067029928</v>
          </cell>
          <cell r="CB180">
            <v>12620000</v>
          </cell>
          <cell r="CC180">
            <v>73788</v>
          </cell>
          <cell r="CD180">
            <v>171.03051986772917</v>
          </cell>
          <cell r="CE180">
            <v>9199000</v>
          </cell>
          <cell r="CF180">
            <v>72032</v>
          </cell>
          <cell r="CG180">
            <v>127.70713016437139</v>
          </cell>
          <cell r="CH180">
            <v>33907930</v>
          </cell>
          <cell r="CI180">
            <v>191049</v>
          </cell>
          <cell r="CJ180">
            <v>177.48289705782287</v>
          </cell>
          <cell r="CK180">
            <v>33933330</v>
          </cell>
          <cell r="CL180">
            <v>191049</v>
          </cell>
          <cell r="CM180">
            <v>177.61584724337735</v>
          </cell>
          <cell r="CN180" t="str">
            <v>N/A</v>
          </cell>
          <cell r="CO180" t="str">
            <v>N/A</v>
          </cell>
          <cell r="CP180" t="str">
            <v>N/A</v>
          </cell>
          <cell r="CQ180" t="str">
            <v>N/A</v>
          </cell>
          <cell r="CR180">
            <v>2264</v>
          </cell>
          <cell r="CS180">
            <v>103600</v>
          </cell>
          <cell r="CT180">
            <v>2264</v>
          </cell>
          <cell r="CU180">
            <v>45.759717314487631</v>
          </cell>
          <cell r="CV180">
            <v>45</v>
          </cell>
          <cell r="CW180">
            <v>364000</v>
          </cell>
          <cell r="CX180">
            <v>4894000</v>
          </cell>
          <cell r="CY180">
            <v>7.4376787903555369E-2</v>
          </cell>
          <cell r="CZ180">
            <v>3269000</v>
          </cell>
          <cell r="DA180">
            <v>191049</v>
          </cell>
          <cell r="DB180">
            <v>17.1107935660485</v>
          </cell>
          <cell r="DC180">
            <v>17341000</v>
          </cell>
          <cell r="DD180">
            <v>191049</v>
          </cell>
          <cell r="DE180">
            <v>90.767290066946174</v>
          </cell>
          <cell r="DF180">
            <v>3924000</v>
          </cell>
          <cell r="DG180">
            <v>191049</v>
          </cell>
          <cell r="DH180">
            <v>20.539233390386759</v>
          </cell>
          <cell r="DI180">
            <v>684</v>
          </cell>
          <cell r="DJ180">
            <v>279.31140350877195</v>
          </cell>
          <cell r="DK180">
            <v>7.2002602895721492E-3</v>
          </cell>
          <cell r="DL180">
            <v>1.2</v>
          </cell>
          <cell r="DM180">
            <v>15.82</v>
          </cell>
        </row>
        <row r="181">
          <cell r="B181" t="str">
            <v>Woollahra Municipal Council</v>
          </cell>
          <cell r="C181">
            <v>2</v>
          </cell>
          <cell r="D181">
            <v>16787000</v>
          </cell>
          <cell r="E181">
            <v>23735</v>
          </cell>
          <cell r="F181">
            <v>707.26774805140087</v>
          </cell>
          <cell r="G181">
            <v>0</v>
          </cell>
          <cell r="H181">
            <v>0</v>
          </cell>
          <cell r="I181" t="str">
            <v>N/A</v>
          </cell>
          <cell r="J181">
            <v>3416000</v>
          </cell>
          <cell r="K181">
            <v>1439</v>
          </cell>
          <cell r="L181">
            <v>2373.8707435719248</v>
          </cell>
          <cell r="M181">
            <v>3343000</v>
          </cell>
          <cell r="N181">
            <v>31121000</v>
          </cell>
          <cell r="O181">
            <v>0.10741942739629189</v>
          </cell>
          <cell r="P181">
            <v>1392000</v>
          </cell>
          <cell r="Q181">
            <v>25084000</v>
          </cell>
          <cell r="R181">
            <v>5.5493541699888377E-2</v>
          </cell>
          <cell r="S181">
            <v>-379000</v>
          </cell>
          <cell r="T181">
            <v>5024000</v>
          </cell>
          <cell r="U181">
            <v>-7.5437898089171979E-2</v>
          </cell>
          <cell r="V181">
            <v>26476000</v>
          </cell>
          <cell r="W181">
            <v>42605000</v>
          </cell>
          <cell r="X181">
            <v>0.62142940969369798</v>
          </cell>
          <cell r="Y181">
            <v>4645000</v>
          </cell>
          <cell r="Z181">
            <v>42605000</v>
          </cell>
          <cell r="AA181">
            <v>0.10902476235183664</v>
          </cell>
          <cell r="AB181">
            <v>1211000</v>
          </cell>
          <cell r="AC181">
            <v>42605000</v>
          </cell>
          <cell r="AD181">
            <v>2.8423893909165592E-2</v>
          </cell>
          <cell r="AE181">
            <v>3597000</v>
          </cell>
          <cell r="AF181">
            <v>42605000</v>
          </cell>
          <cell r="AG181">
            <v>8.4426710479990605E-2</v>
          </cell>
          <cell r="AH181">
            <v>1394000</v>
          </cell>
          <cell r="AI181">
            <v>42605000</v>
          </cell>
          <cell r="AJ181">
            <v>3.2719164417321908E-2</v>
          </cell>
          <cell r="AK181">
            <v>5282000</v>
          </cell>
          <cell r="AL181">
            <v>42605000</v>
          </cell>
          <cell r="AM181">
            <v>0.12397605914798733</v>
          </cell>
          <cell r="AN181">
            <v>40938000</v>
          </cell>
          <cell r="AO181">
            <v>54631</v>
          </cell>
          <cell r="AP181">
            <v>749.35476194834439</v>
          </cell>
          <cell r="AQ181">
            <v>22144000</v>
          </cell>
          <cell r="AR181">
            <v>47493000</v>
          </cell>
          <cell r="AS181">
            <v>0.46625818541679825</v>
          </cell>
          <cell r="AT181">
            <v>8330000</v>
          </cell>
          <cell r="AU181">
            <v>47493000</v>
          </cell>
          <cell r="AV181">
            <v>0.17539426862906113</v>
          </cell>
          <cell r="AW181">
            <v>0</v>
          </cell>
          <cell r="AX181">
            <v>47493000</v>
          </cell>
          <cell r="AY181">
            <v>0</v>
          </cell>
          <cell r="AZ181">
            <v>7675000</v>
          </cell>
          <cell r="BA181">
            <v>47493000</v>
          </cell>
          <cell r="BB181">
            <v>0.16160276251237024</v>
          </cell>
          <cell r="BC181">
            <v>9344000</v>
          </cell>
          <cell r="BD181">
            <v>47493000</v>
          </cell>
          <cell r="BE181">
            <v>0.19674478344177038</v>
          </cell>
          <cell r="BF181">
            <v>47605000</v>
          </cell>
          <cell r="BG181">
            <v>54631</v>
          </cell>
          <cell r="BH181">
            <v>871.39170068276258</v>
          </cell>
          <cell r="BI181">
            <v>16817000</v>
          </cell>
          <cell r="BJ181">
            <v>6256000</v>
          </cell>
          <cell r="BK181">
            <v>2.6881393861892584</v>
          </cell>
          <cell r="BL181">
            <v>0</v>
          </cell>
          <cell r="BM181">
            <v>39643000</v>
          </cell>
          <cell r="BN181">
            <v>0</v>
          </cell>
          <cell r="BO181">
            <v>4157000</v>
          </cell>
          <cell r="BP181">
            <v>7675000</v>
          </cell>
          <cell r="BQ181">
            <v>0.54162866449511404</v>
          </cell>
          <cell r="BR181">
            <v>398</v>
          </cell>
          <cell r="BS181" t="str">
            <v>On Time</v>
          </cell>
          <cell r="BT181" t="str">
            <v>On Time</v>
          </cell>
          <cell r="BU181" t="str">
            <v>On Time</v>
          </cell>
          <cell r="BV181">
            <v>1970000</v>
          </cell>
          <cell r="BW181">
            <v>54631</v>
          </cell>
          <cell r="BX181">
            <v>36.060112390401052</v>
          </cell>
          <cell r="BY181">
            <v>412642</v>
          </cell>
          <cell r="BZ181">
            <v>54631</v>
          </cell>
          <cell r="CA181">
            <v>7.5532573081217622</v>
          </cell>
          <cell r="CB181">
            <v>6273000</v>
          </cell>
          <cell r="CC181">
            <v>25839</v>
          </cell>
          <cell r="CD181">
            <v>242.77255311738071</v>
          </cell>
          <cell r="CE181">
            <v>3486104</v>
          </cell>
          <cell r="CF181">
            <v>49913</v>
          </cell>
          <cell r="CG181">
            <v>69.843607877707214</v>
          </cell>
          <cell r="CH181">
            <v>9317000</v>
          </cell>
          <cell r="CI181">
            <v>54631</v>
          </cell>
          <cell r="CJ181">
            <v>170.54419651846021</v>
          </cell>
          <cell r="CK181">
            <v>12802000</v>
          </cell>
          <cell r="CL181">
            <v>54631</v>
          </cell>
          <cell r="CM181">
            <v>234.33581666087019</v>
          </cell>
          <cell r="CN181" t="str">
            <v>N/A</v>
          </cell>
          <cell r="CO181" t="str">
            <v>N/A</v>
          </cell>
          <cell r="CP181" t="str">
            <v>N/A</v>
          </cell>
          <cell r="CQ181" t="str">
            <v>N/A</v>
          </cell>
          <cell r="CR181">
            <v>1099</v>
          </cell>
          <cell r="CS181">
            <v>97642</v>
          </cell>
          <cell r="CT181">
            <v>1099</v>
          </cell>
          <cell r="CU181">
            <v>88.846223839854417</v>
          </cell>
          <cell r="CV181">
            <v>85</v>
          </cell>
          <cell r="CW181">
            <v>1032000</v>
          </cell>
          <cell r="CX181">
            <v>5515000</v>
          </cell>
          <cell r="CY181">
            <v>0.18712601994560291</v>
          </cell>
          <cell r="CZ181">
            <v>1125000</v>
          </cell>
          <cell r="DA181">
            <v>54631</v>
          </cell>
          <cell r="DB181">
            <v>20.592703776244257</v>
          </cell>
          <cell r="DC181">
            <v>3727000</v>
          </cell>
          <cell r="DD181">
            <v>54631</v>
          </cell>
          <cell r="DE181">
            <v>68.221339532499869</v>
          </cell>
          <cell r="DF181">
            <v>1622000</v>
          </cell>
          <cell r="DG181">
            <v>54631</v>
          </cell>
          <cell r="DH181">
            <v>29.690102688949498</v>
          </cell>
          <cell r="DI181">
            <v>12.4</v>
          </cell>
          <cell r="DJ181">
            <v>4405.7258064516127</v>
          </cell>
          <cell r="DK181">
            <v>1.6146389713155292E-2</v>
          </cell>
          <cell r="DL181">
            <v>0.26</v>
          </cell>
          <cell r="DM181">
            <v>17.559999999999999</v>
          </cell>
        </row>
        <row r="182">
          <cell r="B182" t="str">
            <v>Wyong Shire Council</v>
          </cell>
          <cell r="C182">
            <v>7</v>
          </cell>
          <cell r="D182">
            <v>32050000</v>
          </cell>
          <cell r="E182">
            <v>55046</v>
          </cell>
          <cell r="F182">
            <v>582.24030810594775</v>
          </cell>
          <cell r="G182">
            <v>406000</v>
          </cell>
          <cell r="H182">
            <v>255</v>
          </cell>
          <cell r="I182">
            <v>1592.1568627450981</v>
          </cell>
          <cell r="J182">
            <v>5263000</v>
          </cell>
          <cell r="K182">
            <v>2395</v>
          </cell>
          <cell r="L182">
            <v>2197.4947807933195</v>
          </cell>
          <cell r="M182">
            <v>8014000</v>
          </cell>
          <cell r="N182">
            <v>100186000</v>
          </cell>
          <cell r="O182">
            <v>7.9991216337612039E-2</v>
          </cell>
          <cell r="P182">
            <v>3114000</v>
          </cell>
          <cell r="Q182">
            <v>69483000</v>
          </cell>
          <cell r="R182">
            <v>4.4816717758300595E-2</v>
          </cell>
          <cell r="S182">
            <v>2364000</v>
          </cell>
          <cell r="T182">
            <v>25225000</v>
          </cell>
          <cell r="U182">
            <v>9.3716551040634297E-2</v>
          </cell>
          <cell r="V182">
            <v>72597000</v>
          </cell>
          <cell r="W182">
            <v>149528000</v>
          </cell>
          <cell r="X182">
            <v>0.48550773099352629</v>
          </cell>
          <cell r="Y182">
            <v>27589000</v>
          </cell>
          <cell r="Z182">
            <v>149528000</v>
          </cell>
          <cell r="AA182">
            <v>0.18450724947835856</v>
          </cell>
          <cell r="AB182">
            <v>4537000</v>
          </cell>
          <cell r="AC182">
            <v>149528000</v>
          </cell>
          <cell r="AD182">
            <v>3.034214327751324E-2</v>
          </cell>
          <cell r="AE182">
            <v>16687000</v>
          </cell>
          <cell r="AF182">
            <v>149528000</v>
          </cell>
          <cell r="AG182">
            <v>0.11159782783157669</v>
          </cell>
          <cell r="AH182">
            <v>24865000</v>
          </cell>
          <cell r="AI182">
            <v>149528000</v>
          </cell>
          <cell r="AJ182">
            <v>0.16628992563265743</v>
          </cell>
          <cell r="AK182">
            <v>3253000</v>
          </cell>
          <cell r="AL182">
            <v>149528000</v>
          </cell>
          <cell r="AM182">
            <v>2.1755122786367771E-2</v>
          </cell>
          <cell r="AN182">
            <v>75851000</v>
          </cell>
          <cell r="AO182">
            <v>135858</v>
          </cell>
          <cell r="AP182">
            <v>558.31088342239696</v>
          </cell>
          <cell r="AQ182">
            <v>43325000</v>
          </cell>
          <cell r="AR182">
            <v>124371000</v>
          </cell>
          <cell r="AS182">
            <v>0.34835291185244149</v>
          </cell>
          <cell r="AT182">
            <v>26099000</v>
          </cell>
          <cell r="AU182">
            <v>124371000</v>
          </cell>
          <cell r="AV182">
            <v>0.2098479549091026</v>
          </cell>
          <cell r="AW182">
            <v>5077000</v>
          </cell>
          <cell r="AX182">
            <v>124371000</v>
          </cell>
          <cell r="AY182">
            <v>4.0821413351987197E-2</v>
          </cell>
          <cell r="AZ182">
            <v>27946000</v>
          </cell>
          <cell r="BA182">
            <v>124371000</v>
          </cell>
          <cell r="BB182">
            <v>0.22469868377676469</v>
          </cell>
          <cell r="BC182">
            <v>21924000</v>
          </cell>
          <cell r="BD182">
            <v>124371000</v>
          </cell>
          <cell r="BE182">
            <v>0.17627903610970402</v>
          </cell>
          <cell r="BF182">
            <v>72974000</v>
          </cell>
          <cell r="BG182">
            <v>135858</v>
          </cell>
          <cell r="BH182">
            <v>537.13436087679781</v>
          </cell>
          <cell r="BI182">
            <v>37746000</v>
          </cell>
          <cell r="BJ182">
            <v>22970000</v>
          </cell>
          <cell r="BK182">
            <v>1.6432738354375271</v>
          </cell>
          <cell r="BL182">
            <v>15230000</v>
          </cell>
          <cell r="BM182">
            <v>117817000</v>
          </cell>
          <cell r="BN182">
            <v>0.12926827198112326</v>
          </cell>
          <cell r="BO182">
            <v>35123000</v>
          </cell>
          <cell r="BP182">
            <v>17319000</v>
          </cell>
          <cell r="BQ182">
            <v>2.0280039263236906</v>
          </cell>
          <cell r="BR182">
            <v>848</v>
          </cell>
          <cell r="BS182" t="str">
            <v>On Time</v>
          </cell>
          <cell r="BT182" t="str">
            <v>Not Received</v>
          </cell>
          <cell r="BU182" t="str">
            <v>On Time</v>
          </cell>
          <cell r="BV182">
            <v>2996000</v>
          </cell>
          <cell r="BW182">
            <v>135858</v>
          </cell>
          <cell r="BX182">
            <v>22.052437103446245</v>
          </cell>
          <cell r="BY182">
            <v>992510</v>
          </cell>
          <cell r="BZ182">
            <v>135858</v>
          </cell>
          <cell r="CA182">
            <v>7.3054954437721742</v>
          </cell>
          <cell r="CB182">
            <v>10884000</v>
          </cell>
          <cell r="CC182">
            <v>53098</v>
          </cell>
          <cell r="CD182">
            <v>204.97947191984633</v>
          </cell>
          <cell r="CE182">
            <v>7621437</v>
          </cell>
          <cell r="CF182">
            <v>53098</v>
          </cell>
          <cell r="CG182">
            <v>143.53529323138349</v>
          </cell>
          <cell r="CH182">
            <v>45948000</v>
          </cell>
          <cell r="CI182">
            <v>135858</v>
          </cell>
          <cell r="CJ182">
            <v>338.20606810051669</v>
          </cell>
          <cell r="CK182">
            <v>39306000</v>
          </cell>
          <cell r="CL182">
            <v>135858</v>
          </cell>
          <cell r="CM182">
            <v>289.31678664487919</v>
          </cell>
          <cell r="CN182">
            <v>231.40247353967001</v>
          </cell>
          <cell r="CO182">
            <v>294.15922619047598</v>
          </cell>
          <cell r="CP182">
            <v>336.69027365714101</v>
          </cell>
          <cell r="CQ182">
            <v>342.15187923598302</v>
          </cell>
          <cell r="CR182">
            <v>3677</v>
          </cell>
          <cell r="CS182">
            <v>150844</v>
          </cell>
          <cell r="CT182">
            <v>3677</v>
          </cell>
          <cell r="CU182">
            <v>41.023660592874627</v>
          </cell>
          <cell r="CV182">
            <v>28</v>
          </cell>
          <cell r="CW182">
            <v>325000</v>
          </cell>
          <cell r="CX182">
            <v>6337000</v>
          </cell>
          <cell r="CY182">
            <v>5.128609752248698E-2</v>
          </cell>
          <cell r="CZ182">
            <v>2301000</v>
          </cell>
          <cell r="DA182">
            <v>135858</v>
          </cell>
          <cell r="DB182">
            <v>16.936801660557347</v>
          </cell>
          <cell r="DC182">
            <v>8011000</v>
          </cell>
          <cell r="DD182">
            <v>135858</v>
          </cell>
          <cell r="DE182">
            <v>58.965979184148154</v>
          </cell>
          <cell r="DF182">
            <v>6593000</v>
          </cell>
          <cell r="DG182">
            <v>135858</v>
          </cell>
          <cell r="DH182">
            <v>48.528610755347493</v>
          </cell>
          <cell r="DI182">
            <v>744.9</v>
          </cell>
          <cell r="DJ182">
            <v>182.38421264599276</v>
          </cell>
          <cell r="DK182">
            <v>2.7663175534143276E-2</v>
          </cell>
          <cell r="DL182">
            <v>1.54</v>
          </cell>
          <cell r="DM182">
            <v>3.77</v>
          </cell>
        </row>
        <row r="183">
          <cell r="B183" t="str">
            <v>Yallaroi Shire Council</v>
          </cell>
          <cell r="C183">
            <v>9</v>
          </cell>
          <cell r="D183">
            <v>149000</v>
          </cell>
          <cell r="E183">
            <v>902</v>
          </cell>
          <cell r="F183">
            <v>165.18847006651885</v>
          </cell>
          <cell r="G183">
            <v>2394000</v>
          </cell>
          <cell r="H183">
            <v>709</v>
          </cell>
          <cell r="I183">
            <v>3376.5867418899861</v>
          </cell>
          <cell r="J183">
            <v>27000</v>
          </cell>
          <cell r="K183">
            <v>138</v>
          </cell>
          <cell r="L183">
            <v>195.65217391304347</v>
          </cell>
          <cell r="M183">
            <v>243000</v>
          </cell>
          <cell r="N183">
            <v>4917000</v>
          </cell>
          <cell r="O183">
            <v>4.9420378279438681E-2</v>
          </cell>
          <cell r="P183">
            <v>73000</v>
          </cell>
          <cell r="Q183">
            <v>3039000</v>
          </cell>
          <cell r="R183">
            <v>2.4021059559065482E-2</v>
          </cell>
          <cell r="S183">
            <v>-60000</v>
          </cell>
          <cell r="T183">
            <v>1865000</v>
          </cell>
          <cell r="U183">
            <v>-3.2171581769436998E-2</v>
          </cell>
          <cell r="V183">
            <v>3112000</v>
          </cell>
          <cell r="W183">
            <v>9996000</v>
          </cell>
          <cell r="X183">
            <v>0.31132452981192477</v>
          </cell>
          <cell r="Y183">
            <v>1805000</v>
          </cell>
          <cell r="Z183">
            <v>9996000</v>
          </cell>
          <cell r="AA183">
            <v>0.18057222889155664</v>
          </cell>
          <cell r="AB183">
            <v>243000</v>
          </cell>
          <cell r="AC183">
            <v>9996000</v>
          </cell>
          <cell r="AD183">
            <v>2.4309723889555823E-2</v>
          </cell>
          <cell r="AE183">
            <v>3046000</v>
          </cell>
          <cell r="AF183">
            <v>9996000</v>
          </cell>
          <cell r="AG183">
            <v>0.30472188875550221</v>
          </cell>
          <cell r="AH183">
            <v>1730000</v>
          </cell>
          <cell r="AI183">
            <v>9996000</v>
          </cell>
          <cell r="AJ183">
            <v>0.17306922769107644</v>
          </cell>
          <cell r="AK183">
            <v>60000</v>
          </cell>
          <cell r="AL183">
            <v>9996000</v>
          </cell>
          <cell r="AM183">
            <v>6.0024009603841539E-3</v>
          </cell>
          <cell r="AN183">
            <v>9192000</v>
          </cell>
          <cell r="AO183">
            <v>3279</v>
          </cell>
          <cell r="AP183">
            <v>2803.2936870997255</v>
          </cell>
          <cell r="AQ183">
            <v>2786000</v>
          </cell>
          <cell r="AR183">
            <v>9700000</v>
          </cell>
          <cell r="AS183">
            <v>0.28721649484536083</v>
          </cell>
          <cell r="AT183">
            <v>921000</v>
          </cell>
          <cell r="AU183">
            <v>9700000</v>
          </cell>
          <cell r="AV183">
            <v>9.4948453608247427E-2</v>
          </cell>
          <cell r="AW183">
            <v>277000</v>
          </cell>
          <cell r="AX183">
            <v>9700000</v>
          </cell>
          <cell r="AY183">
            <v>2.8556701030927834E-2</v>
          </cell>
          <cell r="AZ183">
            <v>3899000</v>
          </cell>
          <cell r="BA183">
            <v>9700000</v>
          </cell>
          <cell r="BB183">
            <v>0.40195876288659793</v>
          </cell>
          <cell r="BC183">
            <v>1817000</v>
          </cell>
          <cell r="BD183">
            <v>9700000</v>
          </cell>
          <cell r="BE183">
            <v>0.18731958762886597</v>
          </cell>
          <cell r="BF183">
            <v>9091000</v>
          </cell>
          <cell r="BG183">
            <v>3279</v>
          </cell>
          <cell r="BH183">
            <v>2772.4916132967369</v>
          </cell>
          <cell r="BI183">
            <v>1711000</v>
          </cell>
          <cell r="BJ183">
            <v>1095000</v>
          </cell>
          <cell r="BK183">
            <v>1.5625570776255708</v>
          </cell>
          <cell r="BL183">
            <v>727000</v>
          </cell>
          <cell r="BM183">
            <v>6989000</v>
          </cell>
          <cell r="BN183">
            <v>0.10402060380598083</v>
          </cell>
          <cell r="BO183">
            <v>3590000</v>
          </cell>
          <cell r="BP183">
            <v>3710000</v>
          </cell>
          <cell r="BQ183">
            <v>0.96765498652291104</v>
          </cell>
          <cell r="BR183">
            <v>74</v>
          </cell>
          <cell r="BS183" t="str">
            <v>On Time</v>
          </cell>
          <cell r="BT183" t="str">
            <v>On Time</v>
          </cell>
          <cell r="BU183" t="str">
            <v>On Time</v>
          </cell>
          <cell r="BV183">
            <v>93000</v>
          </cell>
          <cell r="BW183">
            <v>3279</v>
          </cell>
          <cell r="BX183">
            <v>28.362305580969807</v>
          </cell>
          <cell r="BY183">
            <v>5649</v>
          </cell>
          <cell r="BZ183">
            <v>3279</v>
          </cell>
          <cell r="CA183">
            <v>1.7227813357731017</v>
          </cell>
          <cell r="CB183">
            <v>43000</v>
          </cell>
          <cell r="CC183">
            <v>629</v>
          </cell>
          <cell r="CD183">
            <v>68.362480127186004</v>
          </cell>
          <cell r="CE183">
            <v>52000</v>
          </cell>
          <cell r="CF183">
            <v>629</v>
          </cell>
          <cell r="CG183">
            <v>82.670906200317958</v>
          </cell>
          <cell r="CH183">
            <v>15000</v>
          </cell>
          <cell r="CI183">
            <v>3279</v>
          </cell>
          <cell r="CJ183">
            <v>4.574565416285453</v>
          </cell>
          <cell r="CK183">
            <v>3100000</v>
          </cell>
          <cell r="CL183">
            <v>3279</v>
          </cell>
          <cell r="CM183">
            <v>945.41018603232692</v>
          </cell>
          <cell r="CN183">
            <v>490.93990755007701</v>
          </cell>
          <cell r="CO183">
            <v>452.777777777778</v>
          </cell>
          <cell r="CP183">
            <v>264.04313993390502</v>
          </cell>
          <cell r="CQ183">
            <v>362.47692565866799</v>
          </cell>
          <cell r="CR183">
            <v>48</v>
          </cell>
          <cell r="CS183">
            <v>1043</v>
          </cell>
          <cell r="CT183">
            <v>48</v>
          </cell>
          <cell r="CU183">
            <v>21.729166666666668</v>
          </cell>
          <cell r="CV183">
            <v>5</v>
          </cell>
          <cell r="CW183">
            <v>0</v>
          </cell>
          <cell r="CX183">
            <v>0</v>
          </cell>
          <cell r="CY183" t="str">
            <v>N/A</v>
          </cell>
          <cell r="CZ183">
            <v>88000</v>
          </cell>
          <cell r="DA183">
            <v>3279</v>
          </cell>
          <cell r="DB183">
            <v>26.837450442207992</v>
          </cell>
          <cell r="DC183">
            <v>190000</v>
          </cell>
          <cell r="DD183">
            <v>3279</v>
          </cell>
          <cell r="DE183">
            <v>57.944495272949069</v>
          </cell>
          <cell r="DF183">
            <v>568000</v>
          </cell>
          <cell r="DG183">
            <v>3279</v>
          </cell>
          <cell r="DH183">
            <v>173.22354376334249</v>
          </cell>
          <cell r="DI183">
            <v>5340.1</v>
          </cell>
          <cell r="DJ183">
            <v>0.61403344506657176</v>
          </cell>
          <cell r="DK183">
            <v>-1.3162393162393163E-2</v>
          </cell>
          <cell r="DL183">
            <v>1.04</v>
          </cell>
          <cell r="DM183">
            <v>1.37</v>
          </cell>
        </row>
        <row r="184">
          <cell r="B184" t="str">
            <v>Yarrowlumla Shire Council</v>
          </cell>
          <cell r="C184">
            <v>10</v>
          </cell>
          <cell r="D184">
            <v>1698000</v>
          </cell>
          <cell r="E184">
            <v>3690</v>
          </cell>
          <cell r="F184">
            <v>460.16260162601628</v>
          </cell>
          <cell r="G184">
            <v>732000</v>
          </cell>
          <cell r="H184">
            <v>580</v>
          </cell>
          <cell r="I184">
            <v>1262.0689655172414</v>
          </cell>
          <cell r="J184">
            <v>135000</v>
          </cell>
          <cell r="K184">
            <v>228</v>
          </cell>
          <cell r="L184">
            <v>592.10526315789468</v>
          </cell>
          <cell r="M184">
            <v>525000</v>
          </cell>
          <cell r="N184">
            <v>5160000</v>
          </cell>
          <cell r="O184">
            <v>0.10174418604651163</v>
          </cell>
          <cell r="P184">
            <v>214000</v>
          </cell>
          <cell r="Q184">
            <v>3500000</v>
          </cell>
          <cell r="R184">
            <v>6.1142857142857145E-2</v>
          </cell>
          <cell r="S184">
            <v>125000</v>
          </cell>
          <cell r="T184">
            <v>1321000</v>
          </cell>
          <cell r="U184">
            <v>9.4625283875851632E-2</v>
          </cell>
          <cell r="V184">
            <v>3714000</v>
          </cell>
          <cell r="W184">
            <v>14358000</v>
          </cell>
          <cell r="X184">
            <v>0.25867112411199333</v>
          </cell>
          <cell r="Y184">
            <v>1446000</v>
          </cell>
          <cell r="Z184">
            <v>14358000</v>
          </cell>
          <cell r="AA184">
            <v>0.1007104053489344</v>
          </cell>
          <cell r="AB184">
            <v>341000</v>
          </cell>
          <cell r="AC184">
            <v>14358000</v>
          </cell>
          <cell r="AD184">
            <v>2.3749825881041929E-2</v>
          </cell>
          <cell r="AE184">
            <v>3352000</v>
          </cell>
          <cell r="AF184">
            <v>14358000</v>
          </cell>
          <cell r="AG184">
            <v>0.23345869898314528</v>
          </cell>
          <cell r="AH184">
            <v>5459000</v>
          </cell>
          <cell r="AI184">
            <v>14358000</v>
          </cell>
          <cell r="AJ184">
            <v>0.38020615684635745</v>
          </cell>
          <cell r="AK184">
            <v>46000</v>
          </cell>
          <cell r="AL184">
            <v>14358000</v>
          </cell>
          <cell r="AM184">
            <v>3.2037888285276501E-3</v>
          </cell>
          <cell r="AN184">
            <v>6583000</v>
          </cell>
          <cell r="AO184">
            <v>10688</v>
          </cell>
          <cell r="AP184">
            <v>615.92440119760477</v>
          </cell>
          <cell r="AQ184">
            <v>2622000</v>
          </cell>
          <cell r="AR184">
            <v>8116000</v>
          </cell>
          <cell r="AS184">
            <v>0.32306554953178906</v>
          </cell>
          <cell r="AT184">
            <v>2877000</v>
          </cell>
          <cell r="AU184">
            <v>8116000</v>
          </cell>
          <cell r="AV184">
            <v>0.35448496796451456</v>
          </cell>
          <cell r="AW184">
            <v>176000</v>
          </cell>
          <cell r="AX184">
            <v>8116000</v>
          </cell>
          <cell r="AY184">
            <v>2.1685559388861509E-2</v>
          </cell>
          <cell r="AZ184">
            <v>1221000</v>
          </cell>
          <cell r="BA184">
            <v>8116000</v>
          </cell>
          <cell r="BB184">
            <v>0.1504435682602267</v>
          </cell>
          <cell r="BC184">
            <v>1220000</v>
          </cell>
          <cell r="BD184">
            <v>8116000</v>
          </cell>
          <cell r="BE184">
            <v>0.15032035485460818</v>
          </cell>
          <cell r="BF184">
            <v>6961000</v>
          </cell>
          <cell r="BG184">
            <v>10688</v>
          </cell>
          <cell r="BH184">
            <v>651.29116766467064</v>
          </cell>
          <cell r="BI184">
            <v>3352000</v>
          </cell>
          <cell r="BJ184">
            <v>2014000</v>
          </cell>
          <cell r="BK184">
            <v>1.6643495531281032</v>
          </cell>
          <cell r="BL184">
            <v>504000</v>
          </cell>
          <cell r="BM184">
            <v>6738000</v>
          </cell>
          <cell r="BN184">
            <v>7.4799643811219951E-2</v>
          </cell>
          <cell r="BO184">
            <v>4266000</v>
          </cell>
          <cell r="BP184">
            <v>1102000</v>
          </cell>
          <cell r="BQ184">
            <v>3.8711433756805809</v>
          </cell>
          <cell r="BR184">
            <v>60</v>
          </cell>
          <cell r="BS184" t="str">
            <v>&lt;=2</v>
          </cell>
          <cell r="BT184" t="str">
            <v>&lt;=2</v>
          </cell>
          <cell r="BU184" t="str">
            <v>On Time</v>
          </cell>
          <cell r="BV184">
            <v>134000</v>
          </cell>
          <cell r="BW184">
            <v>10688</v>
          </cell>
          <cell r="BX184">
            <v>12.537425149700599</v>
          </cell>
          <cell r="BY184">
            <v>54219</v>
          </cell>
          <cell r="BZ184">
            <v>10688</v>
          </cell>
          <cell r="CA184">
            <v>5.0728854790419158</v>
          </cell>
          <cell r="CB184">
            <v>184000</v>
          </cell>
          <cell r="CC184">
            <v>847</v>
          </cell>
          <cell r="CD184">
            <v>217.23730814639904</v>
          </cell>
          <cell r="CE184">
            <v>53700</v>
          </cell>
          <cell r="CF184">
            <v>847</v>
          </cell>
          <cell r="CG184">
            <v>63.400236127508855</v>
          </cell>
          <cell r="CH184">
            <v>364000</v>
          </cell>
          <cell r="CI184">
            <v>10688</v>
          </cell>
          <cell r="CJ184">
            <v>34.056886227544908</v>
          </cell>
          <cell r="CK184">
            <v>574000</v>
          </cell>
          <cell r="CL184">
            <v>10688</v>
          </cell>
          <cell r="CM184">
            <v>53.705089820359284</v>
          </cell>
          <cell r="CN184">
            <v>398.62542955326501</v>
          </cell>
          <cell r="CO184">
            <v>267.45435016111702</v>
          </cell>
          <cell r="CP184">
            <v>533.97275261352104</v>
          </cell>
          <cell r="CQ184">
            <v>422.59327973613699</v>
          </cell>
          <cell r="CR184">
            <v>419</v>
          </cell>
          <cell r="CS184">
            <v>15084</v>
          </cell>
          <cell r="CT184">
            <v>419</v>
          </cell>
          <cell r="CU184">
            <v>36</v>
          </cell>
          <cell r="CV184">
            <v>32</v>
          </cell>
          <cell r="CW184">
            <v>198000</v>
          </cell>
          <cell r="CX184">
            <v>574000</v>
          </cell>
          <cell r="CY184">
            <v>0.34494773519163763</v>
          </cell>
          <cell r="CZ184">
            <v>283000</v>
          </cell>
          <cell r="DA184">
            <v>10688</v>
          </cell>
          <cell r="DB184">
            <v>26.478293413173652</v>
          </cell>
          <cell r="DC184">
            <v>253000</v>
          </cell>
          <cell r="DD184">
            <v>10688</v>
          </cell>
          <cell r="DE184">
            <v>23.671407185628741</v>
          </cell>
          <cell r="DF184">
            <v>39000</v>
          </cell>
          <cell r="DG184">
            <v>10688</v>
          </cell>
          <cell r="DH184">
            <v>3.6489520958083834</v>
          </cell>
          <cell r="DI184">
            <v>2972.2</v>
          </cell>
          <cell r="DJ184">
            <v>3.5959895027252542</v>
          </cell>
          <cell r="DK184">
            <v>2.7404255319148935E-2</v>
          </cell>
          <cell r="DL184">
            <v>0.51</v>
          </cell>
          <cell r="DM184">
            <v>6.32</v>
          </cell>
        </row>
        <row r="185">
          <cell r="B185" t="str">
            <v>Yass Shire Council</v>
          </cell>
          <cell r="C185">
            <v>10</v>
          </cell>
          <cell r="D185">
            <v>1292000</v>
          </cell>
          <cell r="E185">
            <v>3599</v>
          </cell>
          <cell r="F185">
            <v>358.98860794665183</v>
          </cell>
          <cell r="G185">
            <v>1568000</v>
          </cell>
          <cell r="H185">
            <v>1108</v>
          </cell>
          <cell r="I185">
            <v>1415.1624548736463</v>
          </cell>
          <cell r="J185">
            <v>339000</v>
          </cell>
          <cell r="K185">
            <v>234</v>
          </cell>
          <cell r="L185">
            <v>1448.7179487179487</v>
          </cell>
          <cell r="M185">
            <v>710000</v>
          </cell>
          <cell r="N185">
            <v>7764000</v>
          </cell>
          <cell r="O185">
            <v>9.1447707367336428E-2</v>
          </cell>
          <cell r="P185">
            <v>175000</v>
          </cell>
          <cell r="Q185">
            <v>5212000</v>
          </cell>
          <cell r="R185">
            <v>3.3576362240982351E-2</v>
          </cell>
          <cell r="S185">
            <v>-307000</v>
          </cell>
          <cell r="T185">
            <v>2684000</v>
          </cell>
          <cell r="U185">
            <v>-0.11438152011922503</v>
          </cell>
          <cell r="V185">
            <v>5387000</v>
          </cell>
          <cell r="W185">
            <v>12958000</v>
          </cell>
          <cell r="X185">
            <v>0.41572773576169164</v>
          </cell>
          <cell r="Y185">
            <v>2377000</v>
          </cell>
          <cell r="Z185">
            <v>12958000</v>
          </cell>
          <cell r="AA185">
            <v>0.18343880228430312</v>
          </cell>
          <cell r="AB185">
            <v>297000</v>
          </cell>
          <cell r="AC185">
            <v>12958000</v>
          </cell>
          <cell r="AD185">
            <v>2.2920203735144314E-2</v>
          </cell>
          <cell r="AE185">
            <v>4155000</v>
          </cell>
          <cell r="AF185">
            <v>12958000</v>
          </cell>
          <cell r="AG185">
            <v>0.32065133508257448</v>
          </cell>
          <cell r="AH185">
            <v>367000</v>
          </cell>
          <cell r="AI185">
            <v>12958000</v>
          </cell>
          <cell r="AJ185">
            <v>2.8322271955548695E-2</v>
          </cell>
          <cell r="AK185">
            <v>375000</v>
          </cell>
          <cell r="AL185">
            <v>12958000</v>
          </cell>
          <cell r="AM185">
            <v>2.8939651180737769E-2</v>
          </cell>
          <cell r="AN185">
            <v>10330000</v>
          </cell>
          <cell r="AO185">
            <v>10295</v>
          </cell>
          <cell r="AP185">
            <v>1003.3997085964061</v>
          </cell>
          <cell r="AQ185">
            <v>5293000</v>
          </cell>
          <cell r="AR185">
            <v>13472000</v>
          </cell>
          <cell r="AS185">
            <v>0.39288895486935865</v>
          </cell>
          <cell r="AT185">
            <v>2587000</v>
          </cell>
          <cell r="AU185">
            <v>13472000</v>
          </cell>
          <cell r="AV185">
            <v>0.19202790973871733</v>
          </cell>
          <cell r="AW185">
            <v>197000</v>
          </cell>
          <cell r="AX185">
            <v>13472000</v>
          </cell>
          <cell r="AY185">
            <v>1.46229216152019E-2</v>
          </cell>
          <cell r="AZ185">
            <v>3113000</v>
          </cell>
          <cell r="BA185">
            <v>13472000</v>
          </cell>
          <cell r="BB185">
            <v>0.23107185273159145</v>
          </cell>
          <cell r="BC185">
            <v>2282000</v>
          </cell>
          <cell r="BD185">
            <v>13472000</v>
          </cell>
          <cell r="BE185">
            <v>0.16938836104513064</v>
          </cell>
          <cell r="BF185">
            <v>11698000</v>
          </cell>
          <cell r="BG185">
            <v>10295</v>
          </cell>
          <cell r="BH185">
            <v>1136.2797474502186</v>
          </cell>
          <cell r="BI185">
            <v>3407000</v>
          </cell>
          <cell r="BJ185">
            <v>1580000</v>
          </cell>
          <cell r="BK185">
            <v>2.1563291139240506</v>
          </cell>
          <cell r="BL185">
            <v>977000</v>
          </cell>
          <cell r="BM185">
            <v>10465000</v>
          </cell>
          <cell r="BN185">
            <v>9.3358815097945538E-2</v>
          </cell>
          <cell r="BO185">
            <v>1413000</v>
          </cell>
          <cell r="BP185">
            <v>2652000</v>
          </cell>
          <cell r="BQ185">
            <v>0.53280542986425339</v>
          </cell>
          <cell r="BR185">
            <v>109</v>
          </cell>
          <cell r="BS185" t="str">
            <v>&lt;=2</v>
          </cell>
          <cell r="BT185" t="str">
            <v>&lt;=2</v>
          </cell>
          <cell r="BU185" t="str">
            <v>On Time</v>
          </cell>
          <cell r="BV185">
            <v>225000</v>
          </cell>
          <cell r="BW185">
            <v>10295</v>
          </cell>
          <cell r="BX185">
            <v>21.855269548324429</v>
          </cell>
          <cell r="BY185">
            <v>49603</v>
          </cell>
          <cell r="BZ185">
            <v>10295</v>
          </cell>
          <cell r="CA185">
            <v>4.8181641573579403</v>
          </cell>
          <cell r="CB185">
            <v>440000</v>
          </cell>
          <cell r="CC185">
            <v>2755</v>
          </cell>
          <cell r="CD185">
            <v>159.70961887477313</v>
          </cell>
          <cell r="CE185">
            <v>468000</v>
          </cell>
          <cell r="CF185">
            <v>2755</v>
          </cell>
          <cell r="CG185">
            <v>169.87295825771324</v>
          </cell>
          <cell r="CH185">
            <v>638000</v>
          </cell>
          <cell r="CI185">
            <v>10295</v>
          </cell>
          <cell r="CJ185">
            <v>61.971830985915496</v>
          </cell>
          <cell r="CK185">
            <v>2780000</v>
          </cell>
          <cell r="CL185">
            <v>10295</v>
          </cell>
          <cell r="CM185">
            <v>270.03399708596407</v>
          </cell>
          <cell r="CN185">
            <v>461.46103162929597</v>
          </cell>
          <cell r="CO185">
            <v>439.202296888337</v>
          </cell>
          <cell r="CP185">
            <v>425.650796420191</v>
          </cell>
          <cell r="CQ185">
            <v>304.59183673469403</v>
          </cell>
          <cell r="CR185">
            <v>487</v>
          </cell>
          <cell r="CS185">
            <v>13948</v>
          </cell>
          <cell r="CT185">
            <v>487</v>
          </cell>
          <cell r="CU185">
            <v>28.640657084188913</v>
          </cell>
          <cell r="CV185">
            <v>22</v>
          </cell>
          <cell r="CW185">
            <v>0</v>
          </cell>
          <cell r="CX185">
            <v>538000</v>
          </cell>
          <cell r="CY185">
            <v>0</v>
          </cell>
          <cell r="CZ185">
            <v>152000</v>
          </cell>
          <cell r="DA185">
            <v>10295</v>
          </cell>
          <cell r="DB185">
            <v>14.764448761534725</v>
          </cell>
          <cell r="DC185">
            <v>301000</v>
          </cell>
          <cell r="DD185">
            <v>10295</v>
          </cell>
          <cell r="DE185">
            <v>29.237493929091791</v>
          </cell>
          <cell r="DF185">
            <v>427000</v>
          </cell>
          <cell r="DG185">
            <v>10295</v>
          </cell>
          <cell r="DH185">
            <v>41.476444876153472</v>
          </cell>
          <cell r="DI185">
            <v>3298.2</v>
          </cell>
          <cell r="DJ185">
            <v>3.12139955127039</v>
          </cell>
          <cell r="DK185">
            <v>9.2479674796747974E-3</v>
          </cell>
          <cell r="DL185">
            <v>1.59</v>
          </cell>
          <cell r="DM185">
            <v>3.5</v>
          </cell>
        </row>
        <row r="186">
          <cell r="B186" t="str">
            <v>Young Shire Council</v>
          </cell>
          <cell r="C186">
            <v>11</v>
          </cell>
          <cell r="D186">
            <v>1441000</v>
          </cell>
          <cell r="E186">
            <v>4149</v>
          </cell>
          <cell r="F186">
            <v>347.31260544709568</v>
          </cell>
          <cell r="G186">
            <v>1500000</v>
          </cell>
          <cell r="H186">
            <v>1057</v>
          </cell>
          <cell r="I186">
            <v>1419.1106906338694</v>
          </cell>
          <cell r="J186">
            <v>670000</v>
          </cell>
          <cell r="K186">
            <v>460</v>
          </cell>
          <cell r="L186">
            <v>1456.5217391304348</v>
          </cell>
          <cell r="M186">
            <v>804000</v>
          </cell>
          <cell r="N186">
            <v>8048000</v>
          </cell>
          <cell r="O186">
            <v>9.9900596421471172E-2</v>
          </cell>
          <cell r="P186">
            <v>320000</v>
          </cell>
          <cell r="Q186">
            <v>5691000</v>
          </cell>
          <cell r="R186">
            <v>5.6229133719908626E-2</v>
          </cell>
          <cell r="S186">
            <v>11000</v>
          </cell>
          <cell r="T186">
            <v>2026000</v>
          </cell>
          <cell r="U186">
            <v>5.4294175715695952E-3</v>
          </cell>
          <cell r="V186">
            <v>6011000</v>
          </cell>
          <cell r="W186">
            <v>13374000</v>
          </cell>
          <cell r="X186">
            <v>0.44945416479736805</v>
          </cell>
          <cell r="Y186">
            <v>2037000</v>
          </cell>
          <cell r="Z186">
            <v>13374000</v>
          </cell>
          <cell r="AA186">
            <v>0.15231045311799013</v>
          </cell>
          <cell r="AB186">
            <v>305000</v>
          </cell>
          <cell r="AC186">
            <v>13374000</v>
          </cell>
          <cell r="AD186">
            <v>2.2805443397637206E-2</v>
          </cell>
          <cell r="AE186">
            <v>3320000</v>
          </cell>
          <cell r="AF186">
            <v>13374000</v>
          </cell>
          <cell r="AG186">
            <v>0.24824285927919845</v>
          </cell>
          <cell r="AH186">
            <v>1346000</v>
          </cell>
          <cell r="AI186">
            <v>13374000</v>
          </cell>
          <cell r="AJ186">
            <v>0.10064303873186781</v>
          </cell>
          <cell r="AK186">
            <v>355000</v>
          </cell>
          <cell r="AL186">
            <v>13374000</v>
          </cell>
          <cell r="AM186">
            <v>2.6544040675938387E-2</v>
          </cell>
          <cell r="AN186">
            <v>9327000</v>
          </cell>
          <cell r="AO186">
            <v>11927</v>
          </cell>
          <cell r="AP186">
            <v>782.00721053072857</v>
          </cell>
          <cell r="AQ186">
            <v>3956000</v>
          </cell>
          <cell r="AR186">
            <v>11916000</v>
          </cell>
          <cell r="AS186">
            <v>0.3319906008727761</v>
          </cell>
          <cell r="AT186">
            <v>3492000</v>
          </cell>
          <cell r="AU186">
            <v>11916000</v>
          </cell>
          <cell r="AV186">
            <v>0.29305135951661632</v>
          </cell>
          <cell r="AW186">
            <v>448000</v>
          </cell>
          <cell r="AX186">
            <v>11916000</v>
          </cell>
          <cell r="AY186">
            <v>3.7596508895602551E-2</v>
          </cell>
          <cell r="AZ186">
            <v>2524000</v>
          </cell>
          <cell r="BA186">
            <v>11916000</v>
          </cell>
          <cell r="BB186">
            <v>0.21181604565290366</v>
          </cell>
          <cell r="BC186">
            <v>1496000</v>
          </cell>
          <cell r="BD186">
            <v>11916000</v>
          </cell>
          <cell r="BE186">
            <v>0.12554548506210136</v>
          </cell>
          <cell r="BF186">
            <v>9318000</v>
          </cell>
          <cell r="BG186">
            <v>11927</v>
          </cell>
          <cell r="BH186">
            <v>781.25262010564268</v>
          </cell>
          <cell r="BI186">
            <v>3440000</v>
          </cell>
          <cell r="BJ186">
            <v>1474000</v>
          </cell>
          <cell r="BK186">
            <v>2.333785617367707</v>
          </cell>
          <cell r="BL186">
            <v>630000</v>
          </cell>
          <cell r="BM186">
            <v>11209000</v>
          </cell>
          <cell r="BN186">
            <v>5.62048354001249E-2</v>
          </cell>
          <cell r="BO186">
            <v>2446000</v>
          </cell>
          <cell r="BP186">
            <v>2276000</v>
          </cell>
          <cell r="BQ186">
            <v>1.0746924428822495</v>
          </cell>
          <cell r="BR186">
            <v>95</v>
          </cell>
          <cell r="BS186" t="str">
            <v>&lt;=2</v>
          </cell>
          <cell r="BT186" t="str">
            <v>&lt;=2</v>
          </cell>
          <cell r="BU186" t="str">
            <v>On Time</v>
          </cell>
          <cell r="BV186">
            <v>208000</v>
          </cell>
          <cell r="BW186">
            <v>11927</v>
          </cell>
          <cell r="BX186">
            <v>17.439423157541711</v>
          </cell>
          <cell r="BY186">
            <v>57339</v>
          </cell>
          <cell r="BZ186">
            <v>11927</v>
          </cell>
          <cell r="CA186">
            <v>4.8074955982225207</v>
          </cell>
          <cell r="CB186">
            <v>424000</v>
          </cell>
          <cell r="CC186">
            <v>3066</v>
          </cell>
          <cell r="CD186">
            <v>138.29093281148076</v>
          </cell>
          <cell r="CE186">
            <v>680923</v>
          </cell>
          <cell r="CF186">
            <v>3066</v>
          </cell>
          <cell r="CG186">
            <v>222.08838878016959</v>
          </cell>
          <cell r="CH186">
            <v>1670000</v>
          </cell>
          <cell r="CI186">
            <v>11927</v>
          </cell>
          <cell r="CJ186">
            <v>140.01844554372431</v>
          </cell>
          <cell r="CK186">
            <v>3500000</v>
          </cell>
          <cell r="CL186">
            <v>11927</v>
          </cell>
          <cell r="CM186">
            <v>293.45183197786537</v>
          </cell>
          <cell r="CN186">
            <v>501.53920332319598</v>
          </cell>
          <cell r="CO186">
            <v>317.92098932889701</v>
          </cell>
          <cell r="CP186">
            <v>213</v>
          </cell>
          <cell r="CQ186">
            <v>153</v>
          </cell>
          <cell r="CR186">
            <v>258</v>
          </cell>
          <cell r="CS186">
            <v>11209</v>
          </cell>
          <cell r="CT186">
            <v>258</v>
          </cell>
          <cell r="CU186">
            <v>43.445736434108525</v>
          </cell>
          <cell r="CV186">
            <v>39</v>
          </cell>
          <cell r="CW186">
            <v>2000</v>
          </cell>
          <cell r="CX186">
            <v>224000</v>
          </cell>
          <cell r="CY186">
            <v>8.9285714285714281E-3</v>
          </cell>
          <cell r="CZ186">
            <v>196000</v>
          </cell>
          <cell r="DA186">
            <v>11927</v>
          </cell>
          <cell r="DB186">
            <v>16.433302590760459</v>
          </cell>
          <cell r="DC186">
            <v>735000</v>
          </cell>
          <cell r="DD186">
            <v>11927</v>
          </cell>
          <cell r="DE186">
            <v>61.624884715351726</v>
          </cell>
          <cell r="DF186">
            <v>179000</v>
          </cell>
          <cell r="DG186">
            <v>11927</v>
          </cell>
          <cell r="DH186">
            <v>15.007965121153685</v>
          </cell>
          <cell r="DI186">
            <v>2693.7</v>
          </cell>
          <cell r="DJ186">
            <v>4.4277387979359251</v>
          </cell>
          <cell r="DK186">
            <v>9.2456140350877201E-3</v>
          </cell>
          <cell r="DL186">
            <v>1.29</v>
          </cell>
          <cell r="DM186">
            <v>2.1800000000000002</v>
          </cell>
        </row>
        <row r="191">
          <cell r="B191" t="str">
            <v>Column 1</v>
          </cell>
          <cell r="C191" t="str">
            <v>Column 2</v>
          </cell>
          <cell r="D191" t="str">
            <v>Column 3</v>
          </cell>
          <cell r="E191" t="str">
            <v>Column 4</v>
          </cell>
          <cell r="F191" t="str">
            <v>Column 5</v>
          </cell>
          <cell r="G191" t="str">
            <v>Column 6</v>
          </cell>
          <cell r="H191" t="str">
            <v>Column 7</v>
          </cell>
          <cell r="I191" t="str">
            <v>Column 8</v>
          </cell>
          <cell r="J191" t="str">
            <v>Column 9</v>
          </cell>
          <cell r="K191" t="str">
            <v>Column 10</v>
          </cell>
          <cell r="L191" t="str">
            <v>Column 11</v>
          </cell>
          <cell r="M191" t="str">
            <v>Column 12</v>
          </cell>
          <cell r="N191" t="str">
            <v>Column 13</v>
          </cell>
          <cell r="O191" t="str">
            <v>Column 14</v>
          </cell>
          <cell r="P191" t="str">
            <v>Column 15</v>
          </cell>
          <cell r="Q191" t="str">
            <v>Column 16</v>
          </cell>
          <cell r="R191" t="str">
            <v>Column 17</v>
          </cell>
          <cell r="S191" t="str">
            <v>Column 18</v>
          </cell>
          <cell r="T191" t="str">
            <v>Column 19</v>
          </cell>
          <cell r="U191" t="str">
            <v>Column 20</v>
          </cell>
          <cell r="V191" t="str">
            <v>Column 21</v>
          </cell>
          <cell r="W191" t="str">
            <v>Column 22</v>
          </cell>
          <cell r="X191" t="str">
            <v>Column 23</v>
          </cell>
          <cell r="Y191" t="str">
            <v>Column 24</v>
          </cell>
          <cell r="Z191" t="str">
            <v>Column 25</v>
          </cell>
          <cell r="AA191" t="str">
            <v>Column 26</v>
          </cell>
          <cell r="AB191" t="str">
            <v>Column 27</v>
          </cell>
          <cell r="AC191" t="str">
            <v>Column 28</v>
          </cell>
          <cell r="AD191" t="str">
            <v>Column 29</v>
          </cell>
          <cell r="AE191" t="str">
            <v>Column 30</v>
          </cell>
          <cell r="AF191" t="str">
            <v>Column 31</v>
          </cell>
          <cell r="AG191" t="str">
            <v>Column 32</v>
          </cell>
          <cell r="AH191" t="str">
            <v>Column 33</v>
          </cell>
          <cell r="AI191" t="str">
            <v>Column 34</v>
          </cell>
          <cell r="AJ191" t="str">
            <v>Column 35</v>
          </cell>
          <cell r="AK191" t="str">
            <v>Column 36</v>
          </cell>
          <cell r="AL191" t="str">
            <v>Column 37</v>
          </cell>
          <cell r="AM191" t="str">
            <v>Column 38</v>
          </cell>
          <cell r="AN191" t="str">
            <v>Column 39</v>
          </cell>
          <cell r="AO191" t="str">
            <v>Column 40</v>
          </cell>
          <cell r="AP191" t="str">
            <v>Column 41</v>
          </cell>
          <cell r="AQ191" t="str">
            <v>Column 42</v>
          </cell>
          <cell r="AR191" t="str">
            <v>Column 43</v>
          </cell>
          <cell r="AS191" t="str">
            <v>Column 44</v>
          </cell>
          <cell r="AT191" t="str">
            <v>Column 45</v>
          </cell>
          <cell r="AU191" t="str">
            <v>Column 46</v>
          </cell>
          <cell r="AV191" t="str">
            <v>Column 47</v>
          </cell>
          <cell r="AW191" t="str">
            <v>Column 48</v>
          </cell>
          <cell r="AX191" t="str">
            <v>Column 49</v>
          </cell>
          <cell r="AY191" t="str">
            <v>Column 50</v>
          </cell>
          <cell r="AZ191" t="str">
            <v>Column 51</v>
          </cell>
          <cell r="BA191" t="str">
            <v>Column 52</v>
          </cell>
          <cell r="BB191" t="str">
            <v>Column 53</v>
          </cell>
          <cell r="BC191" t="str">
            <v>Column 54</v>
          </cell>
          <cell r="BD191" t="str">
            <v>Column 55</v>
          </cell>
          <cell r="BE191" t="str">
            <v>Column 56</v>
          </cell>
          <cell r="BF191" t="str">
            <v>Column 57</v>
          </cell>
          <cell r="BG191" t="str">
            <v>Column 58</v>
          </cell>
          <cell r="BH191" t="str">
            <v>Column 59</v>
          </cell>
          <cell r="BI191" t="str">
            <v>Column 60</v>
          </cell>
          <cell r="BJ191" t="str">
            <v>Column 61</v>
          </cell>
          <cell r="BK191" t="str">
            <v>Column 62</v>
          </cell>
          <cell r="BL191" t="str">
            <v>Column 63</v>
          </cell>
          <cell r="BM191" t="str">
            <v>Column 64</v>
          </cell>
          <cell r="BN191" t="str">
            <v>Column 65</v>
          </cell>
          <cell r="BO191" t="str">
            <v>Column 66</v>
          </cell>
          <cell r="BP191" t="str">
            <v>Column 67</v>
          </cell>
          <cell r="BQ191" t="str">
            <v>Column 68</v>
          </cell>
          <cell r="BR191" t="str">
            <v>Column 69</v>
          </cell>
          <cell r="BS191" t="str">
            <v>Column 70</v>
          </cell>
          <cell r="BT191" t="str">
            <v>Column 71</v>
          </cell>
          <cell r="BU191" t="str">
            <v>Column 72</v>
          </cell>
          <cell r="BV191" t="str">
            <v>Column 73</v>
          </cell>
          <cell r="BW191" t="str">
            <v>Column 74</v>
          </cell>
          <cell r="BX191" t="str">
            <v>Column 75</v>
          </cell>
          <cell r="BY191" t="str">
            <v>Column 76</v>
          </cell>
          <cell r="BZ191" t="str">
            <v>Column 77</v>
          </cell>
          <cell r="CA191" t="str">
            <v>Column 78</v>
          </cell>
          <cell r="CB191" t="str">
            <v>Column 79</v>
          </cell>
          <cell r="CC191" t="str">
            <v>Column 80</v>
          </cell>
          <cell r="CD191" t="str">
            <v>Column 81</v>
          </cell>
          <cell r="CE191" t="str">
            <v>Column 82</v>
          </cell>
          <cell r="CF191" t="str">
            <v>Column 83</v>
          </cell>
          <cell r="CG191" t="str">
            <v>Column 84</v>
          </cell>
          <cell r="CH191" t="str">
            <v>Column 85</v>
          </cell>
          <cell r="CI191" t="str">
            <v>Column 86</v>
          </cell>
          <cell r="CJ191" t="str">
            <v>Column 87</v>
          </cell>
          <cell r="CK191" t="str">
            <v>Column 88</v>
          </cell>
          <cell r="CL191" t="str">
            <v>Column 89</v>
          </cell>
          <cell r="CM191" t="str">
            <v>Column 90</v>
          </cell>
          <cell r="CN191" t="str">
            <v>Column 91</v>
          </cell>
          <cell r="CO191" t="str">
            <v>Column 92</v>
          </cell>
          <cell r="CP191" t="str">
            <v>Column 93</v>
          </cell>
          <cell r="CQ191" t="str">
            <v>Column 94</v>
          </cell>
          <cell r="CR191" t="str">
            <v>Column 95</v>
          </cell>
          <cell r="CS191" t="str">
            <v>Column 96</v>
          </cell>
          <cell r="CT191" t="str">
            <v>Column 97</v>
          </cell>
          <cell r="CU191" t="str">
            <v>Column 98</v>
          </cell>
          <cell r="CV191" t="str">
            <v>Column 99</v>
          </cell>
          <cell r="CW191" t="str">
            <v>Column 100</v>
          </cell>
          <cell r="CX191" t="str">
            <v>Column 101</v>
          </cell>
          <cell r="CY191" t="str">
            <v>Column 102</v>
          </cell>
          <cell r="CZ191" t="str">
            <v>Column 103</v>
          </cell>
          <cell r="DA191" t="str">
            <v>Column 104</v>
          </cell>
          <cell r="DB191" t="str">
            <v>Column 105</v>
          </cell>
          <cell r="DC191" t="str">
            <v>Column 106</v>
          </cell>
          <cell r="DD191" t="str">
            <v>Column 107</v>
          </cell>
          <cell r="DE191" t="str">
            <v>Column 108</v>
          </cell>
          <cell r="DF191" t="str">
            <v>Column 109</v>
          </cell>
          <cell r="DG191" t="str">
            <v>Column 110</v>
          </cell>
          <cell r="DH191" t="str">
            <v>Column 111</v>
          </cell>
          <cell r="DI191" t="str">
            <v>Column 112</v>
          </cell>
          <cell r="DJ191" t="str">
            <v>Column 113</v>
          </cell>
          <cell r="DK191" t="str">
            <v>Column 114</v>
          </cell>
          <cell r="DL191" t="str">
            <v>Column 115</v>
          </cell>
          <cell r="DM191" t="str">
            <v>Column 116</v>
          </cell>
        </row>
        <row r="192">
          <cell r="C192" t="str">
            <v>Group</v>
          </cell>
          <cell r="D192" t="str">
            <v>Sum of Total Residential Rates Revenue</v>
          </cell>
          <cell r="E192" t="str">
            <v>Sum of Number of Rateable Residential Properties</v>
          </cell>
          <cell r="G192" t="str">
            <v>Sum of Total Farmland Rates Revenue</v>
          </cell>
          <cell r="H192" t="str">
            <v>Sum of Number of Rateable Farmland Properties</v>
          </cell>
          <cell r="J192" t="str">
            <v>Sum of Total Business Rates Revenue</v>
          </cell>
          <cell r="K192" t="str">
            <v>Sum of Number of Rateable Business Properties</v>
          </cell>
          <cell r="M192" t="str">
            <v>Sum of Outstanding Rates and Annual Charges + User Charges and Fees</v>
          </cell>
          <cell r="N192" t="str">
            <v>Sum of Rates and Annual Charges + User Charges and Fees</v>
          </cell>
          <cell r="P192" t="str">
            <v>Sum of  Note 4(a) 2001/02 - Note 4(a) 2000/01 Data</v>
          </cell>
          <cell r="Q192" t="str">
            <v>Sum of  Note 4(a) 2000/01 Data</v>
          </cell>
          <cell r="S192" t="str">
            <v>Sum of  Note 4(b) 2001/02 - Note 4(b) 2000/01 Data</v>
          </cell>
          <cell r="T192" t="str">
            <v>Sum of  Note 4(b) 2000/01 Data</v>
          </cell>
          <cell r="V192" t="str">
            <v>Sum of Rates Revenue (Ordinary and Special) and Annual Charges</v>
          </cell>
          <cell r="W192" t="str">
            <v>Sum of Total Ordinary Revenue</v>
          </cell>
          <cell r="Y192" t="str">
            <v>Sum of User Charges and Fees</v>
          </cell>
          <cell r="Z192" t="str">
            <v>Sum of Total Ordinary Revenue2</v>
          </cell>
          <cell r="AB192" t="str">
            <v>Sum of Interest Revenue</v>
          </cell>
          <cell r="AC192" t="str">
            <v>Sum of Total Ordinary Revenue3</v>
          </cell>
          <cell r="AE192" t="str">
            <v>Sum of Grants Revenue</v>
          </cell>
          <cell r="AF192" t="str">
            <v>Sum of Total Ordinary Revenue4</v>
          </cell>
          <cell r="AH192" t="str">
            <v>Sum of Contributions and Donations</v>
          </cell>
          <cell r="AI192" t="str">
            <v>Sum of Total Ordinary Revenue5</v>
          </cell>
          <cell r="AK192" t="str">
            <v>Sum of Other Revenues</v>
          </cell>
          <cell r="AL192" t="str">
            <v>Sum of Total Ordinary Revenue6</v>
          </cell>
          <cell r="AN192" t="str">
            <v>Sum of Total ordinary revenue (excluding water and sewerage)</v>
          </cell>
          <cell r="AO192" t="str">
            <v>Sum of Estimated resident population within council boundaries</v>
          </cell>
          <cell r="AQ192" t="str">
            <v>Sum of Employee costs</v>
          </cell>
          <cell r="AR192" t="str">
            <v>Sum of Total ordinary expenditure</v>
          </cell>
          <cell r="AT192" t="str">
            <v>Sum of Materials and contracts</v>
          </cell>
          <cell r="AU192" t="str">
            <v>Sum of Total ordinary expenditure2</v>
          </cell>
          <cell r="AW192" t="str">
            <v>Sum of Borrowing costs</v>
          </cell>
          <cell r="AX192" t="str">
            <v>Sum of Total ordinary expenditure3</v>
          </cell>
          <cell r="AZ192" t="str">
            <v>Sum of Depreciation</v>
          </cell>
          <cell r="BA192" t="str">
            <v>Sum of Total ordinary expenditure4</v>
          </cell>
          <cell r="BC192" t="str">
            <v>Sum of Other expenses</v>
          </cell>
          <cell r="BD192" t="str">
            <v>Sum of Total ordinary expenditure5</v>
          </cell>
          <cell r="BF192" t="str">
            <v>Sum of Total ordinary expenses (excluding water and sewerage)</v>
          </cell>
          <cell r="BG192" t="str">
            <v>Sum of Estimated resident population within council boundaries2</v>
          </cell>
          <cell r="BI192" t="str">
            <v>Sum of Current assets less external restrictions</v>
          </cell>
          <cell r="BJ192" t="str">
            <v>Sum of Current liabilities less specific purpose liabilities</v>
          </cell>
          <cell r="BL192" t="str">
            <v>Sum of Net Debt Service Cost</v>
          </cell>
          <cell r="BM192" t="str">
            <v>Sum of Revenue from ordinary activities</v>
          </cell>
          <cell r="BO192" t="str">
            <v>Sum of Change in property, plant and equipment (excluding land, water and sewerage)</v>
          </cell>
          <cell r="BP192" t="str">
            <v>Sum of Annual depreciation (excluding  water and sewerage)</v>
          </cell>
          <cell r="BR192" t="str">
            <v>Average of Result23</v>
          </cell>
          <cell r="BS192" t="str">
            <v>Count of Result24</v>
          </cell>
          <cell r="BT192" t="str">
            <v>Count of Result25</v>
          </cell>
          <cell r="BU192" t="str">
            <v>Count of Result26</v>
          </cell>
          <cell r="BV192" t="str">
            <v>Sum of Total Library expenses</v>
          </cell>
          <cell r="BW192" t="str">
            <v>Sum of Estimated resident population within council boundaries3</v>
          </cell>
          <cell r="BX192" t="str">
            <v>Count of Result27</v>
          </cell>
          <cell r="BY192" t="str">
            <v>Sum of Number of circulations recorded for library services</v>
          </cell>
          <cell r="BZ192" t="str">
            <v>Sum of Estimated resident population within council boundaries4</v>
          </cell>
          <cell r="CA192" t="str">
            <v>Count of Result28</v>
          </cell>
          <cell r="CB192" t="str">
            <v>Sum of Total Domestic Waste Management Charges</v>
          </cell>
          <cell r="CC192" t="str">
            <v>Sum of Number of Residential Properties receiving Service</v>
          </cell>
          <cell r="CD192" t="str">
            <v>Count of Result29</v>
          </cell>
          <cell r="CE192" t="str">
            <v>Sum of Total domestic waste collection costs (excluding tipping costs)</v>
          </cell>
          <cell r="CF192" t="str">
            <v>Sum of Number of services (domestic pickups per week)</v>
          </cell>
          <cell r="CG192" t="str">
            <v>Count of Result30</v>
          </cell>
          <cell r="CH192" t="str">
            <v>Sum of Total Kilograms of Recyclables Collected</v>
          </cell>
          <cell r="CI192" t="str">
            <v>Sum of Estimated resident population within council boundaries5</v>
          </cell>
          <cell r="CJ192" t="str">
            <v>Count of Result31</v>
          </cell>
          <cell r="CK192" t="str">
            <v>Sum of Total Kilograms of Domestic Waste Collected</v>
          </cell>
          <cell r="CL192" t="str">
            <v>Sum of Estimated resident population within council boundaries6</v>
          </cell>
          <cell r="CM192" t="str">
            <v>Count of Result32</v>
          </cell>
          <cell r="CN192" t="str">
            <v>Average of Result33</v>
          </cell>
          <cell r="CO192" t="str">
            <v>Average of Result34</v>
          </cell>
          <cell r="CP192" t="str">
            <v>Average of Result35</v>
          </cell>
          <cell r="CQ192" t="str">
            <v>Average of Result36</v>
          </cell>
          <cell r="CR192" t="str">
            <v>Average of Result37</v>
          </cell>
          <cell r="CS192" t="str">
            <v>Sum of Total number of calendar days taken to determine DAs</v>
          </cell>
          <cell r="CT192" t="str">
            <v>Sum of Number of DAs determined</v>
          </cell>
          <cell r="CU192" t="str">
            <v>Count of Result38</v>
          </cell>
          <cell r="CV192" t="str">
            <v>Average of Result39</v>
          </cell>
          <cell r="CW192" t="str">
            <v>Sum of Legal expenses (planning and development)</v>
          </cell>
          <cell r="CX192" t="str">
            <v>Sum of Total planning and building control costs</v>
          </cell>
          <cell r="CY192" t="str">
            <v>Count of Result40</v>
          </cell>
          <cell r="CZ192" t="str">
            <v>Sum of Total environmental management and health expenses</v>
          </cell>
          <cell r="DA192" t="str">
            <v>Sum of Estimated resident population within council boundaries7</v>
          </cell>
          <cell r="DB192" t="str">
            <v>Count of Result41</v>
          </cell>
          <cell r="DC192" t="str">
            <v>Sum of Net cost of recreation and leisure expenses</v>
          </cell>
          <cell r="DD192" t="str">
            <v>Sum of Estimated resident population within council boundaries8</v>
          </cell>
          <cell r="DE192" t="str">
            <v>Count of Result42</v>
          </cell>
          <cell r="DF192" t="str">
            <v>Sum of Total community services expenses</v>
          </cell>
          <cell r="DG192" t="str">
            <v>Sum of Estimated resident population within council boundaries9</v>
          </cell>
          <cell r="DH192" t="str">
            <v>Count of Result43</v>
          </cell>
          <cell r="DI192" t="str">
            <v>Average of Area (sq Km) at 30 Jun 2001</v>
          </cell>
          <cell r="DJ192" t="str">
            <v>Average of Population Density at
30 Jun 2001</v>
          </cell>
          <cell r="DK192" t="str">
            <v>Average of Population Growth %
   30 Jun 1996 to 30 Jun 2001
(5 year average)</v>
          </cell>
          <cell r="DL192" t="str">
            <v>Average of ATSI Population %</v>
          </cell>
          <cell r="DM192" t="str">
            <v>Average of NESB Population %</v>
          </cell>
        </row>
        <row r="193">
          <cell r="B193" t="str">
            <v>Group 1 Average</v>
          </cell>
          <cell r="C193">
            <v>1</v>
          </cell>
          <cell r="D193">
            <v>6532000</v>
          </cell>
          <cell r="E193">
            <v>15294</v>
          </cell>
          <cell r="F193">
            <v>427.09559304302343</v>
          </cell>
          <cell r="G193">
            <v>0</v>
          </cell>
          <cell r="H193">
            <v>0</v>
          </cell>
          <cell r="I193" t="str">
            <v>N/A</v>
          </cell>
          <cell r="J193">
            <v>85580000</v>
          </cell>
          <cell r="K193">
            <v>7911</v>
          </cell>
          <cell r="L193">
            <v>10817.848565288838</v>
          </cell>
          <cell r="M193">
            <v>3145000</v>
          </cell>
          <cell r="N193">
            <v>130135000</v>
          </cell>
          <cell r="O193">
            <v>2.4167210973220117E-2</v>
          </cell>
          <cell r="P193">
            <v>935000</v>
          </cell>
          <cell r="Q193">
            <v>93893000</v>
          </cell>
          <cell r="R193">
            <v>9.9581438445890541E-3</v>
          </cell>
          <cell r="S193">
            <v>4339000</v>
          </cell>
          <cell r="T193">
            <v>30968000</v>
          </cell>
          <cell r="U193">
            <v>0.14011237406354948</v>
          </cell>
          <cell r="V193">
            <v>94828000</v>
          </cell>
          <cell r="W193">
            <v>176301000</v>
          </cell>
          <cell r="X193">
            <v>0.53787556508471313</v>
          </cell>
          <cell r="Y193">
            <v>35307000</v>
          </cell>
          <cell r="Z193">
            <v>176301000</v>
          </cell>
          <cell r="AA193">
            <v>0.20026545510235336</v>
          </cell>
          <cell r="AB193">
            <v>3294000</v>
          </cell>
          <cell r="AC193">
            <v>176301000</v>
          </cell>
          <cell r="AD193">
            <v>1.8683955281025066E-2</v>
          </cell>
          <cell r="AE193">
            <v>2927000</v>
          </cell>
          <cell r="AF193">
            <v>176301000</v>
          </cell>
          <cell r="AG193">
            <v>1.6602288132228405E-2</v>
          </cell>
          <cell r="AH193">
            <v>6189000</v>
          </cell>
          <cell r="AI193">
            <v>176301000</v>
          </cell>
          <cell r="AJ193">
            <v>3.5104735650960575E-2</v>
          </cell>
          <cell r="AK193">
            <v>33756000</v>
          </cell>
          <cell r="AL193">
            <v>176301000</v>
          </cell>
          <cell r="AM193">
            <v>0.19146800074871953</v>
          </cell>
          <cell r="AN193">
            <v>172423000</v>
          </cell>
          <cell r="AO193">
            <v>31788</v>
          </cell>
          <cell r="AP193">
            <v>5424.1537687177552</v>
          </cell>
          <cell r="AQ193">
            <v>50341000</v>
          </cell>
          <cell r="AR193">
            <v>128102000</v>
          </cell>
          <cell r="AS193">
            <v>0.3929759098218607</v>
          </cell>
          <cell r="AT193">
            <v>22776000</v>
          </cell>
          <cell r="AU193">
            <v>128102000</v>
          </cell>
          <cell r="AV193">
            <v>0.17779581895676883</v>
          </cell>
          <cell r="AW193">
            <v>827000</v>
          </cell>
          <cell r="AX193">
            <v>128102000</v>
          </cell>
          <cell r="AY193">
            <v>6.4557930399213124E-3</v>
          </cell>
          <cell r="AZ193">
            <v>20115000</v>
          </cell>
          <cell r="BA193">
            <v>128102000</v>
          </cell>
          <cell r="BB193">
            <v>0.15702330955020219</v>
          </cell>
          <cell r="BC193">
            <v>34043000</v>
          </cell>
          <cell r="BD193">
            <v>128102000</v>
          </cell>
          <cell r="BE193">
            <v>0.26574916863124698</v>
          </cell>
          <cell r="BF193">
            <v>128102000</v>
          </cell>
          <cell r="BG193">
            <v>31788</v>
          </cell>
          <cell r="BH193">
            <v>4029.8854913803953</v>
          </cell>
          <cell r="BI193">
            <v>122804000</v>
          </cell>
          <cell r="BJ193">
            <v>35687000</v>
          </cell>
          <cell r="BK193">
            <v>3.4411410317482556</v>
          </cell>
          <cell r="BL193">
            <v>10026000</v>
          </cell>
          <cell r="BM193">
            <v>170018000</v>
          </cell>
          <cell r="BN193">
            <v>5.897022668188074E-2</v>
          </cell>
          <cell r="BO193">
            <v>5702000</v>
          </cell>
          <cell r="BP193">
            <v>20115000</v>
          </cell>
          <cell r="BQ193">
            <v>0.28347004722843649</v>
          </cell>
          <cell r="BR193">
            <v>709.6</v>
          </cell>
          <cell r="BS193" t="str">
            <v>N/A</v>
          </cell>
          <cell r="BT193" t="str">
            <v>N/A</v>
          </cell>
          <cell r="BU193" t="str">
            <v>N/A</v>
          </cell>
          <cell r="BV193">
            <v>2513000</v>
          </cell>
          <cell r="BW193">
            <v>31788</v>
          </cell>
          <cell r="BX193">
            <v>79.054989304139923</v>
          </cell>
          <cell r="BY193">
            <v>749446</v>
          </cell>
          <cell r="BZ193">
            <v>31788</v>
          </cell>
          <cell r="CA193">
            <v>23.576381024285894</v>
          </cell>
          <cell r="CB193">
            <v>2716000</v>
          </cell>
          <cell r="CC193">
            <v>15731</v>
          </cell>
          <cell r="CD193">
            <v>172.65272392092047</v>
          </cell>
          <cell r="CE193">
            <v>1543970</v>
          </cell>
          <cell r="CF193">
            <v>36181</v>
          </cell>
          <cell r="CG193">
            <v>42.67350266714574</v>
          </cell>
          <cell r="CH193">
            <v>1440000</v>
          </cell>
          <cell r="CI193">
            <v>31788</v>
          </cell>
          <cell r="CJ193">
            <v>45.300113250283125</v>
          </cell>
          <cell r="CK193">
            <v>6044000</v>
          </cell>
          <cell r="CL193">
            <v>31788</v>
          </cell>
          <cell r="CM193">
            <v>190.13464200327167</v>
          </cell>
          <cell r="CN193" t="str">
            <v>N/A</v>
          </cell>
          <cell r="CO193" t="str">
            <v>N/A</v>
          </cell>
          <cell r="CP193" t="str">
            <v>N/A</v>
          </cell>
          <cell r="CQ193" t="str">
            <v>N/A</v>
          </cell>
          <cell r="CR193">
            <v>848</v>
          </cell>
          <cell r="CS193">
            <v>21567</v>
          </cell>
          <cell r="CT193">
            <v>848</v>
          </cell>
          <cell r="CU193">
            <v>25.432783018867923</v>
          </cell>
          <cell r="CV193">
            <v>18</v>
          </cell>
          <cell r="CW193">
            <v>343000</v>
          </cell>
          <cell r="CX193">
            <v>5855000</v>
          </cell>
          <cell r="CY193">
            <v>5.8582408198121265E-2</v>
          </cell>
          <cell r="CZ193">
            <v>1761000</v>
          </cell>
          <cell r="DA193">
            <v>31788</v>
          </cell>
          <cell r="DB193">
            <v>55.398263495658739</v>
          </cell>
          <cell r="DC193">
            <v>3697000</v>
          </cell>
          <cell r="DD193">
            <v>31788</v>
          </cell>
          <cell r="DE193">
            <v>116.30174908770606</v>
          </cell>
          <cell r="DF193">
            <v>1349000</v>
          </cell>
          <cell r="DG193">
            <v>31788</v>
          </cell>
          <cell r="DH193">
            <v>42.437397760161069</v>
          </cell>
          <cell r="DI193">
            <v>6.7</v>
          </cell>
          <cell r="DJ193">
            <v>4744.4776119402986</v>
          </cell>
          <cell r="DK193">
            <v>0.59969811320754718</v>
          </cell>
          <cell r="DL193">
            <v>0.9</v>
          </cell>
          <cell r="DM193">
            <v>37.5</v>
          </cell>
        </row>
        <row r="194">
          <cell r="B194" t="str">
            <v>Group 2 Average</v>
          </cell>
          <cell r="C194">
            <v>2</v>
          </cell>
          <cell r="D194">
            <v>184368000</v>
          </cell>
          <cell r="E194">
            <v>300927</v>
          </cell>
          <cell r="F194">
            <v>612.66685940444029</v>
          </cell>
          <cell r="G194">
            <v>47000</v>
          </cell>
          <cell r="H194">
            <v>22</v>
          </cell>
          <cell r="I194">
            <v>2136.3636363636365</v>
          </cell>
          <cell r="J194">
            <v>75236000</v>
          </cell>
          <cell r="K194">
            <v>22044</v>
          </cell>
          <cell r="L194">
            <v>3412.9921974233353</v>
          </cell>
          <cell r="M194">
            <v>24827000</v>
          </cell>
          <cell r="N194">
            <v>439278000</v>
          </cell>
          <cell r="O194">
            <v>5.651774047414166E-2</v>
          </cell>
          <cell r="P194">
            <v>17249000</v>
          </cell>
          <cell r="Q194">
            <v>292271000</v>
          </cell>
          <cell r="R194">
            <v>5.9017145046891414E-2</v>
          </cell>
          <cell r="S194">
            <v>11947000</v>
          </cell>
          <cell r="T194">
            <v>89474000</v>
          </cell>
          <cell r="U194">
            <v>0.1335248228535664</v>
          </cell>
          <cell r="V194">
            <v>332531000</v>
          </cell>
          <cell r="W194">
            <v>585208000</v>
          </cell>
          <cell r="X194">
            <v>0.56822702355401844</v>
          </cell>
          <cell r="Y194">
            <v>106747000</v>
          </cell>
          <cell r="Z194">
            <v>585208000</v>
          </cell>
          <cell r="AA194">
            <v>0.18240864786537436</v>
          </cell>
          <cell r="AB194">
            <v>14802000</v>
          </cell>
          <cell r="AC194">
            <v>585208000</v>
          </cell>
          <cell r="AD194">
            <v>2.5293570832934615E-2</v>
          </cell>
          <cell r="AE194">
            <v>51005000</v>
          </cell>
          <cell r="AF194">
            <v>585208000</v>
          </cell>
          <cell r="AG194">
            <v>8.715704501647277E-2</v>
          </cell>
          <cell r="AH194">
            <v>49694000</v>
          </cell>
          <cell r="AI194">
            <v>585208000</v>
          </cell>
          <cell r="AJ194">
            <v>8.4916815901354734E-2</v>
          </cell>
          <cell r="AK194">
            <v>30429000</v>
          </cell>
          <cell r="AL194">
            <v>585208000</v>
          </cell>
          <cell r="AM194">
            <v>5.1996896829845117E-2</v>
          </cell>
          <cell r="AN194">
            <v>553054000</v>
          </cell>
          <cell r="AO194">
            <v>787949</v>
          </cell>
          <cell r="AP194">
            <v>701.89060459496739</v>
          </cell>
          <cell r="AQ194">
            <v>233923000</v>
          </cell>
          <cell r="AR194">
            <v>562798000</v>
          </cell>
          <cell r="AS194">
            <v>0.41564291273245463</v>
          </cell>
          <cell r="AT194">
            <v>136164000</v>
          </cell>
          <cell r="AU194">
            <v>562798000</v>
          </cell>
          <cell r="AV194">
            <v>0.24194115828414459</v>
          </cell>
          <cell r="AW194">
            <v>4396000</v>
          </cell>
          <cell r="AX194">
            <v>562798000</v>
          </cell>
          <cell r="AY194">
            <v>7.8109730311763719E-3</v>
          </cell>
          <cell r="AZ194">
            <v>87980000</v>
          </cell>
          <cell r="BA194">
            <v>562798000</v>
          </cell>
          <cell r="BB194">
            <v>0.15632607081048619</v>
          </cell>
          <cell r="BC194">
            <v>100335000</v>
          </cell>
          <cell r="BD194">
            <v>562798000</v>
          </cell>
          <cell r="BE194">
            <v>0.17827888514173823</v>
          </cell>
          <cell r="BF194">
            <v>565218000</v>
          </cell>
          <cell r="BG194">
            <v>787949</v>
          </cell>
          <cell r="BH194">
            <v>717.32815194892055</v>
          </cell>
          <cell r="BI194">
            <v>218828000</v>
          </cell>
          <cell r="BJ194">
            <v>94021000</v>
          </cell>
          <cell r="BK194">
            <v>2.3274374873698429</v>
          </cell>
          <cell r="BL194">
            <v>16540000</v>
          </cell>
          <cell r="BM194">
            <v>524614000</v>
          </cell>
          <cell r="BN194">
            <v>3.1527942449114971E-2</v>
          </cell>
          <cell r="BO194">
            <v>76028000</v>
          </cell>
          <cell r="BP194">
            <v>87980000</v>
          </cell>
          <cell r="BQ194">
            <v>0.86415094339622645</v>
          </cell>
          <cell r="BR194">
            <v>260.37058823529406</v>
          </cell>
          <cell r="BS194" t="str">
            <v>N/A</v>
          </cell>
          <cell r="BT194" t="str">
            <v>N/A</v>
          </cell>
          <cell r="BU194" t="str">
            <v>N/A</v>
          </cell>
          <cell r="BV194">
            <v>27686000</v>
          </cell>
          <cell r="BW194">
            <v>787949</v>
          </cell>
          <cell r="BX194">
            <v>35.136791848203373</v>
          </cell>
          <cell r="BY194">
            <v>6569037</v>
          </cell>
          <cell r="BZ194">
            <v>787949</v>
          </cell>
          <cell r="CA194">
            <v>8.3368809402638995</v>
          </cell>
          <cell r="CB194">
            <v>70693000</v>
          </cell>
          <cell r="CC194">
            <v>312502</v>
          </cell>
          <cell r="CD194">
            <v>226.2161522166258</v>
          </cell>
          <cell r="CE194">
            <v>48054550</v>
          </cell>
          <cell r="CF194">
            <v>357890</v>
          </cell>
          <cell r="CG194">
            <v>134.27184330380842</v>
          </cell>
          <cell r="CH194">
            <v>107881190</v>
          </cell>
          <cell r="CI194">
            <v>787949</v>
          </cell>
          <cell r="CJ194">
            <v>136.91392463217798</v>
          </cell>
          <cell r="CK194">
            <v>185442120</v>
          </cell>
          <cell r="CL194">
            <v>787949</v>
          </cell>
          <cell r="CM194">
            <v>235.34787149929755</v>
          </cell>
          <cell r="CN194" t="str">
            <v>N/A</v>
          </cell>
          <cell r="CO194" t="str">
            <v>N/A</v>
          </cell>
          <cell r="CP194" t="str">
            <v>N/A</v>
          </cell>
          <cell r="CQ194" t="str">
            <v>N/A</v>
          </cell>
          <cell r="CR194">
            <v>730.17647058823525</v>
          </cell>
          <cell r="CS194">
            <v>953838</v>
          </cell>
          <cell r="CT194">
            <v>12413</v>
          </cell>
          <cell r="CU194">
            <v>76.84185934101346</v>
          </cell>
          <cell r="CV194">
            <v>61.588235294117645</v>
          </cell>
          <cell r="CW194">
            <v>6224000</v>
          </cell>
          <cell r="CX194">
            <v>38339000</v>
          </cell>
          <cell r="CY194">
            <v>0.16234121912412947</v>
          </cell>
          <cell r="CZ194">
            <v>13975000</v>
          </cell>
          <cell r="DA194">
            <v>787949</v>
          </cell>
          <cell r="DB194">
            <v>17.735919456716108</v>
          </cell>
          <cell r="DC194">
            <v>45788000</v>
          </cell>
          <cell r="DD194">
            <v>787949</v>
          </cell>
          <cell r="DE194">
            <v>58.110359934462764</v>
          </cell>
          <cell r="DF194">
            <v>34788000</v>
          </cell>
          <cell r="DG194">
            <v>787949</v>
          </cell>
          <cell r="DH194">
            <v>44.150065549927724</v>
          </cell>
          <cell r="DI194">
            <v>18.652941176470588</v>
          </cell>
          <cell r="DJ194">
            <v>3419.5653316071075</v>
          </cell>
          <cell r="DK194">
            <v>1.3951120884131096E-2</v>
          </cell>
          <cell r="DL194">
            <v>0.44</v>
          </cell>
          <cell r="DM194">
            <v>24.29588235294117</v>
          </cell>
        </row>
        <row r="195">
          <cell r="B195" t="str">
            <v>Group 3 Average</v>
          </cell>
          <cell r="C195">
            <v>3</v>
          </cell>
          <cell r="D195">
            <v>412680000</v>
          </cell>
          <cell r="E195">
            <v>677325</v>
          </cell>
          <cell r="F195">
            <v>609.27914959583654</v>
          </cell>
          <cell r="G195">
            <v>864000</v>
          </cell>
          <cell r="H195">
            <v>430</v>
          </cell>
          <cell r="I195">
            <v>2009.3023255813953</v>
          </cell>
          <cell r="J195">
            <v>171574000</v>
          </cell>
          <cell r="K195">
            <v>42254</v>
          </cell>
          <cell r="L195">
            <v>4060.5386472286646</v>
          </cell>
          <cell r="M195">
            <v>41103000</v>
          </cell>
          <cell r="N195">
            <v>895850000</v>
          </cell>
          <cell r="O195">
            <v>4.5881564994139645E-2</v>
          </cell>
          <cell r="P195">
            <v>39779000</v>
          </cell>
          <cell r="Q195">
            <v>700923000</v>
          </cell>
          <cell r="R195">
            <v>5.6752310881509095E-2</v>
          </cell>
          <cell r="S195">
            <v>7031000</v>
          </cell>
          <cell r="T195">
            <v>148117000</v>
          </cell>
          <cell r="U195">
            <v>4.74692304056928E-2</v>
          </cell>
          <cell r="V195">
            <v>740702000</v>
          </cell>
          <cell r="W195">
            <v>1319156000</v>
          </cell>
          <cell r="X195">
            <v>0.56149689650048973</v>
          </cell>
          <cell r="Y195">
            <v>155148000</v>
          </cell>
          <cell r="Z195">
            <v>1319156000</v>
          </cell>
          <cell r="AA195">
            <v>0.11761156375743279</v>
          </cell>
          <cell r="AB195">
            <v>38223000</v>
          </cell>
          <cell r="AC195">
            <v>1319156000</v>
          </cell>
          <cell r="AD195">
            <v>2.8975344841701816E-2</v>
          </cell>
          <cell r="AE195">
            <v>156648000</v>
          </cell>
          <cell r="AF195">
            <v>1319156000</v>
          </cell>
          <cell r="AG195">
            <v>0.11874865444268912</v>
          </cell>
          <cell r="AH195">
            <v>169877000</v>
          </cell>
          <cell r="AI195">
            <v>1319156000</v>
          </cell>
          <cell r="AJ195">
            <v>0.1287770362261931</v>
          </cell>
          <cell r="AK195">
            <v>58558000</v>
          </cell>
          <cell r="AL195">
            <v>1319156000</v>
          </cell>
          <cell r="AM195">
            <v>4.4390504231493468E-2</v>
          </cell>
          <cell r="AN195">
            <v>1151396000</v>
          </cell>
          <cell r="AO195">
            <v>2023721</v>
          </cell>
          <cell r="AP195">
            <v>568.94996889393349</v>
          </cell>
          <cell r="AQ195">
            <v>475529000</v>
          </cell>
          <cell r="AR195">
            <v>1149268000</v>
          </cell>
          <cell r="AS195">
            <v>0.41376684985573425</v>
          </cell>
          <cell r="AT195">
            <v>218819000</v>
          </cell>
          <cell r="AU195">
            <v>1149268000</v>
          </cell>
          <cell r="AV195">
            <v>0.19039858414225402</v>
          </cell>
          <cell r="AW195">
            <v>9829000</v>
          </cell>
          <cell r="AX195">
            <v>1149268000</v>
          </cell>
          <cell r="AY195">
            <v>8.5524003104584835E-3</v>
          </cell>
          <cell r="AZ195">
            <v>192455000</v>
          </cell>
          <cell r="BA195">
            <v>1149268000</v>
          </cell>
          <cell r="BB195">
            <v>0.16745876505741045</v>
          </cell>
          <cell r="BC195">
            <v>252636000</v>
          </cell>
          <cell r="BD195">
            <v>1149268000</v>
          </cell>
          <cell r="BE195">
            <v>0.21982340063414277</v>
          </cell>
          <cell r="BF195">
            <v>1149924000</v>
          </cell>
          <cell r="BG195">
            <v>2023721</v>
          </cell>
          <cell r="BH195">
            <v>568.2225959013125</v>
          </cell>
          <cell r="BI195">
            <v>536053000</v>
          </cell>
          <cell r="BJ195">
            <v>236029000</v>
          </cell>
          <cell r="BK195">
            <v>2.2711319371772114</v>
          </cell>
          <cell r="BL195">
            <v>39103000</v>
          </cell>
          <cell r="BM195">
            <v>1095072000</v>
          </cell>
          <cell r="BN195">
            <v>3.5708154349668335E-2</v>
          </cell>
          <cell r="BO195">
            <v>249898000</v>
          </cell>
          <cell r="BP195">
            <v>192455000</v>
          </cell>
          <cell r="BQ195">
            <v>1.2984749681743784</v>
          </cell>
          <cell r="BR195">
            <v>608.35266666666678</v>
          </cell>
          <cell r="BS195" t="str">
            <v>N/A</v>
          </cell>
          <cell r="BT195" t="str">
            <v>N/A</v>
          </cell>
          <cell r="BU195" t="str">
            <v>N/A</v>
          </cell>
          <cell r="BV195">
            <v>49526000</v>
          </cell>
          <cell r="BW195">
            <v>2023721</v>
          </cell>
          <cell r="BX195">
            <v>24.472741054720487</v>
          </cell>
          <cell r="BY195">
            <v>12596971</v>
          </cell>
          <cell r="BZ195">
            <v>2023721</v>
          </cell>
          <cell r="CA195">
            <v>6.2246579444498522</v>
          </cell>
          <cell r="CB195">
            <v>141177000</v>
          </cell>
          <cell r="CC195">
            <v>696660</v>
          </cell>
          <cell r="CD195">
            <v>202.64835070192061</v>
          </cell>
          <cell r="CE195">
            <v>92990764</v>
          </cell>
          <cell r="CF195">
            <v>925603</v>
          </cell>
          <cell r="CG195">
            <v>100.46506331548191</v>
          </cell>
          <cell r="CH195">
            <v>264948640</v>
          </cell>
          <cell r="CI195">
            <v>2023721</v>
          </cell>
          <cell r="CJ195">
            <v>130.92152524977504</v>
          </cell>
          <cell r="CK195">
            <v>559885680</v>
          </cell>
          <cell r="CL195">
            <v>2023721</v>
          </cell>
          <cell r="CM195">
            <v>276.66149632286266</v>
          </cell>
          <cell r="CN195" t="str">
            <v>N/A</v>
          </cell>
          <cell r="CO195" t="str">
            <v>N/A</v>
          </cell>
          <cell r="CP195" t="str">
            <v>N/A</v>
          </cell>
          <cell r="CQ195" t="str">
            <v>N/A</v>
          </cell>
          <cell r="CR195">
            <v>1781.0666666666666</v>
          </cell>
          <cell r="CS195">
            <v>1633295</v>
          </cell>
          <cell r="CT195">
            <v>26716</v>
          </cell>
          <cell r="CU195">
            <v>61.135461895493336</v>
          </cell>
          <cell r="CV195">
            <v>45.7</v>
          </cell>
          <cell r="CW195">
            <v>8937000</v>
          </cell>
          <cell r="CX195">
            <v>59673000</v>
          </cell>
          <cell r="CY195">
            <v>0.14976622593132571</v>
          </cell>
          <cell r="CZ195">
            <v>20803000</v>
          </cell>
          <cell r="DA195">
            <v>2023721</v>
          </cell>
          <cell r="DB195">
            <v>10.27957905264609</v>
          </cell>
          <cell r="DC195">
            <v>75636000</v>
          </cell>
          <cell r="DD195">
            <v>2023721</v>
          </cell>
          <cell r="DE195">
            <v>37.374717167040316</v>
          </cell>
          <cell r="DF195">
            <v>85195000</v>
          </cell>
          <cell r="DG195">
            <v>2023721</v>
          </cell>
          <cell r="DH195">
            <v>42.098194365725313</v>
          </cell>
          <cell r="DI195">
            <v>85.673333333333332</v>
          </cell>
          <cell r="DJ195">
            <v>2602.1578779396646</v>
          </cell>
          <cell r="DK195">
            <v>1.2373281913275348E-2</v>
          </cell>
          <cell r="DL195">
            <v>0.84266666666666667</v>
          </cell>
          <cell r="DM195">
            <v>27.002666666666666</v>
          </cell>
        </row>
        <row r="196">
          <cell r="B196" t="str">
            <v>Group 4 Average</v>
          </cell>
          <cell r="C196">
            <v>4</v>
          </cell>
          <cell r="D196">
            <v>239317000</v>
          </cell>
          <cell r="E196">
            <v>443681</v>
          </cell>
          <cell r="F196">
            <v>539.38978680628645</v>
          </cell>
          <cell r="G196">
            <v>32978000</v>
          </cell>
          <cell r="H196">
            <v>31091</v>
          </cell>
          <cell r="I196">
            <v>1060.6928049917983</v>
          </cell>
          <cell r="J196">
            <v>67668000</v>
          </cell>
          <cell r="K196">
            <v>31815</v>
          </cell>
          <cell r="L196">
            <v>2126.921263554927</v>
          </cell>
          <cell r="M196">
            <v>72868000</v>
          </cell>
          <cell r="N196">
            <v>833564000</v>
          </cell>
          <cell r="O196">
            <v>8.7417402862887558E-2</v>
          </cell>
          <cell r="P196">
            <v>21439000</v>
          </cell>
          <cell r="Q196">
            <v>554388000</v>
          </cell>
          <cell r="R196">
            <v>3.8671471965482658E-2</v>
          </cell>
          <cell r="S196">
            <v>27104000</v>
          </cell>
          <cell r="T196">
            <v>230633000</v>
          </cell>
          <cell r="U196">
            <v>0.11752004266518669</v>
          </cell>
          <cell r="V196">
            <v>575827000</v>
          </cell>
          <cell r="W196">
            <v>1305280000</v>
          </cell>
          <cell r="X196">
            <v>0.44115208997303262</v>
          </cell>
          <cell r="Y196">
            <v>257737000</v>
          </cell>
          <cell r="Z196">
            <v>1305280000</v>
          </cell>
          <cell r="AA196">
            <v>0.19745725055160579</v>
          </cell>
          <cell r="AB196">
            <v>45162000</v>
          </cell>
          <cell r="AC196">
            <v>1305280000</v>
          </cell>
          <cell r="AD196">
            <v>3.459947291002697E-2</v>
          </cell>
          <cell r="AE196">
            <v>238500000</v>
          </cell>
          <cell r="AF196">
            <v>1305280000</v>
          </cell>
          <cell r="AG196">
            <v>0.18271941652365775</v>
          </cell>
          <cell r="AH196">
            <v>162928000</v>
          </cell>
          <cell r="AI196">
            <v>1305280000</v>
          </cell>
          <cell r="AJ196">
            <v>0.12482226035793087</v>
          </cell>
          <cell r="AK196">
            <v>25126000</v>
          </cell>
          <cell r="AL196">
            <v>1305280000</v>
          </cell>
          <cell r="AM196">
            <v>1.9249509683746016E-2</v>
          </cell>
          <cell r="AN196">
            <v>872800000</v>
          </cell>
          <cell r="AO196">
            <v>1157902</v>
          </cell>
          <cell r="AP196">
            <v>753.77708994370857</v>
          </cell>
          <cell r="AQ196">
            <v>401489000</v>
          </cell>
          <cell r="AR196">
            <v>1167330000</v>
          </cell>
          <cell r="AS196">
            <v>0.34393787532231673</v>
          </cell>
          <cell r="AT196">
            <v>329978000</v>
          </cell>
          <cell r="AU196">
            <v>1167330000</v>
          </cell>
          <cell r="AV196">
            <v>0.28267756332827909</v>
          </cell>
          <cell r="AW196">
            <v>28623000</v>
          </cell>
          <cell r="AX196">
            <v>1167330000</v>
          </cell>
          <cell r="AY196">
            <v>2.4520058595255842E-2</v>
          </cell>
          <cell r="AZ196">
            <v>277369000</v>
          </cell>
          <cell r="BA196">
            <v>1167330000</v>
          </cell>
          <cell r="BB196">
            <v>0.23760975902272707</v>
          </cell>
          <cell r="BC196">
            <v>129871000</v>
          </cell>
          <cell r="BD196">
            <v>1167330000</v>
          </cell>
          <cell r="BE196">
            <v>0.11125474373142127</v>
          </cell>
          <cell r="BF196">
            <v>960575000</v>
          </cell>
          <cell r="BG196">
            <v>1157902</v>
          </cell>
          <cell r="BH196">
            <v>829.58229625650529</v>
          </cell>
          <cell r="BI196">
            <v>377743000</v>
          </cell>
          <cell r="BJ196">
            <v>183925000</v>
          </cell>
          <cell r="BK196">
            <v>2.0537882288976483</v>
          </cell>
          <cell r="BL196">
            <v>75635000</v>
          </cell>
          <cell r="BM196">
            <v>1021017000</v>
          </cell>
          <cell r="BN196">
            <v>7.4078100560519555E-2</v>
          </cell>
          <cell r="BO196">
            <v>235899000</v>
          </cell>
          <cell r="BP196">
            <v>219735000</v>
          </cell>
          <cell r="BQ196">
            <v>1.0735613352447266</v>
          </cell>
          <cell r="BR196">
            <v>257.4757575757576</v>
          </cell>
          <cell r="BS196" t="str">
            <v>N/A</v>
          </cell>
          <cell r="BT196" t="str">
            <v>N/A</v>
          </cell>
          <cell r="BU196" t="str">
            <v>N/A</v>
          </cell>
          <cell r="BV196">
            <v>26826000</v>
          </cell>
          <cell r="BW196">
            <v>1157902</v>
          </cell>
          <cell r="BX196">
            <v>23.167763765845468</v>
          </cell>
          <cell r="BY196">
            <v>8938331</v>
          </cell>
          <cell r="BZ196">
            <v>1157902</v>
          </cell>
          <cell r="CA196">
            <v>7.7194192600064602</v>
          </cell>
          <cell r="CB196">
            <v>63454000</v>
          </cell>
          <cell r="CC196">
            <v>416890</v>
          </cell>
          <cell r="CD196">
            <v>152.20801650315431</v>
          </cell>
          <cell r="CE196">
            <v>43734563</v>
          </cell>
          <cell r="CF196">
            <v>442385</v>
          </cell>
          <cell r="CG196">
            <v>98.860863275201467</v>
          </cell>
          <cell r="CH196">
            <v>191971881</v>
          </cell>
          <cell r="CI196">
            <v>1157902</v>
          </cell>
          <cell r="CJ196">
            <v>165.79285725389542</v>
          </cell>
          <cell r="CK196">
            <v>355056947</v>
          </cell>
          <cell r="CL196">
            <v>1157902</v>
          </cell>
          <cell r="CM196">
            <v>306.63816713331528</v>
          </cell>
          <cell r="CN196">
            <v>373.39568692887934</v>
          </cell>
          <cell r="CO196">
            <v>384.35236419946</v>
          </cell>
          <cell r="CP196">
            <v>362.49162051393074</v>
          </cell>
          <cell r="CQ196">
            <v>384.12889494703967</v>
          </cell>
          <cell r="CR196">
            <v>841.60606060606062</v>
          </cell>
          <cell r="CS196">
            <v>966614</v>
          </cell>
          <cell r="CT196">
            <v>27773</v>
          </cell>
          <cell r="CU196">
            <v>34.804090303532206</v>
          </cell>
          <cell r="CV196">
            <v>23.393939393939394</v>
          </cell>
          <cell r="CW196">
            <v>2947000</v>
          </cell>
          <cell r="CX196">
            <v>46979000</v>
          </cell>
          <cell r="CY196">
            <v>6.2730156027161074E-2</v>
          </cell>
          <cell r="CZ196">
            <v>26183000</v>
          </cell>
          <cell r="DA196">
            <v>1157902</v>
          </cell>
          <cell r="DB196">
            <v>22.612449067364942</v>
          </cell>
          <cell r="DC196">
            <v>78002000</v>
          </cell>
          <cell r="DD196">
            <v>1157902</v>
          </cell>
          <cell r="DE196">
            <v>67.364941074460532</v>
          </cell>
          <cell r="DF196">
            <v>54744000</v>
          </cell>
          <cell r="DG196">
            <v>1157902</v>
          </cell>
          <cell r="DH196">
            <v>47.27861252506689</v>
          </cell>
          <cell r="DI196">
            <v>1818.4303030303029</v>
          </cell>
          <cell r="DJ196">
            <v>105.27393002156802</v>
          </cell>
          <cell r="DK196">
            <v>8.3438892065766726E-3</v>
          </cell>
          <cell r="DL196">
            <v>2.8136363636363626</v>
          </cell>
          <cell r="DM196">
            <v>4.1133333333333333</v>
          </cell>
        </row>
        <row r="197">
          <cell r="B197" t="str">
            <v>Group 5 Average</v>
          </cell>
          <cell r="C197">
            <v>5</v>
          </cell>
          <cell r="D197">
            <v>158049000</v>
          </cell>
          <cell r="E197">
            <v>267727</v>
          </cell>
          <cell r="F197">
            <v>590.33642479092509</v>
          </cell>
          <cell r="G197">
            <v>3509000</v>
          </cell>
          <cell r="H197">
            <v>2802</v>
          </cell>
          <cell r="I197">
            <v>1252.3197715917202</v>
          </cell>
          <cell r="J197">
            <v>57476000</v>
          </cell>
          <cell r="K197">
            <v>13957</v>
          </cell>
          <cell r="L197">
            <v>4118.0769506340903</v>
          </cell>
          <cell r="M197">
            <v>29691000</v>
          </cell>
          <cell r="N197">
            <v>405326000</v>
          </cell>
          <cell r="O197">
            <v>7.325214765398716E-2</v>
          </cell>
          <cell r="P197">
            <v>12362000</v>
          </cell>
          <cell r="Q197">
            <v>296286000</v>
          </cell>
          <cell r="R197">
            <v>4.1723199881195869E-2</v>
          </cell>
          <cell r="S197">
            <v>5217000</v>
          </cell>
          <cell r="T197">
            <v>91461000</v>
          </cell>
          <cell r="U197">
            <v>5.7040705874635091E-2</v>
          </cell>
          <cell r="V197">
            <v>308648000</v>
          </cell>
          <cell r="W197">
            <v>598752000</v>
          </cell>
          <cell r="X197">
            <v>0.51548554326332108</v>
          </cell>
          <cell r="Y197">
            <v>96678000</v>
          </cell>
          <cell r="Z197">
            <v>598752000</v>
          </cell>
          <cell r="AA197">
            <v>0.16146584896584898</v>
          </cell>
          <cell r="AB197">
            <v>17954000</v>
          </cell>
          <cell r="AC197">
            <v>598752000</v>
          </cell>
          <cell r="AD197">
            <v>2.9985703596814708E-2</v>
          </cell>
          <cell r="AE197">
            <v>97561000</v>
          </cell>
          <cell r="AF197">
            <v>598752000</v>
          </cell>
          <cell r="AG197">
            <v>0.16294058307947196</v>
          </cell>
          <cell r="AH197">
            <v>67132000</v>
          </cell>
          <cell r="AI197">
            <v>598752000</v>
          </cell>
          <cell r="AJ197">
            <v>0.1121198760087649</v>
          </cell>
          <cell r="AK197">
            <v>10779000</v>
          </cell>
          <cell r="AL197">
            <v>598752000</v>
          </cell>
          <cell r="AM197">
            <v>1.8002445085778418E-2</v>
          </cell>
          <cell r="AN197">
            <v>456460000</v>
          </cell>
          <cell r="AO197">
            <v>685234</v>
          </cell>
          <cell r="AP197">
            <v>666.13740707553916</v>
          </cell>
          <cell r="AQ197">
            <v>204889000</v>
          </cell>
          <cell r="AR197">
            <v>524803000</v>
          </cell>
          <cell r="AS197">
            <v>0.39041125908197932</v>
          </cell>
          <cell r="AT197">
            <v>130104000</v>
          </cell>
          <cell r="AU197">
            <v>524803000</v>
          </cell>
          <cell r="AV197">
            <v>0.24791016819644704</v>
          </cell>
          <cell r="AW197">
            <v>9830000</v>
          </cell>
          <cell r="AX197">
            <v>524803000</v>
          </cell>
          <cell r="AY197">
            <v>1.8730838047800794E-2</v>
          </cell>
          <cell r="AZ197">
            <v>114116000</v>
          </cell>
          <cell r="BA197">
            <v>524803000</v>
          </cell>
          <cell r="BB197">
            <v>0.21744540332277065</v>
          </cell>
          <cell r="BC197">
            <v>65864000</v>
          </cell>
          <cell r="BD197">
            <v>524803000</v>
          </cell>
          <cell r="BE197">
            <v>0.12550233135100219</v>
          </cell>
          <cell r="BF197">
            <v>495236000</v>
          </cell>
          <cell r="BG197">
            <v>685234</v>
          </cell>
          <cell r="BH197">
            <v>722.72537556513544</v>
          </cell>
          <cell r="BI197">
            <v>157813000</v>
          </cell>
          <cell r="BJ197">
            <v>85090000</v>
          </cell>
          <cell r="BK197">
            <v>1.8546597720061111</v>
          </cell>
          <cell r="BL197">
            <v>37083000</v>
          </cell>
          <cell r="BM197">
            <v>490927000</v>
          </cell>
          <cell r="BN197">
            <v>7.5536688754132483E-2</v>
          </cell>
          <cell r="BO197">
            <v>293199000</v>
          </cell>
          <cell r="BP197">
            <v>101210000</v>
          </cell>
          <cell r="BQ197">
            <v>2.8969370615551822</v>
          </cell>
          <cell r="BR197">
            <v>777</v>
          </cell>
          <cell r="BS197" t="str">
            <v>N/A</v>
          </cell>
          <cell r="BT197" t="str">
            <v>N/A</v>
          </cell>
          <cell r="BU197" t="str">
            <v>N/A</v>
          </cell>
          <cell r="BV197">
            <v>18900000</v>
          </cell>
          <cell r="BW197">
            <v>685234</v>
          </cell>
          <cell r="BX197">
            <v>27.581818765560378</v>
          </cell>
          <cell r="BY197">
            <v>6073853</v>
          </cell>
          <cell r="BZ197">
            <v>685234</v>
          </cell>
          <cell r="CA197">
            <v>8.8639107224685283</v>
          </cell>
          <cell r="CB197">
            <v>45263000</v>
          </cell>
          <cell r="CC197">
            <v>272642</v>
          </cell>
          <cell r="CD197">
            <v>166.01624107804375</v>
          </cell>
          <cell r="CE197">
            <v>30715816</v>
          </cell>
          <cell r="CF197">
            <v>266374</v>
          </cell>
          <cell r="CG197">
            <v>115.31086367288098</v>
          </cell>
          <cell r="CH197">
            <v>125063974</v>
          </cell>
          <cell r="CI197">
            <v>685234</v>
          </cell>
          <cell r="CJ197">
            <v>182.51279708829392</v>
          </cell>
          <cell r="CK197">
            <v>196863337</v>
          </cell>
          <cell r="CL197">
            <v>685234</v>
          </cell>
          <cell r="CM197">
            <v>287.29359167817125</v>
          </cell>
          <cell r="CN197">
            <v>256.51854476083901</v>
          </cell>
          <cell r="CO197">
            <v>288.88998547082849</v>
          </cell>
          <cell r="CP197">
            <v>461.92035034198102</v>
          </cell>
          <cell r="CQ197">
            <v>417.29354408349201</v>
          </cell>
          <cell r="CR197">
            <v>2673</v>
          </cell>
          <cell r="CS197">
            <v>619806</v>
          </cell>
          <cell r="CT197">
            <v>13365</v>
          </cell>
          <cell r="CU197">
            <v>46.375308641975309</v>
          </cell>
          <cell r="CV197">
            <v>33.799999999999997</v>
          </cell>
          <cell r="CW197">
            <v>1051000</v>
          </cell>
          <cell r="CX197">
            <v>23868000</v>
          </cell>
          <cell r="CY197">
            <v>4.4033852857382268E-2</v>
          </cell>
          <cell r="CZ197">
            <v>14032000</v>
          </cell>
          <cell r="DA197">
            <v>685234</v>
          </cell>
          <cell r="DB197">
            <v>20.477676239065779</v>
          </cell>
          <cell r="DC197">
            <v>51659000</v>
          </cell>
          <cell r="DD197">
            <v>685234</v>
          </cell>
          <cell r="DE197">
            <v>75.388845270374787</v>
          </cell>
          <cell r="DF197">
            <v>13627000</v>
          </cell>
          <cell r="DG197">
            <v>685234</v>
          </cell>
          <cell r="DH197">
            <v>19.886637265518058</v>
          </cell>
          <cell r="DI197">
            <v>1477.44</v>
          </cell>
          <cell r="DJ197">
            <v>286.34620400737788</v>
          </cell>
          <cell r="DK197">
            <v>1.4965847887377207E-2</v>
          </cell>
          <cell r="DL197">
            <v>1.952</v>
          </cell>
          <cell r="DM197">
            <v>7.0220000000000002</v>
          </cell>
        </row>
        <row r="198">
          <cell r="B198" t="str">
            <v>Group 6 Average</v>
          </cell>
          <cell r="C198">
            <v>6</v>
          </cell>
          <cell r="D198">
            <v>33362000</v>
          </cell>
          <cell r="E198">
            <v>49917</v>
          </cell>
          <cell r="F198">
            <v>668.34946010377223</v>
          </cell>
          <cell r="G198">
            <v>2383000</v>
          </cell>
          <cell r="H198">
            <v>1593</v>
          </cell>
          <cell r="I198">
            <v>1495.9196484620213</v>
          </cell>
          <cell r="J198">
            <v>4216000</v>
          </cell>
          <cell r="K198">
            <v>2640</v>
          </cell>
          <cell r="L198">
            <v>1596.969696969697</v>
          </cell>
          <cell r="M198">
            <v>4548000</v>
          </cell>
          <cell r="N198">
            <v>69927000</v>
          </cell>
          <cell r="O198">
            <v>6.503925522330431E-2</v>
          </cell>
          <cell r="P198">
            <v>3961000</v>
          </cell>
          <cell r="Q198">
            <v>51338000</v>
          </cell>
          <cell r="R198">
            <v>7.7155323542015666E-2</v>
          </cell>
          <cell r="S198">
            <v>-696000</v>
          </cell>
          <cell r="T198">
            <v>15324000</v>
          </cell>
          <cell r="U198">
            <v>-4.541895066562255E-2</v>
          </cell>
          <cell r="V198">
            <v>55299000</v>
          </cell>
          <cell r="W198">
            <v>116437000</v>
          </cell>
          <cell r="X198">
            <v>0.47492635502460556</v>
          </cell>
          <cell r="Y198">
            <v>14628000</v>
          </cell>
          <cell r="Z198">
            <v>116437000</v>
          </cell>
          <cell r="AA198">
            <v>0.12563016910432251</v>
          </cell>
          <cell r="AB198">
            <v>4411000</v>
          </cell>
          <cell r="AC198">
            <v>116437000</v>
          </cell>
          <cell r="AD198">
            <v>3.7883147109595748E-2</v>
          </cell>
          <cell r="AE198">
            <v>24859000</v>
          </cell>
          <cell r="AF198">
            <v>116437000</v>
          </cell>
          <cell r="AG198">
            <v>0.21349742779357078</v>
          </cell>
          <cell r="AH198">
            <v>14346000</v>
          </cell>
          <cell r="AI198">
            <v>116437000</v>
          </cell>
          <cell r="AJ198">
            <v>0.12320825854324656</v>
          </cell>
          <cell r="AK198">
            <v>2894000</v>
          </cell>
          <cell r="AL198">
            <v>116437000</v>
          </cell>
          <cell r="AM198">
            <v>2.4854642424658829E-2</v>
          </cell>
          <cell r="AN198">
            <v>98742000</v>
          </cell>
          <cell r="AO198">
            <v>147872</v>
          </cell>
          <cell r="AP198">
            <v>667.75319194979443</v>
          </cell>
          <cell r="AQ198">
            <v>37448000</v>
          </cell>
          <cell r="AR198">
            <v>102363000</v>
          </cell>
          <cell r="AS198">
            <v>0.36583531158719457</v>
          </cell>
          <cell r="AT198">
            <v>32242000</v>
          </cell>
          <cell r="AU198">
            <v>102363000</v>
          </cell>
          <cell r="AV198">
            <v>0.31497709133182888</v>
          </cell>
          <cell r="AW198">
            <v>1183000</v>
          </cell>
          <cell r="AX198">
            <v>102363000</v>
          </cell>
          <cell r="AY198">
            <v>1.1556910211697587E-2</v>
          </cell>
          <cell r="AZ198">
            <v>17329000</v>
          </cell>
          <cell r="BA198">
            <v>102363000</v>
          </cell>
          <cell r="BB198">
            <v>0.16928968474937234</v>
          </cell>
          <cell r="BC198">
            <v>14161000</v>
          </cell>
          <cell r="BD198">
            <v>102363000</v>
          </cell>
          <cell r="BE198">
            <v>0.1383410021199066</v>
          </cell>
          <cell r="BF198">
            <v>99321000</v>
          </cell>
          <cell r="BG198">
            <v>147872</v>
          </cell>
          <cell r="BH198">
            <v>671.66874053235233</v>
          </cell>
          <cell r="BI198">
            <v>36259000</v>
          </cell>
          <cell r="BJ198">
            <v>18395000</v>
          </cell>
          <cell r="BK198">
            <v>1.9711334601793966</v>
          </cell>
          <cell r="BL198">
            <v>3526000</v>
          </cell>
          <cell r="BM198">
            <v>86684000</v>
          </cell>
          <cell r="BN198">
            <v>4.0676480088597665E-2</v>
          </cell>
          <cell r="BO198">
            <v>26772000</v>
          </cell>
          <cell r="BP198">
            <v>16692000</v>
          </cell>
          <cell r="BQ198">
            <v>1.603882099209202</v>
          </cell>
          <cell r="BR198">
            <v>241</v>
          </cell>
          <cell r="BS198" t="str">
            <v>N/A</v>
          </cell>
          <cell r="BT198" t="str">
            <v>N/A</v>
          </cell>
          <cell r="BU198" t="str">
            <v>N/A</v>
          </cell>
          <cell r="BV198">
            <v>3373000</v>
          </cell>
          <cell r="BW198">
            <v>147872</v>
          </cell>
          <cell r="BX198">
            <v>22.810268340186106</v>
          </cell>
          <cell r="BY198">
            <v>832532</v>
          </cell>
          <cell r="BZ198">
            <v>147872</v>
          </cell>
          <cell r="CA198">
            <v>5.630085479333478</v>
          </cell>
          <cell r="CB198">
            <v>10490000</v>
          </cell>
          <cell r="CC198">
            <v>47397</v>
          </cell>
          <cell r="CD198">
            <v>221.32202460071312</v>
          </cell>
          <cell r="CE198">
            <v>5807132</v>
          </cell>
          <cell r="CF198">
            <v>45661</v>
          </cell>
          <cell r="CG198">
            <v>127.17925582006526</v>
          </cell>
          <cell r="CH198">
            <v>17963220</v>
          </cell>
          <cell r="CI198">
            <v>147872</v>
          </cell>
          <cell r="CJ198">
            <v>121.47817030945683</v>
          </cell>
          <cell r="CK198">
            <v>32159890</v>
          </cell>
          <cell r="CL198">
            <v>147872</v>
          </cell>
          <cell r="CM198">
            <v>217.4846488855226</v>
          </cell>
          <cell r="CN198" t="str">
            <v>N/A</v>
          </cell>
          <cell r="CO198" t="str">
            <v>N/A</v>
          </cell>
          <cell r="CP198">
            <v>329</v>
          </cell>
          <cell r="CQ198">
            <v>442.40177909562601</v>
          </cell>
          <cell r="CR198">
            <v>1731.6666666666667</v>
          </cell>
          <cell r="CS198">
            <v>216830</v>
          </cell>
          <cell r="CT198">
            <v>5195</v>
          </cell>
          <cell r="CU198">
            <v>41.73820981713186</v>
          </cell>
          <cell r="CV198">
            <v>28.666666666666668</v>
          </cell>
          <cell r="CW198">
            <v>368000</v>
          </cell>
          <cell r="CX198">
            <v>7529000</v>
          </cell>
          <cell r="CY198">
            <v>4.8877672997742067E-2</v>
          </cell>
          <cell r="CZ198">
            <v>1937000</v>
          </cell>
          <cell r="DA198">
            <v>147872</v>
          </cell>
          <cell r="DB198">
            <v>13.099166847002813</v>
          </cell>
          <cell r="DC198">
            <v>5500000</v>
          </cell>
          <cell r="DD198">
            <v>147872</v>
          </cell>
          <cell r="DE198">
            <v>37.194330231551611</v>
          </cell>
          <cell r="DF198">
            <v>8202000</v>
          </cell>
          <cell r="DG198">
            <v>147872</v>
          </cell>
          <cell r="DH198">
            <v>55.466890283488425</v>
          </cell>
          <cell r="DI198">
            <v>1844.5333333333335</v>
          </cell>
          <cell r="DJ198">
            <v>88.319221015616563</v>
          </cell>
          <cell r="DK198">
            <v>5.1434843019868753E-2</v>
          </cell>
          <cell r="DL198">
            <v>1.28</v>
          </cell>
          <cell r="DM198">
            <v>6.57</v>
          </cell>
        </row>
        <row r="199">
          <cell r="B199" t="str">
            <v>Group 7 Average</v>
          </cell>
          <cell r="C199">
            <v>7</v>
          </cell>
          <cell r="D199">
            <v>240703000</v>
          </cell>
          <cell r="E199">
            <v>405289</v>
          </cell>
          <cell r="F199">
            <v>593.90459647313401</v>
          </cell>
          <cell r="G199">
            <v>3013000</v>
          </cell>
          <cell r="H199">
            <v>2220</v>
          </cell>
          <cell r="I199">
            <v>1357.2072072072071</v>
          </cell>
          <cell r="J199">
            <v>46841000</v>
          </cell>
          <cell r="K199">
            <v>18239</v>
          </cell>
          <cell r="L199">
            <v>2568.1780799385933</v>
          </cell>
          <cell r="M199">
            <v>35373000</v>
          </cell>
          <cell r="N199">
            <v>575658000</v>
          </cell>
          <cell r="O199">
            <v>6.1447943049518984E-2</v>
          </cell>
          <cell r="P199">
            <v>27247000</v>
          </cell>
          <cell r="Q199">
            <v>418742000</v>
          </cell>
          <cell r="R199">
            <v>6.5068705790200174E-2</v>
          </cell>
          <cell r="S199">
            <v>16063000</v>
          </cell>
          <cell r="T199">
            <v>113606000</v>
          </cell>
          <cell r="U199">
            <v>0.14139217999049347</v>
          </cell>
          <cell r="V199">
            <v>445989000</v>
          </cell>
          <cell r="W199">
            <v>924158000</v>
          </cell>
          <cell r="X199">
            <v>0.48258955719692953</v>
          </cell>
          <cell r="Y199">
            <v>129669000</v>
          </cell>
          <cell r="Z199">
            <v>924158000</v>
          </cell>
          <cell r="AA199">
            <v>0.14031042310946829</v>
          </cell>
          <cell r="AB199">
            <v>29546000</v>
          </cell>
          <cell r="AC199">
            <v>924158000</v>
          </cell>
          <cell r="AD199">
            <v>3.1970723620852709E-2</v>
          </cell>
          <cell r="AE199">
            <v>129279000</v>
          </cell>
          <cell r="AF199">
            <v>924158000</v>
          </cell>
          <cell r="AG199">
            <v>0.13988841734854862</v>
          </cell>
          <cell r="AH199">
            <v>168575000</v>
          </cell>
          <cell r="AI199">
            <v>924158000</v>
          </cell>
          <cell r="AJ199">
            <v>0.18240928499239309</v>
          </cell>
          <cell r="AK199">
            <v>21100000</v>
          </cell>
          <cell r="AL199">
            <v>924158000</v>
          </cell>
          <cell r="AM199">
            <v>2.2831593731807764E-2</v>
          </cell>
          <cell r="AN199">
            <v>656902000</v>
          </cell>
          <cell r="AO199">
            <v>1163392</v>
          </cell>
          <cell r="AP199">
            <v>564.64373143360103</v>
          </cell>
          <cell r="AQ199">
            <v>289618000</v>
          </cell>
          <cell r="AR199">
            <v>764564000</v>
          </cell>
          <cell r="AS199">
            <v>0.3788015130191848</v>
          </cell>
          <cell r="AT199">
            <v>198789000</v>
          </cell>
          <cell r="AU199">
            <v>764564000</v>
          </cell>
          <cell r="AV199">
            <v>0.26000308672655265</v>
          </cell>
          <cell r="AW199">
            <v>20800000</v>
          </cell>
          <cell r="AX199">
            <v>764564000</v>
          </cell>
          <cell r="AY199">
            <v>2.7205047582674571E-2</v>
          </cell>
          <cell r="AZ199">
            <v>132880000</v>
          </cell>
          <cell r="BA199">
            <v>764564000</v>
          </cell>
          <cell r="BB199">
            <v>0.17379840013393255</v>
          </cell>
          <cell r="BC199">
            <v>122477000</v>
          </cell>
          <cell r="BD199">
            <v>764564000</v>
          </cell>
          <cell r="BE199">
            <v>0.16019195253765545</v>
          </cell>
          <cell r="BF199">
            <v>679596000</v>
          </cell>
          <cell r="BG199">
            <v>1163392</v>
          </cell>
          <cell r="BH199">
            <v>584.15048410166139</v>
          </cell>
          <cell r="BI199">
            <v>234269000</v>
          </cell>
          <cell r="BJ199">
            <v>144898000</v>
          </cell>
          <cell r="BK199">
            <v>1.6167856009054646</v>
          </cell>
          <cell r="BL199">
            <v>82430000</v>
          </cell>
          <cell r="BM199">
            <v>692891000</v>
          </cell>
          <cell r="BN199">
            <v>0.11896532066371189</v>
          </cell>
          <cell r="BO199">
            <v>175283000</v>
          </cell>
          <cell r="BP199">
            <v>112788000</v>
          </cell>
          <cell r="BQ199">
            <v>1.5540926339681527</v>
          </cell>
          <cell r="BR199">
            <v>691.5</v>
          </cell>
          <cell r="BS199" t="str">
            <v>N/A</v>
          </cell>
          <cell r="BT199" t="str">
            <v>N/A</v>
          </cell>
          <cell r="BU199" t="str">
            <v>N/A</v>
          </cell>
          <cell r="BV199">
            <v>25000000</v>
          </cell>
          <cell r="BW199">
            <v>1163392</v>
          </cell>
          <cell r="BX199">
            <v>21.488887666409948</v>
          </cell>
          <cell r="BY199">
            <v>6716381</v>
          </cell>
          <cell r="BZ199">
            <v>1163392</v>
          </cell>
          <cell r="CA199">
            <v>5.7731022733524044</v>
          </cell>
          <cell r="CB199">
            <v>87200000</v>
          </cell>
          <cell r="CC199">
            <v>394818</v>
          </cell>
          <cell r="CD199">
            <v>220.86125759210572</v>
          </cell>
          <cell r="CE199">
            <v>52153092</v>
          </cell>
          <cell r="CF199">
            <v>395837</v>
          </cell>
          <cell r="CG199">
            <v>131.75395933174514</v>
          </cell>
          <cell r="CH199">
            <v>175113280</v>
          </cell>
          <cell r="CI199">
            <v>1163392</v>
          </cell>
          <cell r="CJ199">
            <v>150.51958411266367</v>
          </cell>
          <cell r="CK199">
            <v>366139000</v>
          </cell>
          <cell r="CL199">
            <v>1163392</v>
          </cell>
          <cell r="CM199">
            <v>314.71679365166688</v>
          </cell>
          <cell r="CN199">
            <v>214.21410208142851</v>
          </cell>
          <cell r="CO199">
            <v>278.76128727356695</v>
          </cell>
          <cell r="CP199">
            <v>333.77606891227651</v>
          </cell>
          <cell r="CQ199">
            <v>326.51811648874002</v>
          </cell>
          <cell r="CR199">
            <v>3145.875</v>
          </cell>
          <cell r="CS199">
            <v>1082155</v>
          </cell>
          <cell r="CT199">
            <v>25167</v>
          </cell>
          <cell r="CU199">
            <v>42.998966901100644</v>
          </cell>
          <cell r="CV199">
            <v>33.25</v>
          </cell>
          <cell r="CW199">
            <v>3909000</v>
          </cell>
          <cell r="CX199">
            <v>44602000</v>
          </cell>
          <cell r="CY199">
            <v>8.76418097843146E-2</v>
          </cell>
          <cell r="CZ199">
            <v>16781000</v>
          </cell>
          <cell r="DA199">
            <v>1163392</v>
          </cell>
          <cell r="DB199">
            <v>14.424200957201013</v>
          </cell>
          <cell r="DC199">
            <v>46760000</v>
          </cell>
          <cell r="DD199">
            <v>1163392</v>
          </cell>
          <cell r="DE199">
            <v>40.192815491253164</v>
          </cell>
          <cell r="DF199">
            <v>51593000</v>
          </cell>
          <cell r="DG199">
            <v>1163392</v>
          </cell>
          <cell r="DH199">
            <v>44.347047254923531</v>
          </cell>
          <cell r="DI199">
            <v>625.26250000000005</v>
          </cell>
          <cell r="DJ199">
            <v>319.11414907484135</v>
          </cell>
          <cell r="DK199">
            <v>2.1877566392987734E-2</v>
          </cell>
          <cell r="DL199">
            <v>1.20875</v>
          </cell>
          <cell r="DM199">
            <v>12.744999999999999</v>
          </cell>
        </row>
        <row r="200">
          <cell r="B200" t="str">
            <v>Group 8 Average</v>
          </cell>
          <cell r="C200">
            <v>8</v>
          </cell>
          <cell r="D200">
            <v>395000</v>
          </cell>
          <cell r="E200">
            <v>2303</v>
          </cell>
          <cell r="F200">
            <v>171.5154146765089</v>
          </cell>
          <cell r="G200">
            <v>4505000</v>
          </cell>
          <cell r="H200">
            <v>2639</v>
          </cell>
          <cell r="I200">
            <v>1707.086017430845</v>
          </cell>
          <cell r="J200">
            <v>74000</v>
          </cell>
          <cell r="K200">
            <v>390</v>
          </cell>
          <cell r="L200">
            <v>189.74358974358975</v>
          </cell>
          <cell r="M200">
            <v>569000</v>
          </cell>
          <cell r="N200">
            <v>9483000</v>
          </cell>
          <cell r="O200">
            <v>6.0002109037224506E-2</v>
          </cell>
          <cell r="P200">
            <v>78000</v>
          </cell>
          <cell r="Q200">
            <v>4307000</v>
          </cell>
          <cell r="R200">
            <v>1.8110053401439518E-2</v>
          </cell>
          <cell r="S200">
            <v>-441000</v>
          </cell>
          <cell r="T200">
            <v>3424000</v>
          </cell>
          <cell r="U200">
            <v>-0.12879672897196262</v>
          </cell>
          <cell r="V200">
            <v>6079000</v>
          </cell>
          <cell r="W200">
            <v>24909000</v>
          </cell>
          <cell r="X200">
            <v>0.2440483359428319</v>
          </cell>
          <cell r="Y200">
            <v>3404000</v>
          </cell>
          <cell r="Z200">
            <v>24909000</v>
          </cell>
          <cell r="AA200">
            <v>0.13665743305632502</v>
          </cell>
          <cell r="AB200">
            <v>468000</v>
          </cell>
          <cell r="AC200">
            <v>24909000</v>
          </cell>
          <cell r="AD200">
            <v>1.878838973864868E-2</v>
          </cell>
          <cell r="AE200">
            <v>11360000</v>
          </cell>
          <cell r="AF200">
            <v>24909000</v>
          </cell>
          <cell r="AG200">
            <v>0.45606005861335258</v>
          </cell>
          <cell r="AH200">
            <v>2430000</v>
          </cell>
          <cell r="AI200">
            <v>24909000</v>
          </cell>
          <cell r="AJ200">
            <v>9.7555100566060454E-2</v>
          </cell>
          <cell r="AK200">
            <v>1168000</v>
          </cell>
          <cell r="AL200">
            <v>24909000</v>
          </cell>
          <cell r="AM200">
            <v>4.6890682082781326E-2</v>
          </cell>
          <cell r="AN200">
            <v>20583000</v>
          </cell>
          <cell r="AO200">
            <v>8613</v>
          </cell>
          <cell r="AP200">
            <v>2389.7596656217347</v>
          </cell>
          <cell r="AQ200">
            <v>7209000</v>
          </cell>
          <cell r="AR200">
            <v>24331000</v>
          </cell>
          <cell r="AS200">
            <v>0.29628868521639062</v>
          </cell>
          <cell r="AT200">
            <v>7281000</v>
          </cell>
          <cell r="AU200">
            <v>24331000</v>
          </cell>
          <cell r="AV200">
            <v>0.29924787308372036</v>
          </cell>
          <cell r="AW200">
            <v>219000</v>
          </cell>
          <cell r="AX200">
            <v>24331000</v>
          </cell>
          <cell r="AY200">
            <v>9.0008630964613038E-3</v>
          </cell>
          <cell r="AZ200">
            <v>5883000</v>
          </cell>
          <cell r="BA200">
            <v>24331000</v>
          </cell>
          <cell r="BB200">
            <v>0.2417903086597345</v>
          </cell>
          <cell r="BC200">
            <v>3739000</v>
          </cell>
          <cell r="BD200">
            <v>24331000</v>
          </cell>
          <cell r="BE200">
            <v>0.15367226994369323</v>
          </cell>
          <cell r="BF200">
            <v>22981000</v>
          </cell>
          <cell r="BG200">
            <v>8613</v>
          </cell>
          <cell r="BH200">
            <v>2668.1760130035991</v>
          </cell>
          <cell r="BI200">
            <v>8898000</v>
          </cell>
          <cell r="BJ200">
            <v>2809000</v>
          </cell>
          <cell r="BK200">
            <v>3.167675329298683</v>
          </cell>
          <cell r="BL200">
            <v>474000</v>
          </cell>
          <cell r="BM200">
            <v>16886000</v>
          </cell>
          <cell r="BN200">
            <v>2.8070591022148525E-2</v>
          </cell>
          <cell r="BO200">
            <v>2680000</v>
          </cell>
          <cell r="BP200">
            <v>5505000</v>
          </cell>
          <cell r="BQ200">
            <v>0.48683015440508631</v>
          </cell>
          <cell r="BR200">
            <v>34</v>
          </cell>
          <cell r="BS200" t="str">
            <v>N/A</v>
          </cell>
          <cell r="BT200" t="str">
            <v>N/A</v>
          </cell>
          <cell r="BU200" t="str">
            <v>N/A</v>
          </cell>
          <cell r="BV200">
            <v>214000</v>
          </cell>
          <cell r="BW200">
            <v>8613</v>
          </cell>
          <cell r="BX200">
            <v>24.846162777197261</v>
          </cell>
          <cell r="BY200">
            <v>47512</v>
          </cell>
          <cell r="BZ200">
            <v>8613</v>
          </cell>
          <cell r="CA200">
            <v>5.516312550795309</v>
          </cell>
          <cell r="CB200">
            <v>132000</v>
          </cell>
          <cell r="CC200">
            <v>1464</v>
          </cell>
          <cell r="CD200">
            <v>90.163934426229503</v>
          </cell>
          <cell r="CE200">
            <v>133897</v>
          </cell>
          <cell r="CF200">
            <v>1390</v>
          </cell>
          <cell r="CG200">
            <v>96.328776978417267</v>
          </cell>
          <cell r="CH200">
            <v>80000</v>
          </cell>
          <cell r="CI200">
            <v>8613</v>
          </cell>
          <cell r="CJ200">
            <v>9.2882851503541151</v>
          </cell>
          <cell r="CK200">
            <v>1985000</v>
          </cell>
          <cell r="CL200">
            <v>8613</v>
          </cell>
          <cell r="CM200">
            <v>230.46557529316149</v>
          </cell>
          <cell r="CN200">
            <v>457.93762374896124</v>
          </cell>
          <cell r="CO200">
            <v>538.62677263518765</v>
          </cell>
          <cell r="CP200">
            <v>432.88208309797693</v>
          </cell>
          <cell r="CQ200">
            <v>429.49180861758896</v>
          </cell>
          <cell r="CR200">
            <v>28.2</v>
          </cell>
          <cell r="CS200">
            <v>3733</v>
          </cell>
          <cell r="CT200">
            <v>141</v>
          </cell>
          <cell r="CU200">
            <v>26.475177304964539</v>
          </cell>
          <cell r="CV200">
            <v>17.5</v>
          </cell>
          <cell r="CW200">
            <v>28000</v>
          </cell>
          <cell r="CX200">
            <v>206000</v>
          </cell>
          <cell r="CY200">
            <v>0.13592233009708737</v>
          </cell>
          <cell r="CZ200">
            <v>450000</v>
          </cell>
          <cell r="DA200">
            <v>8613</v>
          </cell>
          <cell r="DB200">
            <v>52.246603970741901</v>
          </cell>
          <cell r="DC200">
            <v>719000</v>
          </cell>
          <cell r="DD200">
            <v>8613</v>
          </cell>
          <cell r="DE200">
            <v>83.478462788807619</v>
          </cell>
          <cell r="DF200">
            <v>439000</v>
          </cell>
          <cell r="DG200">
            <v>8613</v>
          </cell>
          <cell r="DH200">
            <v>50.969464762568208</v>
          </cell>
          <cell r="DI200">
            <v>3987.68</v>
          </cell>
          <cell r="DJ200">
            <v>0.55413884478855335</v>
          </cell>
          <cell r="DK200">
            <v>-5.4290384663607414E-3</v>
          </cell>
          <cell r="DL200">
            <v>1.48</v>
          </cell>
          <cell r="DM200">
            <v>1.8640000000000001</v>
          </cell>
        </row>
        <row r="201">
          <cell r="B201" t="str">
            <v>Group 9 Average</v>
          </cell>
          <cell r="C201">
            <v>9</v>
          </cell>
          <cell r="D201">
            <v>10458000</v>
          </cell>
          <cell r="E201">
            <v>42932</v>
          </cell>
          <cell r="F201">
            <v>243.59452156899283</v>
          </cell>
          <cell r="G201">
            <v>45324000</v>
          </cell>
          <cell r="H201">
            <v>29257</v>
          </cell>
          <cell r="I201">
            <v>1549.1677205455105</v>
          </cell>
          <cell r="J201">
            <v>2478000</v>
          </cell>
          <cell r="K201">
            <v>5798</v>
          </cell>
          <cell r="L201">
            <v>427.38875474301483</v>
          </cell>
          <cell r="M201">
            <v>12918000</v>
          </cell>
          <cell r="N201">
            <v>141501000</v>
          </cell>
          <cell r="O201">
            <v>9.1292641041406067E-2</v>
          </cell>
          <cell r="P201">
            <v>3407000</v>
          </cell>
          <cell r="Q201">
            <v>81609000</v>
          </cell>
          <cell r="R201">
            <v>4.1747846438505556E-2</v>
          </cell>
          <cell r="S201">
            <v>3759000</v>
          </cell>
          <cell r="T201">
            <v>52726000</v>
          </cell>
          <cell r="U201">
            <v>7.1293100178280167E-2</v>
          </cell>
          <cell r="V201">
            <v>85016000</v>
          </cell>
          <cell r="W201">
            <v>313283000</v>
          </cell>
          <cell r="X201">
            <v>0.27137125219051145</v>
          </cell>
          <cell r="Y201">
            <v>56485000</v>
          </cell>
          <cell r="Z201">
            <v>313283000</v>
          </cell>
          <cell r="AA201">
            <v>0.18030023971935918</v>
          </cell>
          <cell r="AB201">
            <v>6997000</v>
          </cell>
          <cell r="AC201">
            <v>313283000</v>
          </cell>
          <cell r="AD201">
            <v>2.2334438830067384E-2</v>
          </cell>
          <cell r="AE201">
            <v>112893000</v>
          </cell>
          <cell r="AF201">
            <v>313283000</v>
          </cell>
          <cell r="AG201">
            <v>0.36035469527551767</v>
          </cell>
          <cell r="AH201">
            <v>45930000</v>
          </cell>
          <cell r="AI201">
            <v>313283000</v>
          </cell>
          <cell r="AJ201">
            <v>0.14660865734814849</v>
          </cell>
          <cell r="AK201">
            <v>5962000</v>
          </cell>
          <cell r="AL201">
            <v>313283000</v>
          </cell>
          <cell r="AM201">
            <v>1.9030716636395845E-2</v>
          </cell>
          <cell r="AN201">
            <v>256322000</v>
          </cell>
          <cell r="AO201">
            <v>137744</v>
          </cell>
          <cell r="AP201">
            <v>1860.8578232082705</v>
          </cell>
          <cell r="AQ201">
            <v>102591000</v>
          </cell>
          <cell r="AR201">
            <v>305372000</v>
          </cell>
          <cell r="AS201">
            <v>0.33595418047496167</v>
          </cell>
          <cell r="AT201">
            <v>84578000</v>
          </cell>
          <cell r="AU201">
            <v>305372000</v>
          </cell>
          <cell r="AV201">
            <v>0.27696710896873322</v>
          </cell>
          <cell r="AW201">
            <v>2997000</v>
          </cell>
          <cell r="AX201">
            <v>305372000</v>
          </cell>
          <cell r="AY201">
            <v>9.8142593296045473E-3</v>
          </cell>
          <cell r="AZ201">
            <v>82648000</v>
          </cell>
          <cell r="BA201">
            <v>305372000</v>
          </cell>
          <cell r="BB201">
            <v>0.27064694863969191</v>
          </cell>
          <cell r="BC201">
            <v>32558000</v>
          </cell>
          <cell r="BD201">
            <v>305372000</v>
          </cell>
          <cell r="BE201">
            <v>0.10661750258700864</v>
          </cell>
          <cell r="BF201">
            <v>278228000</v>
          </cell>
          <cell r="BG201">
            <v>137744</v>
          </cell>
          <cell r="BH201">
            <v>2019.8919735160878</v>
          </cell>
          <cell r="BI201">
            <v>106448000</v>
          </cell>
          <cell r="BJ201">
            <v>35158000</v>
          </cell>
          <cell r="BK201">
            <v>3.0277035098697311</v>
          </cell>
          <cell r="BL201">
            <v>9972000</v>
          </cell>
          <cell r="BM201">
            <v>216832000</v>
          </cell>
          <cell r="BN201">
            <v>4.598952184179457E-2</v>
          </cell>
          <cell r="BO201">
            <v>-145596000</v>
          </cell>
          <cell r="BP201">
            <v>74529000</v>
          </cell>
          <cell r="BQ201">
            <v>-1.9535482832186128</v>
          </cell>
          <cell r="BR201">
            <v>61.701538461538462</v>
          </cell>
          <cell r="BS201" t="str">
            <v>N/A</v>
          </cell>
          <cell r="BT201" t="str">
            <v>N/A</v>
          </cell>
          <cell r="BU201" t="str">
            <v>N/A</v>
          </cell>
          <cell r="BV201">
            <v>3861000</v>
          </cell>
          <cell r="BW201">
            <v>137744</v>
          </cell>
          <cell r="BX201">
            <v>28.03025903124637</v>
          </cell>
          <cell r="BY201">
            <v>742478</v>
          </cell>
          <cell r="BZ201">
            <v>137744</v>
          </cell>
          <cell r="CA201">
            <v>5.3902747125101635</v>
          </cell>
          <cell r="CB201">
            <v>4415000</v>
          </cell>
          <cell r="CC201">
            <v>33681</v>
          </cell>
          <cell r="CD201">
            <v>131.08280632997833</v>
          </cell>
          <cell r="CE201">
            <v>3372451</v>
          </cell>
          <cell r="CF201">
            <v>33681</v>
          </cell>
          <cell r="CG201">
            <v>100.12918262521896</v>
          </cell>
          <cell r="CH201">
            <v>7912560</v>
          </cell>
          <cell r="CI201">
            <v>137744</v>
          </cell>
          <cell r="CJ201">
            <v>57.443954001626203</v>
          </cell>
          <cell r="CK201">
            <v>50312640</v>
          </cell>
          <cell r="CL201">
            <v>137744</v>
          </cell>
          <cell r="CM201">
            <v>365.26193518410963</v>
          </cell>
          <cell r="CN201">
            <v>429.22006786812551</v>
          </cell>
          <cell r="CO201">
            <v>462.11770396714098</v>
          </cell>
          <cell r="CP201">
            <v>318.13941670641776</v>
          </cell>
          <cell r="CQ201">
            <v>352.46000340837054</v>
          </cell>
          <cell r="CR201">
            <v>71.307692307692307</v>
          </cell>
          <cell r="CS201">
            <v>60974</v>
          </cell>
          <cell r="CT201">
            <v>2781</v>
          </cell>
          <cell r="CU201">
            <v>21.925206760158215</v>
          </cell>
          <cell r="CV201">
            <v>17.26923076923077</v>
          </cell>
          <cell r="CW201">
            <v>97000</v>
          </cell>
          <cell r="CX201">
            <v>3064000</v>
          </cell>
          <cell r="CY201">
            <v>3.1657963446475194E-2</v>
          </cell>
          <cell r="CZ201">
            <v>6912000</v>
          </cell>
          <cell r="DA201">
            <v>137744</v>
          </cell>
          <cell r="DB201">
            <v>50.180044139853642</v>
          </cell>
          <cell r="DC201">
            <v>10819000</v>
          </cell>
          <cell r="DD201">
            <v>137744</v>
          </cell>
          <cell r="DE201">
            <v>78.54425601115112</v>
          </cell>
          <cell r="DF201">
            <v>12660000</v>
          </cell>
          <cell r="DG201">
            <v>137744</v>
          </cell>
          <cell r="DH201">
            <v>91.909629457544426</v>
          </cell>
          <cell r="DI201">
            <v>7905.9435897435906</v>
          </cell>
          <cell r="DJ201">
            <v>0.92149473519141056</v>
          </cell>
          <cell r="DK201">
            <v>-6.9470103976958762E-3</v>
          </cell>
          <cell r="DL201">
            <v>6.078717948717947</v>
          </cell>
          <cell r="DM201">
            <v>2.0646153846153847</v>
          </cell>
        </row>
        <row r="202">
          <cell r="B202" t="str">
            <v>Group 10 Average</v>
          </cell>
          <cell r="C202">
            <v>10</v>
          </cell>
          <cell r="D202">
            <v>24573000</v>
          </cell>
          <cell r="E202">
            <v>70549</v>
          </cell>
          <cell r="F202">
            <v>348.31110292137379</v>
          </cell>
          <cell r="G202">
            <v>39342000</v>
          </cell>
          <cell r="H202">
            <v>29701</v>
          </cell>
          <cell r="I202">
            <v>1324.6018652570619</v>
          </cell>
          <cell r="J202">
            <v>6127000</v>
          </cell>
          <cell r="K202">
            <v>7645</v>
          </cell>
          <cell r="L202">
            <v>801.43884892086328</v>
          </cell>
          <cell r="M202">
            <v>17029000</v>
          </cell>
          <cell r="N202">
            <v>173185000</v>
          </cell>
          <cell r="O202">
            <v>9.8328377168923412E-2</v>
          </cell>
          <cell r="P202">
            <v>3590000</v>
          </cell>
          <cell r="Q202">
            <v>106707000</v>
          </cell>
          <cell r="R202">
            <v>3.3643528540770525E-2</v>
          </cell>
          <cell r="S202">
            <v>7661000</v>
          </cell>
          <cell r="T202">
            <v>55227000</v>
          </cell>
          <cell r="U202">
            <v>0.13871838050229054</v>
          </cell>
          <cell r="V202">
            <v>110297000</v>
          </cell>
          <cell r="W202">
            <v>356295000</v>
          </cell>
          <cell r="X202">
            <v>0.30956651089686915</v>
          </cell>
          <cell r="Y202">
            <v>62888000</v>
          </cell>
          <cell r="Z202">
            <v>356295000</v>
          </cell>
          <cell r="AA202">
            <v>0.17650542387628229</v>
          </cell>
          <cell r="AB202">
            <v>9964000</v>
          </cell>
          <cell r="AC202">
            <v>356295000</v>
          </cell>
          <cell r="AD202">
            <v>2.7965590311399263E-2</v>
          </cell>
          <cell r="AE202">
            <v>120117000</v>
          </cell>
          <cell r="AF202">
            <v>356295000</v>
          </cell>
          <cell r="AG202">
            <v>0.33712794173367577</v>
          </cell>
          <cell r="AH202">
            <v>46353000</v>
          </cell>
          <cell r="AI202">
            <v>356295000</v>
          </cell>
          <cell r="AJ202">
            <v>0.13009725087357388</v>
          </cell>
          <cell r="AK202">
            <v>6676000</v>
          </cell>
          <cell r="AL202">
            <v>356295000</v>
          </cell>
          <cell r="AM202">
            <v>1.8737282308199665E-2</v>
          </cell>
          <cell r="AN202">
            <v>269699000</v>
          </cell>
          <cell r="AO202">
            <v>212628</v>
          </cell>
          <cell r="AP202">
            <v>1268.4077355757472</v>
          </cell>
          <cell r="AQ202">
            <v>108906000</v>
          </cell>
          <cell r="AR202">
            <v>329947000</v>
          </cell>
          <cell r="AS202">
            <v>0.3300711932522496</v>
          </cell>
          <cell r="AT202">
            <v>99504000</v>
          </cell>
          <cell r="AU202">
            <v>329947000</v>
          </cell>
          <cell r="AV202">
            <v>0.30157570761364705</v>
          </cell>
          <cell r="AW202">
            <v>3588000</v>
          </cell>
          <cell r="AX202">
            <v>329947000</v>
          </cell>
          <cell r="AY202">
            <v>1.0874473779122101E-2</v>
          </cell>
          <cell r="AZ202">
            <v>82765000</v>
          </cell>
          <cell r="BA202">
            <v>329947000</v>
          </cell>
          <cell r="BB202">
            <v>0.25084331726004477</v>
          </cell>
          <cell r="BC202">
            <v>35184000</v>
          </cell>
          <cell r="BD202">
            <v>329947000</v>
          </cell>
          <cell r="BE202">
            <v>0.10663530809493646</v>
          </cell>
          <cell r="BF202">
            <v>288467000</v>
          </cell>
          <cell r="BG202">
            <v>212628</v>
          </cell>
          <cell r="BH202">
            <v>1356.674567789755</v>
          </cell>
          <cell r="BI202">
            <v>133136000</v>
          </cell>
          <cell r="BJ202">
            <v>42733000</v>
          </cell>
          <cell r="BK202">
            <v>3.1155313223972105</v>
          </cell>
          <cell r="BL202">
            <v>13079000</v>
          </cell>
          <cell r="BM202">
            <v>255102000</v>
          </cell>
          <cell r="BN202">
            <v>5.1269688203150116E-2</v>
          </cell>
          <cell r="BO202">
            <v>63122000</v>
          </cell>
          <cell r="BP202">
            <v>71599000</v>
          </cell>
          <cell r="BQ202">
            <v>0.88160449168284472</v>
          </cell>
          <cell r="BR202">
            <v>88.388571428571439</v>
          </cell>
          <cell r="BS202" t="str">
            <v>N/A</v>
          </cell>
          <cell r="BT202" t="str">
            <v>N/A</v>
          </cell>
          <cell r="BU202" t="str">
            <v>N/A</v>
          </cell>
          <cell r="BV202">
            <v>5285000</v>
          </cell>
          <cell r="BW202">
            <v>212628</v>
          </cell>
          <cell r="BX202">
            <v>24.855616381661868</v>
          </cell>
          <cell r="BY202">
            <v>1077731</v>
          </cell>
          <cell r="BZ202">
            <v>212628</v>
          </cell>
          <cell r="CA202">
            <v>5.0686221946309988</v>
          </cell>
          <cell r="CB202">
            <v>8129000</v>
          </cell>
          <cell r="CC202">
            <v>53592</v>
          </cell>
          <cell r="CD202">
            <v>151.68308702791461</v>
          </cell>
          <cell r="CE202">
            <v>6036276</v>
          </cell>
          <cell r="CF202">
            <v>53989</v>
          </cell>
          <cell r="CG202">
            <v>111.80566411676453</v>
          </cell>
          <cell r="CH202">
            <v>13466136</v>
          </cell>
          <cell r="CI202">
            <v>212628</v>
          </cell>
          <cell r="CJ202">
            <v>63.331903606298326</v>
          </cell>
          <cell r="CK202">
            <v>57417262</v>
          </cell>
          <cell r="CL202">
            <v>212628</v>
          </cell>
          <cell r="CM202">
            <v>270.03622288691986</v>
          </cell>
          <cell r="CN202">
            <v>463.08305580529083</v>
          </cell>
          <cell r="CO202">
            <v>445.35767480754151</v>
          </cell>
          <cell r="CP202">
            <v>335.91856410723108</v>
          </cell>
          <cell r="CQ202">
            <v>362.66567261443129</v>
          </cell>
          <cell r="CR202">
            <v>185.10714285714286</v>
          </cell>
          <cell r="CS202">
            <v>124917</v>
          </cell>
          <cell r="CT202">
            <v>5183</v>
          </cell>
          <cell r="CU202">
            <v>24.101292687632647</v>
          </cell>
          <cell r="CV202">
            <v>19.660714285714285</v>
          </cell>
          <cell r="CW202">
            <v>420000</v>
          </cell>
          <cell r="CX202">
            <v>6952000</v>
          </cell>
          <cell r="CY202">
            <v>6.041426927502877E-2</v>
          </cell>
          <cell r="CZ202">
            <v>6598000</v>
          </cell>
          <cell r="DA202">
            <v>212628</v>
          </cell>
          <cell r="DB202">
            <v>31.030720319054875</v>
          </cell>
          <cell r="DC202">
            <v>13957000</v>
          </cell>
          <cell r="DD202">
            <v>212628</v>
          </cell>
          <cell r="DE202">
            <v>65.640461275090772</v>
          </cell>
          <cell r="DF202">
            <v>21791000</v>
          </cell>
          <cell r="DG202">
            <v>212628</v>
          </cell>
          <cell r="DH202">
            <v>102.48415072332901</v>
          </cell>
          <cell r="DI202">
            <v>7294.1821428571438</v>
          </cell>
          <cell r="DJ202">
            <v>2.1448910206386436</v>
          </cell>
          <cell r="DK202">
            <v>1.6223364130459651E-3</v>
          </cell>
          <cell r="DL202">
            <v>4.5871428571428572</v>
          </cell>
          <cell r="DM202">
            <v>2.9135714285714278</v>
          </cell>
        </row>
        <row r="203">
          <cell r="B203" t="str">
            <v>Group 11 Average</v>
          </cell>
          <cell r="C203">
            <v>11</v>
          </cell>
          <cell r="D203">
            <v>36978000</v>
          </cell>
          <cell r="E203">
            <v>85496</v>
          </cell>
          <cell r="F203">
            <v>432.51146252456255</v>
          </cell>
          <cell r="G203">
            <v>35466000</v>
          </cell>
          <cell r="H203">
            <v>22069</v>
          </cell>
          <cell r="I203">
            <v>1607.0506139834156</v>
          </cell>
          <cell r="J203">
            <v>10186000</v>
          </cell>
          <cell r="K203">
            <v>7931</v>
          </cell>
          <cell r="L203">
            <v>1284.3273231622745</v>
          </cell>
          <cell r="M203">
            <v>25618000</v>
          </cell>
          <cell r="N203">
            <v>206793000</v>
          </cell>
          <cell r="O203">
            <v>0.12388233644272291</v>
          </cell>
          <cell r="P203">
            <v>6833000</v>
          </cell>
          <cell r="Q203">
            <v>129753000</v>
          </cell>
          <cell r="R203">
            <v>5.2661595492975118E-2</v>
          </cell>
          <cell r="S203">
            <v>3856000</v>
          </cell>
          <cell r="T203">
            <v>66351000</v>
          </cell>
          <cell r="U203">
            <v>5.8115175355307379E-2</v>
          </cell>
          <cell r="V203">
            <v>136586000</v>
          </cell>
          <cell r="W203">
            <v>369540000</v>
          </cell>
          <cell r="X203">
            <v>0.36961086756508094</v>
          </cell>
          <cell r="Y203">
            <v>70207000</v>
          </cell>
          <cell r="Z203">
            <v>369540000</v>
          </cell>
          <cell r="AA203">
            <v>0.18998484602478757</v>
          </cell>
          <cell r="AB203">
            <v>10469000</v>
          </cell>
          <cell r="AC203">
            <v>369540000</v>
          </cell>
          <cell r="AD203">
            <v>2.832981544623045E-2</v>
          </cell>
          <cell r="AE203">
            <v>108336000</v>
          </cell>
          <cell r="AF203">
            <v>369540000</v>
          </cell>
          <cell r="AG203">
            <v>0.29316447475239488</v>
          </cell>
          <cell r="AH203">
            <v>36523000</v>
          </cell>
          <cell r="AI203">
            <v>369540000</v>
          </cell>
          <cell r="AJ203">
            <v>9.8833685122043616E-2</v>
          </cell>
          <cell r="AK203">
            <v>7419000</v>
          </cell>
          <cell r="AL203">
            <v>369540000</v>
          </cell>
          <cell r="AM203">
            <v>2.0076311089462576E-2</v>
          </cell>
          <cell r="AN203">
            <v>283987000</v>
          </cell>
          <cell r="AO203">
            <v>251213</v>
          </cell>
          <cell r="AP203">
            <v>1130.4629935552698</v>
          </cell>
          <cell r="AQ203">
            <v>104156000</v>
          </cell>
          <cell r="AR203">
            <v>354025000</v>
          </cell>
          <cell r="AS203">
            <v>0.29420521149636325</v>
          </cell>
          <cell r="AT203">
            <v>112577000</v>
          </cell>
          <cell r="AU203">
            <v>354025000</v>
          </cell>
          <cell r="AV203">
            <v>0.31799166725513733</v>
          </cell>
          <cell r="AW203">
            <v>5646000</v>
          </cell>
          <cell r="AX203">
            <v>354025000</v>
          </cell>
          <cell r="AY203">
            <v>1.5948026269331263E-2</v>
          </cell>
          <cell r="AZ203">
            <v>100834000</v>
          </cell>
          <cell r="BA203">
            <v>354025000</v>
          </cell>
          <cell r="BB203">
            <v>0.28482169338323565</v>
          </cell>
          <cell r="BC203">
            <v>30812000</v>
          </cell>
          <cell r="BD203">
            <v>354025000</v>
          </cell>
          <cell r="BE203">
            <v>8.7033401595932494E-2</v>
          </cell>
          <cell r="BF203">
            <v>305254000</v>
          </cell>
          <cell r="BG203">
            <v>251213</v>
          </cell>
          <cell r="BH203">
            <v>1215.1202366119587</v>
          </cell>
          <cell r="BI203">
            <v>119551000</v>
          </cell>
          <cell r="BJ203">
            <v>45538000</v>
          </cell>
          <cell r="BK203">
            <v>2.6253019456278275</v>
          </cell>
          <cell r="BL203">
            <v>13818000</v>
          </cell>
          <cell r="BM203">
            <v>277941000</v>
          </cell>
          <cell r="BN203">
            <v>4.9715587121007696E-2</v>
          </cell>
          <cell r="BO203">
            <v>64818000</v>
          </cell>
          <cell r="BP203">
            <v>86763000</v>
          </cell>
          <cell r="BQ203">
            <v>0.74706960340237194</v>
          </cell>
          <cell r="BR203">
            <v>127.51111111111111</v>
          </cell>
          <cell r="BS203" t="str">
            <v>N/A</v>
          </cell>
          <cell r="BT203" t="str">
            <v>N/A</v>
          </cell>
          <cell r="BU203" t="str">
            <v>N/A</v>
          </cell>
          <cell r="BV203">
            <v>5270000</v>
          </cell>
          <cell r="BW203">
            <v>251213</v>
          </cell>
          <cell r="BX203">
            <v>20.978213707093182</v>
          </cell>
          <cell r="BY203">
            <v>1447069</v>
          </cell>
          <cell r="BZ203">
            <v>251213</v>
          </cell>
          <cell r="CA203">
            <v>5.7603268939107455</v>
          </cell>
          <cell r="CB203">
            <v>10907000</v>
          </cell>
          <cell r="CC203">
            <v>70396</v>
          </cell>
          <cell r="CD203">
            <v>154.9377805557134</v>
          </cell>
          <cell r="CE203">
            <v>6788502</v>
          </cell>
          <cell r="CF203">
            <v>71625</v>
          </cell>
          <cell r="CG203">
            <v>94.778387434554972</v>
          </cell>
          <cell r="CH203">
            <v>19082622</v>
          </cell>
          <cell r="CI203">
            <v>251213</v>
          </cell>
          <cell r="CJ203">
            <v>75.961920760470193</v>
          </cell>
          <cell r="CK203">
            <v>101137440</v>
          </cell>
          <cell r="CL203">
            <v>251213</v>
          </cell>
          <cell r="CM203">
            <v>402.59636244939554</v>
          </cell>
          <cell r="CN203">
            <v>413.2221082666818</v>
          </cell>
          <cell r="CO203">
            <v>379.2350276044134</v>
          </cell>
          <cell r="CP203">
            <v>369.23070246031529</v>
          </cell>
          <cell r="CQ203">
            <v>336.14287007011467</v>
          </cell>
          <cell r="CR203">
            <v>300.44444444444446</v>
          </cell>
          <cell r="CS203">
            <v>132267</v>
          </cell>
          <cell r="CT203">
            <v>5408</v>
          </cell>
          <cell r="CU203">
            <v>24.457655325443788</v>
          </cell>
          <cell r="CV203">
            <v>20.555555555555557</v>
          </cell>
          <cell r="CW203">
            <v>349000</v>
          </cell>
          <cell r="CX203">
            <v>8080000</v>
          </cell>
          <cell r="CY203">
            <v>4.319306930693069E-2</v>
          </cell>
          <cell r="CZ203">
            <v>8959000</v>
          </cell>
          <cell r="DA203">
            <v>251213</v>
          </cell>
          <cell r="DB203">
            <v>35.662963302058415</v>
          </cell>
          <cell r="DC203">
            <v>15167000</v>
          </cell>
          <cell r="DD203">
            <v>251213</v>
          </cell>
          <cell r="DE203">
            <v>60.375060207871407</v>
          </cell>
          <cell r="DF203">
            <v>13202000</v>
          </cell>
          <cell r="DG203">
            <v>251213</v>
          </cell>
          <cell r="DH203">
            <v>52.553012781981828</v>
          </cell>
          <cell r="DI203">
            <v>5333.6833333333334</v>
          </cell>
          <cell r="DJ203">
            <v>4.6888538243070492</v>
          </cell>
          <cell r="DK203">
            <v>9.6123710776626096E-4</v>
          </cell>
          <cell r="DL203">
            <v>4.2061111111111114</v>
          </cell>
          <cell r="DM203">
            <v>2.351666666666667</v>
          </cell>
        </row>
        <row r="204">
          <cell r="B204" t="str">
            <v>NSW Mean</v>
          </cell>
          <cell r="D204">
            <v>1347415000</v>
          </cell>
          <cell r="E204">
            <v>2361440</v>
          </cell>
          <cell r="F204">
            <v>570.59040246629172</v>
          </cell>
          <cell r="G204">
            <v>167431000</v>
          </cell>
          <cell r="H204">
            <v>121824</v>
          </cell>
          <cell r="I204">
            <v>1374.3679406356712</v>
          </cell>
          <cell r="J204">
            <v>527456000</v>
          </cell>
          <cell r="K204">
            <v>160624</v>
          </cell>
          <cell r="L204">
            <v>3283.7932064946708</v>
          </cell>
          <cell r="M204">
            <v>267689000</v>
          </cell>
          <cell r="N204">
            <v>3880700000</v>
          </cell>
          <cell r="O204">
            <v>6.8979565542299073E-2</v>
          </cell>
          <cell r="P204">
            <v>136880000</v>
          </cell>
          <cell r="Q204">
            <v>2730217000</v>
          </cell>
          <cell r="R204">
            <v>5.0135209032835117E-2</v>
          </cell>
          <cell r="S204">
            <v>85840000</v>
          </cell>
          <cell r="T204">
            <v>897311000</v>
          </cell>
          <cell r="U204">
            <v>9.5663599354070109E-2</v>
          </cell>
          <cell r="V204">
            <v>2891802000</v>
          </cell>
          <cell r="W204">
            <v>6089319000</v>
          </cell>
          <cell r="X204">
            <v>0.47489743927030265</v>
          </cell>
          <cell r="Y204">
            <v>988898000</v>
          </cell>
          <cell r="Z204">
            <v>6089319000</v>
          </cell>
          <cell r="AA204">
            <v>0.16239878383773293</v>
          </cell>
          <cell r="AB204">
            <v>181290000</v>
          </cell>
          <cell r="AC204">
            <v>6089319000</v>
          </cell>
          <cell r="AD204">
            <v>2.9771802068507169E-2</v>
          </cell>
          <cell r="AE204">
            <v>1053485000</v>
          </cell>
          <cell r="AF204">
            <v>6089319000</v>
          </cell>
          <cell r="AG204">
            <v>0.17300538861570564</v>
          </cell>
          <cell r="AH204">
            <v>769977000</v>
          </cell>
          <cell r="AI204">
            <v>6089319000</v>
          </cell>
          <cell r="AJ204">
            <v>0.12644714458217743</v>
          </cell>
          <cell r="AK204">
            <v>203867000</v>
          </cell>
          <cell r="AL204">
            <v>6089319000</v>
          </cell>
          <cell r="AM204">
            <v>3.3479441625574223E-2</v>
          </cell>
          <cell r="AN204">
            <v>4792368000</v>
          </cell>
          <cell r="AO204">
            <v>6608056</v>
          </cell>
          <cell r="AP204">
            <v>725.23114210896517</v>
          </cell>
          <cell r="AQ204">
            <v>2016099000</v>
          </cell>
          <cell r="AR204">
            <v>5412903000</v>
          </cell>
          <cell r="AS204">
            <v>0.37246169015036851</v>
          </cell>
          <cell r="AT204">
            <v>1372812000</v>
          </cell>
          <cell r="AU204">
            <v>5412903000</v>
          </cell>
          <cell r="AV204">
            <v>0.25361843727848071</v>
          </cell>
          <cell r="AW204">
            <v>87938000</v>
          </cell>
          <cell r="AX204">
            <v>5412903000</v>
          </cell>
          <cell r="AY204">
            <v>1.6245995910142856E-2</v>
          </cell>
          <cell r="AZ204">
            <v>1114374000</v>
          </cell>
          <cell r="BA204">
            <v>5412903000</v>
          </cell>
          <cell r="BB204">
            <v>0.20587363194943636</v>
          </cell>
          <cell r="BC204">
            <v>821680000</v>
          </cell>
          <cell r="BD204">
            <v>5412903000</v>
          </cell>
          <cell r="BE204">
            <v>0.15180024471157158</v>
          </cell>
          <cell r="BF204">
            <v>4972902000</v>
          </cell>
          <cell r="BG204">
            <v>6608056</v>
          </cell>
          <cell r="BH204">
            <v>752.55143116220563</v>
          </cell>
          <cell r="BI204">
            <v>2051802000</v>
          </cell>
          <cell r="BJ204">
            <v>924283000</v>
          </cell>
          <cell r="BK204">
            <v>2.2198850352110773</v>
          </cell>
          <cell r="BL204">
            <v>301686000</v>
          </cell>
          <cell r="BM204">
            <v>4847984000</v>
          </cell>
          <cell r="BN204">
            <v>6.2229165772824335E-2</v>
          </cell>
          <cell r="BO204">
            <v>1047805000</v>
          </cell>
          <cell r="BP204">
            <v>989371000</v>
          </cell>
          <cell r="BQ204">
            <v>1.0590617675270451</v>
          </cell>
          <cell r="BR204">
            <v>233.97866279069768</v>
          </cell>
          <cell r="BV204">
            <v>168454000</v>
          </cell>
          <cell r="BW204">
            <v>6608056</v>
          </cell>
          <cell r="BX204">
            <v>25.492217378303089</v>
          </cell>
          <cell r="BY204">
            <v>45791341</v>
          </cell>
          <cell r="BZ204">
            <v>6608056</v>
          </cell>
          <cell r="CA204">
            <v>6.9296236290975743</v>
          </cell>
          <cell r="CB204">
            <v>444576000</v>
          </cell>
          <cell r="CC204">
            <v>2315773</v>
          </cell>
          <cell r="CD204">
            <v>191.97736565716934</v>
          </cell>
          <cell r="CE204">
            <v>291331013</v>
          </cell>
          <cell r="CF204">
            <v>2630616</v>
          </cell>
          <cell r="CG204">
            <v>110.74630922947325</v>
          </cell>
          <cell r="CH204">
            <v>924923503</v>
          </cell>
          <cell r="CI204">
            <v>6608056</v>
          </cell>
          <cell r="CJ204">
            <v>139.96907759256277</v>
          </cell>
          <cell r="CK204">
            <v>1912443316</v>
          </cell>
          <cell r="CL204">
            <v>6608056</v>
          </cell>
          <cell r="CM204">
            <v>289.41088211116858</v>
          </cell>
          <cell r="CN204">
            <v>372.51302706574376</v>
          </cell>
          <cell r="CO204">
            <v>396.76297370830559</v>
          </cell>
          <cell r="CP204">
            <v>367.9198507675161</v>
          </cell>
          <cell r="CQ204">
            <v>381.38783616567537</v>
          </cell>
          <cell r="CR204">
            <v>726.68604651162786</v>
          </cell>
          <cell r="CS204">
            <v>5815996</v>
          </cell>
          <cell r="CT204">
            <v>124990</v>
          </cell>
          <cell r="CU204">
            <v>46.531690535242817</v>
          </cell>
          <cell r="CV204">
            <v>27.470930232558139</v>
          </cell>
          <cell r="CW204">
            <v>24673000</v>
          </cell>
          <cell r="CX204">
            <v>245147000</v>
          </cell>
          <cell r="CY204">
            <v>0.1006457350079748</v>
          </cell>
          <cell r="CZ204">
            <v>118391000</v>
          </cell>
          <cell r="DA204">
            <v>6608056</v>
          </cell>
          <cell r="DB204">
            <v>17.916161727442987</v>
          </cell>
          <cell r="DC204">
            <v>347704000</v>
          </cell>
          <cell r="DD204">
            <v>6608056</v>
          </cell>
          <cell r="DE204">
            <v>52.61819815086313</v>
          </cell>
          <cell r="DF204">
            <v>297590000</v>
          </cell>
          <cell r="DG204">
            <v>6608056</v>
          </cell>
          <cell r="DH204">
            <v>45.034424647733012</v>
          </cell>
          <cell r="DI204">
            <v>4072.864772727271</v>
          </cell>
          <cell r="DJ204">
            <v>627.5215045203546</v>
          </cell>
          <cell r="DK204">
            <v>-3.1613162027187727E-3</v>
          </cell>
          <cell r="DL204">
            <v>3.3551704545454553</v>
          </cell>
          <cell r="DM204">
            <v>8.0243181818181846</v>
          </cell>
        </row>
        <row r="205">
          <cell r="B205" t="str">
            <v>NSW High</v>
          </cell>
          <cell r="F205">
            <v>1015.3427369463004</v>
          </cell>
          <cell r="I205">
            <v>3835.0268977884039</v>
          </cell>
          <cell r="L205">
            <v>10817.848565288838</v>
          </cell>
          <cell r="O205">
            <v>0.24023929471032746</v>
          </cell>
          <cell r="R205">
            <v>0.14129110840438489</v>
          </cell>
          <cell r="U205">
            <v>1.5</v>
          </cell>
          <cell r="X205">
            <v>0.70151827194789018</v>
          </cell>
          <cell r="AA205">
            <v>0.38920681394729839</v>
          </cell>
          <cell r="AD205">
            <v>9.4920746925921576E-2</v>
          </cell>
          <cell r="AG205">
            <v>0.59784075573549256</v>
          </cell>
          <cell r="AJ205">
            <v>0.49458651610760546</v>
          </cell>
          <cell r="AM205">
            <v>0.19146800074871953</v>
          </cell>
          <cell r="AP205">
            <v>5424.1537687177552</v>
          </cell>
          <cell r="AS205">
            <v>0.53430396784773171</v>
          </cell>
          <cell r="AV205">
            <v>0.52358896130911103</v>
          </cell>
          <cell r="AY205">
            <v>9.7875242797621692E-2</v>
          </cell>
          <cell r="BB205">
            <v>0.42042158189905243</v>
          </cell>
          <cell r="BE205">
            <v>0.38329158923810291</v>
          </cell>
          <cell r="BH205">
            <v>4029.8854913803953</v>
          </cell>
          <cell r="BK205">
            <v>11.335849056603774</v>
          </cell>
          <cell r="BN205">
            <v>0.26823817816276652</v>
          </cell>
          <cell r="BQ205">
            <v>13.413926499032883</v>
          </cell>
          <cell r="BR205">
            <v>1145</v>
          </cell>
          <cell r="BX205">
            <v>91.471801925722147</v>
          </cell>
          <cell r="CA205">
            <v>23.576381024285894</v>
          </cell>
          <cell r="CD205">
            <v>321.66729252722496</v>
          </cell>
          <cell r="CG205">
            <v>282.98086606243709</v>
          </cell>
          <cell r="CJ205">
            <v>483.80718582344332</v>
          </cell>
          <cell r="CM205">
            <v>1575.8630289532293</v>
          </cell>
          <cell r="CN205">
            <v>669</v>
          </cell>
          <cell r="CO205">
            <v>912</v>
          </cell>
          <cell r="CP205">
            <v>790.39704524469096</v>
          </cell>
          <cell r="CQ205">
            <v>573.09941520467805</v>
          </cell>
          <cell r="CR205">
            <v>4943</v>
          </cell>
          <cell r="CU205">
            <v>116.69969742813919</v>
          </cell>
          <cell r="CV205">
            <v>96</v>
          </cell>
          <cell r="CY205">
            <v>1.4736842105263157</v>
          </cell>
          <cell r="DB205">
            <v>108.4664055438385</v>
          </cell>
          <cell r="DE205">
            <v>157.19298245614036</v>
          </cell>
          <cell r="DH205">
            <v>883.59017076218242</v>
          </cell>
          <cell r="DI205">
            <v>53510.8</v>
          </cell>
          <cell r="DJ205">
            <v>6928.3695652173919</v>
          </cell>
          <cell r="DK205">
            <v>0.59969811320754718</v>
          </cell>
          <cell r="DL205">
            <v>54.4</v>
          </cell>
          <cell r="DM205">
            <v>49.79</v>
          </cell>
        </row>
        <row r="206">
          <cell r="B206" t="str">
            <v>NSW Low</v>
          </cell>
          <cell r="F206">
            <v>82.135523613963045</v>
          </cell>
          <cell r="I206">
            <v>383.0935251798561</v>
          </cell>
          <cell r="L206">
            <v>90.909090909090907</v>
          </cell>
          <cell r="O206">
            <v>1.5704894083272462E-2</v>
          </cell>
          <cell r="R206">
            <v>-7.5790252017992485E-2</v>
          </cell>
          <cell r="U206">
            <v>-0.4366754617414248</v>
          </cell>
          <cell r="X206">
            <v>9.434345485934803E-2</v>
          </cell>
          <cell r="AA206">
            <v>3.0554633012288276E-2</v>
          </cell>
          <cell r="AD206">
            <v>2.6990553306342779E-3</v>
          </cell>
          <cell r="AG206">
            <v>1.6602288132228405E-2</v>
          </cell>
          <cell r="AJ206">
            <v>4.5630393810137887E-3</v>
          </cell>
          <cell r="AM206">
            <v>3.0216044719746184E-4</v>
          </cell>
          <cell r="AP206">
            <v>461.47799588667908</v>
          </cell>
          <cell r="AS206">
            <v>0.12969792075323655</v>
          </cell>
          <cell r="AV206">
            <v>7.1846974226387653E-2</v>
          </cell>
          <cell r="AY206">
            <v>0</v>
          </cell>
          <cell r="BB206">
            <v>9.4292803970223327E-2</v>
          </cell>
          <cell r="BE206">
            <v>2.8461784457946913E-2</v>
          </cell>
          <cell r="BH206">
            <v>442.14969473128815</v>
          </cell>
          <cell r="BK206">
            <v>0.55227552275522751</v>
          </cell>
          <cell r="BN206">
            <v>0</v>
          </cell>
          <cell r="BQ206">
            <v>-153.72577171572146</v>
          </cell>
          <cell r="BR206">
            <v>24</v>
          </cell>
          <cell r="BX206">
            <v>10.443864229765014</v>
          </cell>
          <cell r="CA206">
            <v>0.69651056014692381</v>
          </cell>
          <cell r="CD206">
            <v>67.028407277369936</v>
          </cell>
          <cell r="CG206">
            <v>22.446442933391825</v>
          </cell>
          <cell r="CJ206">
            <v>0.42541123085649463</v>
          </cell>
          <cell r="CM206">
            <v>12.165450121654501</v>
          </cell>
          <cell r="CN206">
            <v>173.299639243912</v>
          </cell>
          <cell r="CO206">
            <v>170.66085693536701</v>
          </cell>
          <cell r="CP206">
            <v>113.257940922012</v>
          </cell>
          <cell r="CQ206">
            <v>149.25373134328399</v>
          </cell>
          <cell r="CR206">
            <v>7</v>
          </cell>
          <cell r="CU206">
            <v>2.1428571428571428</v>
          </cell>
          <cell r="CV206">
            <v>2</v>
          </cell>
          <cell r="CY206">
            <v>0</v>
          </cell>
          <cell r="DB206">
            <v>1.7734633873150698</v>
          </cell>
          <cell r="DE206">
            <v>-5.2103741020617598</v>
          </cell>
          <cell r="DH206">
            <v>0</v>
          </cell>
          <cell r="DI206">
            <v>5.8</v>
          </cell>
          <cell r="DJ206">
            <v>0</v>
          </cell>
          <cell r="DK206">
            <v>-0.2</v>
          </cell>
          <cell r="DL206">
            <v>7.0000000000000007E-2</v>
          </cell>
          <cell r="DM206">
            <v>0.39</v>
          </cell>
        </row>
        <row r="207">
          <cell r="B207" t="str">
            <v>NSW Median</v>
          </cell>
          <cell r="F207">
            <v>430.58692304830942</v>
          </cell>
          <cell r="I207">
            <v>1388.1996158198037</v>
          </cell>
          <cell r="L207">
            <v>1154.490106544901</v>
          </cell>
          <cell r="O207">
            <v>8.0210779471627983E-2</v>
          </cell>
          <cell r="R207">
            <v>4.5542747078922419E-2</v>
          </cell>
          <cell r="U207">
            <v>0.1142535924966378</v>
          </cell>
          <cell r="X207">
            <v>0.39544238238215912</v>
          </cell>
          <cell r="AA207">
            <v>0.15924493068134629</v>
          </cell>
          <cell r="AD207">
            <v>2.546034894699109E-2</v>
          </cell>
          <cell r="AG207">
            <v>0.24789336524962741</v>
          </cell>
          <cell r="AJ207">
            <v>9.7035022800158161E-2</v>
          </cell>
          <cell r="AM207">
            <v>1.8676083128839473E-2</v>
          </cell>
          <cell r="AP207">
            <v>973.66509504820374</v>
          </cell>
          <cell r="AS207">
            <v>0.34815026790209247</v>
          </cell>
          <cell r="AV207">
            <v>0.26924037292715663</v>
          </cell>
          <cell r="AY207">
            <v>1.1256676000145901E-2</v>
          </cell>
          <cell r="BB207">
            <v>0.2191615350174671</v>
          </cell>
          <cell r="BE207">
            <v>0.11339419022472662</v>
          </cell>
          <cell r="BH207">
            <v>1025.223606388706</v>
          </cell>
          <cell r="BK207">
            <v>2.3393015202822109</v>
          </cell>
          <cell r="BN207">
            <v>4.3244909807951606E-2</v>
          </cell>
          <cell r="BQ207">
            <v>0.92520185359723528</v>
          </cell>
          <cell r="BR207">
            <v>139.5</v>
          </cell>
          <cell r="BX207">
            <v>25.061837868110327</v>
          </cell>
          <cell r="CA207">
            <v>6.1211352492508855</v>
          </cell>
          <cell r="CD207">
            <v>163.1480584204333</v>
          </cell>
          <cell r="CG207">
            <v>95.893913043478264</v>
          </cell>
          <cell r="CJ207">
            <v>86.9746150645027</v>
          </cell>
          <cell r="CM207">
            <v>277.09306016067262</v>
          </cell>
          <cell r="CN207">
            <v>399.11587574609399</v>
          </cell>
          <cell r="CO207">
            <v>396.07843137254901</v>
          </cell>
          <cell r="CP207">
            <v>344.64760938490798</v>
          </cell>
          <cell r="CQ207">
            <v>366.40211640211601</v>
          </cell>
          <cell r="CR207">
            <v>333.5</v>
          </cell>
          <cell r="CU207">
            <v>29.481738938541323</v>
          </cell>
          <cell r="CV207">
            <v>22</v>
          </cell>
          <cell r="CY207">
            <v>3.4792551453773274E-2</v>
          </cell>
          <cell r="DB207">
            <v>26.547293857387494</v>
          </cell>
          <cell r="DE207">
            <v>61.053701777735512</v>
          </cell>
          <cell r="DH207">
            <v>36.157261079244456</v>
          </cell>
          <cell r="DI207">
            <v>2567.6</v>
          </cell>
          <cell r="DJ207">
            <v>4.4899577167019027</v>
          </cell>
          <cell r="DK207">
            <v>9.2800000000000001E-4</v>
          </cell>
          <cell r="DL207">
            <v>1.7549999999999999</v>
          </cell>
          <cell r="DM207">
            <v>2.895</v>
          </cell>
        </row>
        <row r="208">
          <cell r="B208" t="str">
            <v>Urban Average (Groups 1-7)</v>
          </cell>
          <cell r="D208">
            <v>1275011000</v>
          </cell>
          <cell r="E208">
            <v>2160160</v>
          </cell>
          <cell r="F208">
            <v>590.23914895192945</v>
          </cell>
          <cell r="G208">
            <v>42794000</v>
          </cell>
          <cell r="H208">
            <v>38158</v>
          </cell>
          <cell r="I208">
            <v>1121.4948372556214</v>
          </cell>
          <cell r="J208">
            <v>508591000</v>
          </cell>
          <cell r="K208">
            <v>138860</v>
          </cell>
          <cell r="L208">
            <v>3662.6170243410629</v>
          </cell>
          <cell r="M208">
            <v>211555000</v>
          </cell>
          <cell r="N208">
            <v>3349738000</v>
          </cell>
          <cell r="O208">
            <v>6.3155685608844631E-2</v>
          </cell>
          <cell r="P208">
            <v>122972000</v>
          </cell>
          <cell r="Q208">
            <v>2407841000</v>
          </cell>
          <cell r="R208">
            <v>5.1071478556931289E-2</v>
          </cell>
          <cell r="S208">
            <v>71005000</v>
          </cell>
          <cell r="T208">
            <v>719583000</v>
          </cell>
          <cell r="U208">
            <v>9.8675204945086248E-2</v>
          </cell>
          <cell r="V208">
            <v>2553824000</v>
          </cell>
          <cell r="W208">
            <v>5025292000</v>
          </cell>
          <cell r="X208">
            <v>0.5081941507080584</v>
          </cell>
          <cell r="Y208">
            <v>795914000</v>
          </cell>
          <cell r="Z208">
            <v>5025292000</v>
          </cell>
          <cell r="AA208">
            <v>0.15838164230058671</v>
          </cell>
          <cell r="AB208">
            <v>153392000</v>
          </cell>
          <cell r="AC208">
            <v>5025292000</v>
          </cell>
          <cell r="AD208">
            <v>3.0523997411493701E-2</v>
          </cell>
          <cell r="AE208">
            <v>700779000</v>
          </cell>
          <cell r="AF208">
            <v>5025292000</v>
          </cell>
          <cell r="AG208">
            <v>0.13945040407602186</v>
          </cell>
          <cell r="AH208">
            <v>638741000</v>
          </cell>
          <cell r="AI208">
            <v>5025292000</v>
          </cell>
          <cell r="AJ208">
            <v>0.12710525079935653</v>
          </cell>
          <cell r="AK208">
            <v>182642000</v>
          </cell>
          <cell r="AL208">
            <v>5025292000</v>
          </cell>
          <cell r="AM208">
            <v>3.6344554704482841E-2</v>
          </cell>
          <cell r="AN208">
            <v>3961777000</v>
          </cell>
          <cell r="AO208">
            <v>5997858</v>
          </cell>
          <cell r="AP208">
            <v>660.53197658230658</v>
          </cell>
          <cell r="AQ208">
            <v>1693237000</v>
          </cell>
          <cell r="AR208">
            <v>4399228000</v>
          </cell>
          <cell r="AS208">
            <v>0.38489412233237286</v>
          </cell>
          <cell r="AT208">
            <v>1068872000</v>
          </cell>
          <cell r="AU208">
            <v>4399228000</v>
          </cell>
          <cell r="AV208">
            <v>0.24296808440026296</v>
          </cell>
          <cell r="AW208">
            <v>75488000</v>
          </cell>
          <cell r="AX208">
            <v>4399228000</v>
          </cell>
          <cell r="AY208">
            <v>1.7159374326586391E-2</v>
          </cell>
          <cell r="AZ208">
            <v>842244000</v>
          </cell>
          <cell r="BA208">
            <v>4399228000</v>
          </cell>
          <cell r="BB208">
            <v>0.19145268215241401</v>
          </cell>
          <cell r="BC208">
            <v>719387000</v>
          </cell>
          <cell r="BD208">
            <v>4399228000</v>
          </cell>
          <cell r="BE208">
            <v>0.16352573678836377</v>
          </cell>
          <cell r="BF208">
            <v>4077972000</v>
          </cell>
          <cell r="BG208">
            <v>5997858</v>
          </cell>
          <cell r="BH208">
            <v>679.90472598717747</v>
          </cell>
          <cell r="BI208">
            <v>1683769000</v>
          </cell>
          <cell r="BJ208">
            <v>798045000</v>
          </cell>
          <cell r="BK208">
            <v>2.1098672380630163</v>
          </cell>
          <cell r="BL208">
            <v>264343000</v>
          </cell>
          <cell r="BM208">
            <v>4081223000</v>
          </cell>
          <cell r="BN208">
            <v>6.4770535694815015E-2</v>
          </cell>
          <cell r="BO208">
            <v>1062781000</v>
          </cell>
          <cell r="BP208">
            <v>750975000</v>
          </cell>
          <cell r="BQ208">
            <v>1.4152015712906554</v>
          </cell>
          <cell r="BV208">
            <v>153824000</v>
          </cell>
          <cell r="BW208">
            <v>5997858</v>
          </cell>
          <cell r="BX208">
            <v>25.646489129952727</v>
          </cell>
          <cell r="BY208">
            <v>42476551</v>
          </cell>
          <cell r="BZ208">
            <v>5997858</v>
          </cell>
          <cell r="CA208">
            <v>7.0819534240390487</v>
          </cell>
          <cell r="CB208">
            <v>420993000</v>
          </cell>
          <cell r="CC208">
            <v>2156640</v>
          </cell>
          <cell r="CD208">
            <v>195.2078232806588</v>
          </cell>
          <cell r="CE208">
            <v>274999887</v>
          </cell>
          <cell r="CF208">
            <v>2469931</v>
          </cell>
          <cell r="CG208">
            <v>111.33909692214074</v>
          </cell>
          <cell r="CH208">
            <v>884382185</v>
          </cell>
          <cell r="CI208">
            <v>5997858</v>
          </cell>
          <cell r="CJ208">
            <v>147.44967036565387</v>
          </cell>
          <cell r="CK208">
            <v>1701590974</v>
          </cell>
          <cell r="CL208">
            <v>5997858</v>
          </cell>
          <cell r="CM208">
            <v>283.69977648687251</v>
          </cell>
          <cell r="CS208">
            <v>5494105</v>
          </cell>
          <cell r="CT208">
            <v>111477</v>
          </cell>
          <cell r="CU208">
            <v>49.28465064542462</v>
          </cell>
          <cell r="CW208">
            <v>23779000</v>
          </cell>
          <cell r="CX208">
            <v>226845000</v>
          </cell>
          <cell r="CY208">
            <v>0.10482488042495977</v>
          </cell>
          <cell r="CZ208">
            <v>95472000</v>
          </cell>
          <cell r="DA208">
            <v>5997858</v>
          </cell>
          <cell r="DB208">
            <v>15.917682612692731</v>
          </cell>
          <cell r="DC208">
            <v>307042000</v>
          </cell>
          <cell r="DD208">
            <v>5997858</v>
          </cell>
          <cell r="DE208">
            <v>51.191942190028506</v>
          </cell>
          <cell r="DF208">
            <v>249498000</v>
          </cell>
          <cell r="DG208">
            <v>5997858</v>
          </cell>
          <cell r="DH208">
            <v>41.597850432604439</v>
          </cell>
        </row>
        <row r="209">
          <cell r="B209" t="str">
            <v>Rural Average (Groups 8-11)</v>
          </cell>
          <cell r="D209">
            <v>72404000</v>
          </cell>
          <cell r="E209">
            <v>201280</v>
          </cell>
          <cell r="F209">
            <v>359.71780604133545</v>
          </cell>
          <cell r="G209">
            <v>124637000</v>
          </cell>
          <cell r="H209">
            <v>83666</v>
          </cell>
          <cell r="I209">
            <v>1489.6971290607894</v>
          </cell>
          <cell r="J209">
            <v>18865000</v>
          </cell>
          <cell r="K209">
            <v>21764</v>
          </cell>
          <cell r="L209">
            <v>866.79838265024807</v>
          </cell>
          <cell r="M209">
            <v>56134000</v>
          </cell>
          <cell r="N209">
            <v>530962000</v>
          </cell>
          <cell r="O209">
            <v>0.10572131338965877</v>
          </cell>
          <cell r="P209">
            <v>13908000</v>
          </cell>
          <cell r="Q209">
            <v>322376000</v>
          </cell>
          <cell r="R209">
            <v>4.3142169392262453E-2</v>
          </cell>
          <cell r="S209">
            <v>14835000</v>
          </cell>
          <cell r="T209">
            <v>177728000</v>
          </cell>
          <cell r="U209">
            <v>8.3470246669067341E-2</v>
          </cell>
          <cell r="V209">
            <v>337978000</v>
          </cell>
          <cell r="W209">
            <v>1064027000</v>
          </cell>
          <cell r="X209">
            <v>0.31764043581600843</v>
          </cell>
          <cell r="Y209">
            <v>192984000</v>
          </cell>
          <cell r="Z209">
            <v>1064027000</v>
          </cell>
          <cell r="AA209">
            <v>0.18137133738147623</v>
          </cell>
          <cell r="AB209">
            <v>27898000</v>
          </cell>
          <cell r="AC209">
            <v>1064027000</v>
          </cell>
          <cell r="AD209">
            <v>2.6219259473678768E-2</v>
          </cell>
          <cell r="AE209">
            <v>352706000</v>
          </cell>
          <cell r="AF209">
            <v>1064027000</v>
          </cell>
          <cell r="AG209">
            <v>0.33148218983164901</v>
          </cell>
          <cell r="AH209">
            <v>131236000</v>
          </cell>
          <cell r="AI209">
            <v>1064027000</v>
          </cell>
          <cell r="AJ209">
            <v>0.1233389754207365</v>
          </cell>
          <cell r="AK209">
            <v>21225000</v>
          </cell>
          <cell r="AL209">
            <v>1064027000</v>
          </cell>
          <cell r="AM209">
            <v>1.9947802076451068E-2</v>
          </cell>
          <cell r="AN209">
            <v>830591000</v>
          </cell>
          <cell r="AO209">
            <v>610198</v>
          </cell>
          <cell r="AP209">
            <v>1361.1827636275439</v>
          </cell>
          <cell r="AQ209">
            <v>322862000</v>
          </cell>
          <cell r="AR209">
            <v>1013675000</v>
          </cell>
          <cell r="AS209">
            <v>0.31850642464300688</v>
          </cell>
          <cell r="AT209">
            <v>303940000</v>
          </cell>
          <cell r="AU209">
            <v>1013675000</v>
          </cell>
          <cell r="AV209">
            <v>0.29983969220904139</v>
          </cell>
          <cell r="AW209">
            <v>12450000</v>
          </cell>
          <cell r="AX209">
            <v>1013675000</v>
          </cell>
          <cell r="AY209">
            <v>1.2282043061138925E-2</v>
          </cell>
          <cell r="AZ209">
            <v>272130000</v>
          </cell>
          <cell r="BA209">
            <v>1013675000</v>
          </cell>
          <cell r="BB209">
            <v>0.26845882556046069</v>
          </cell>
          <cell r="BC209">
            <v>102293000</v>
          </cell>
          <cell r="BD209">
            <v>1013675000</v>
          </cell>
          <cell r="BE209">
            <v>0.10091301452635214</v>
          </cell>
          <cell r="BF209">
            <v>894930000</v>
          </cell>
          <cell r="BG209">
            <v>610198</v>
          </cell>
          <cell r="BH209">
            <v>1466.6223094798738</v>
          </cell>
          <cell r="BI209">
            <v>368033000</v>
          </cell>
          <cell r="BJ209">
            <v>126238000</v>
          </cell>
          <cell r="BK209">
            <v>2.9153899776612429</v>
          </cell>
          <cell r="BL209">
            <v>37343000</v>
          </cell>
          <cell r="BM209">
            <v>766761000</v>
          </cell>
          <cell r="BN209">
            <v>4.8702268373065398E-2</v>
          </cell>
          <cell r="BO209">
            <v>-14976000</v>
          </cell>
          <cell r="BP209">
            <v>238396000</v>
          </cell>
          <cell r="BQ209">
            <v>-6.2819845970569971E-2</v>
          </cell>
          <cell r="BV209">
            <v>14630000</v>
          </cell>
          <cell r="BW209">
            <v>610198</v>
          </cell>
          <cell r="BX209">
            <v>23.975824240656312</v>
          </cell>
          <cell r="BY209">
            <v>3314790</v>
          </cell>
          <cell r="BZ209">
            <v>610198</v>
          </cell>
          <cell r="CA209">
            <v>5.4323186899989837</v>
          </cell>
          <cell r="CB209">
            <v>23583000</v>
          </cell>
          <cell r="CC209">
            <v>159133</v>
          </cell>
          <cell r="CD209">
            <v>148.19679136319934</v>
          </cell>
          <cell r="CE209">
            <v>16331126</v>
          </cell>
          <cell r="CF209">
            <v>160685</v>
          </cell>
          <cell r="CG209">
            <v>101.63441516009584</v>
          </cell>
          <cell r="CH209">
            <v>40541318</v>
          </cell>
          <cell r="CI209">
            <v>610198</v>
          </cell>
          <cell r="CJ209">
            <v>66.439611404822699</v>
          </cell>
          <cell r="CK209">
            <v>210852342</v>
          </cell>
          <cell r="CL209">
            <v>610198</v>
          </cell>
          <cell r="CM209">
            <v>345.54741575685267</v>
          </cell>
          <cell r="CS209">
            <v>321891</v>
          </cell>
          <cell r="CT209">
            <v>13513</v>
          </cell>
          <cell r="CU209">
            <v>23.820839191889291</v>
          </cell>
          <cell r="CW209">
            <v>894000</v>
          </cell>
          <cell r="CX209">
            <v>18302000</v>
          </cell>
          <cell r="CY209">
            <v>4.884712053327505E-2</v>
          </cell>
          <cell r="CZ209">
            <v>22919000</v>
          </cell>
          <cell r="DA209">
            <v>610198</v>
          </cell>
          <cell r="DB209">
            <v>37.559939560601642</v>
          </cell>
          <cell r="DC209">
            <v>40662000</v>
          </cell>
          <cell r="DD209">
            <v>610198</v>
          </cell>
          <cell r="DE209">
            <v>66.637386553217155</v>
          </cell>
          <cell r="DF209">
            <v>48092000</v>
          </cell>
          <cell r="DG209">
            <v>610198</v>
          </cell>
          <cell r="DH209">
            <v>78.813762090337889</v>
          </cell>
        </row>
      </sheetData>
      <sheetData sheetId="50"/>
      <sheetData sheetId="51"/>
      <sheetData sheetId="52"/>
      <sheetData sheetId="53"/>
      <sheetData sheetId="54"/>
      <sheetData sheetId="55"/>
      <sheetData sheetId="5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 1.1"/>
      <sheetName val="KPI 1.2"/>
      <sheetName val="KPI 1.3"/>
      <sheetName val="KPI 1.4"/>
      <sheetName val="KPI 1.5"/>
      <sheetName val="KPI 1.6"/>
      <sheetName val="KPI 2.1"/>
      <sheetName val="KPI 2.2"/>
      <sheetName val="KPI 2.3"/>
      <sheetName val="KPI 2.4"/>
      <sheetName val="KPI 2.5"/>
      <sheetName val="KPI 2.6"/>
      <sheetName val="KPI 2.7"/>
      <sheetName val="KPI 3.1"/>
      <sheetName val="KPI 3.2 (i)"/>
      <sheetName val="KPI 3.2 (ii)"/>
      <sheetName val="KPI 3.2 (iii)"/>
      <sheetName val="KPI 3.2 (iv)"/>
      <sheetName val="KPI 3.2 (v)"/>
      <sheetName val="KPI 4.1"/>
      <sheetName val="KPI 4.2"/>
      <sheetName val="KPI 5.1"/>
      <sheetName val="KPI 5.2"/>
      <sheetName val="KPI 5.3"/>
      <sheetName val="KPI 5.4"/>
      <sheetName val="KPI 6.1"/>
      <sheetName val="KPI 6.2"/>
      <sheetName val="KPI 7.1"/>
      <sheetName val="KPI 7.2"/>
      <sheetName val="KPI 8.1"/>
      <sheetName val="KPI 8.2"/>
      <sheetName val="KPI 8.3"/>
      <sheetName val="KPI 8.4"/>
      <sheetName val="KPI 9.1"/>
      <sheetName val="KPI 10.1"/>
      <sheetName val="KPI 11.1"/>
      <sheetName val="2004-05 DATA"/>
      <sheetName val="2003-04 DATA"/>
      <sheetName val="2002-03 DATA"/>
      <sheetName val="2001-02 DATA"/>
      <sheetName val="2000-01 DATA"/>
      <sheetName val="1999-00 DATA"/>
      <sheetName val="1998-99 DATA"/>
      <sheetName val="1997-98 DATA"/>
      <sheetName val="1996-97 DATA"/>
      <sheetName val="1995-96 DATA"/>
      <sheetName val="1994-95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03-04 DATA"/>
      <sheetName val="2002-03 DATA"/>
      <sheetName val="KPI 5.1"/>
      <sheetName val="KPI 6.1"/>
      <sheetName val="KPI 6.2"/>
      <sheetName val="KPI 7.1"/>
      <sheetName val="KPI 7.2"/>
    </sheetNames>
    <sheetDataSet>
      <sheetData sheetId="0"/>
      <sheetData sheetId="1">
        <row r="5">
          <cell r="B5" t="str">
            <v>Glen Innes Municipal Council</v>
          </cell>
          <cell r="C5">
            <v>4</v>
          </cell>
          <cell r="D5">
            <v>1164000</v>
          </cell>
          <cell r="E5">
            <v>2456</v>
          </cell>
          <cell r="F5">
            <v>473.94136807817591</v>
          </cell>
          <cell r="G5">
            <v>110000</v>
          </cell>
          <cell r="H5">
            <v>113</v>
          </cell>
          <cell r="I5">
            <v>973.45132743362831</v>
          </cell>
          <cell r="J5">
            <v>397000</v>
          </cell>
          <cell r="K5">
            <v>275</v>
          </cell>
          <cell r="L5">
            <v>1443.6363636363637</v>
          </cell>
          <cell r="M5">
            <v>661000</v>
          </cell>
          <cell r="N5">
            <v>4560000</v>
          </cell>
          <cell r="O5">
            <v>0.1449561403508772</v>
          </cell>
          <cell r="P5">
            <v>-168000</v>
          </cell>
          <cell r="Q5">
            <v>3133000</v>
          </cell>
          <cell r="R5">
            <v>-5.3622725821895943E-2</v>
          </cell>
          <cell r="S5">
            <v>188000</v>
          </cell>
          <cell r="T5">
            <v>1407000</v>
          </cell>
          <cell r="U5">
            <v>0.13361762615493958</v>
          </cell>
          <cell r="V5">
            <v>2965000</v>
          </cell>
          <cell r="W5">
            <v>9482000</v>
          </cell>
          <cell r="X5">
            <v>0.31269774309217463</v>
          </cell>
          <cell r="Y5">
            <v>1595000</v>
          </cell>
          <cell r="Z5">
            <v>9482000</v>
          </cell>
          <cell r="AA5">
            <v>0.16821345707656613</v>
          </cell>
          <cell r="AB5">
            <v>253000</v>
          </cell>
          <cell r="AC5">
            <v>9482000</v>
          </cell>
          <cell r="AD5">
            <v>2.668213457076566E-2</v>
          </cell>
          <cell r="AE5">
            <v>4219000</v>
          </cell>
          <cell r="AF5">
            <v>9482000</v>
          </cell>
          <cell r="AG5">
            <v>0.44494832313857835</v>
          </cell>
          <cell r="AH5">
            <v>155000</v>
          </cell>
          <cell r="AI5">
            <v>9482000</v>
          </cell>
          <cell r="AJ5">
            <v>1.6346762286437461E-2</v>
          </cell>
          <cell r="AK5">
            <v>295000</v>
          </cell>
          <cell r="AL5">
            <v>9482000</v>
          </cell>
          <cell r="AM5">
            <v>3.1111579835477746E-2</v>
          </cell>
          <cell r="AN5">
            <v>7668000</v>
          </cell>
          <cell r="AO5">
            <v>6014</v>
          </cell>
          <cell r="AP5">
            <v>1275.0249418024609</v>
          </cell>
          <cell r="AQ5">
            <v>4151000</v>
          </cell>
          <cell r="AR5">
            <v>9998000</v>
          </cell>
          <cell r="AS5">
            <v>0.41518303660732148</v>
          </cell>
          <cell r="AT5">
            <v>2545000</v>
          </cell>
          <cell r="AU5">
            <v>9998000</v>
          </cell>
          <cell r="AV5">
            <v>0.25455091018203641</v>
          </cell>
          <cell r="AW5">
            <v>1256000</v>
          </cell>
          <cell r="AX5">
            <v>9998000</v>
          </cell>
          <cell r="AY5">
            <v>0.125625125025005</v>
          </cell>
          <cell r="AZ5">
            <v>1403000</v>
          </cell>
          <cell r="BA5">
            <v>9998000</v>
          </cell>
          <cell r="BB5">
            <v>0.14032806561312264</v>
          </cell>
          <cell r="BC5">
            <v>643000</v>
          </cell>
          <cell r="BD5">
            <v>9998000</v>
          </cell>
          <cell r="BE5">
            <v>6.4312862572514506E-2</v>
          </cell>
          <cell r="BF5">
            <v>8326000</v>
          </cell>
          <cell r="BG5">
            <v>6014</v>
          </cell>
          <cell r="BH5">
            <v>1384.4363152643832</v>
          </cell>
          <cell r="BI5">
            <v>1811000</v>
          </cell>
          <cell r="BJ5">
            <v>1166000</v>
          </cell>
          <cell r="BK5">
            <v>1.5531732418524871</v>
          </cell>
          <cell r="BL5">
            <v>6187000</v>
          </cell>
          <cell r="BM5">
            <v>6196000</v>
          </cell>
          <cell r="BN5">
            <v>0.99854744996772116</v>
          </cell>
          <cell r="BO5">
            <v>569000</v>
          </cell>
          <cell r="BP5">
            <v>1027000</v>
          </cell>
          <cell r="BQ5">
            <v>0.55404089581304772</v>
          </cell>
          <cell r="BR5">
            <v>76.040000000000006</v>
          </cell>
          <cell r="BS5" t="str">
            <v>On Time</v>
          </cell>
          <cell r="BT5" t="str">
            <v>On Time</v>
          </cell>
          <cell r="BU5" t="str">
            <v>On Time</v>
          </cell>
          <cell r="BV5">
            <v>233000</v>
          </cell>
          <cell r="BW5">
            <v>6014</v>
          </cell>
          <cell r="BX5">
            <v>38.742933155969403</v>
          </cell>
          <cell r="BY5">
            <v>47554</v>
          </cell>
          <cell r="BZ5">
            <v>6014</v>
          </cell>
          <cell r="CA5">
            <v>7.9072164948453612</v>
          </cell>
          <cell r="CB5">
            <v>489000</v>
          </cell>
          <cell r="CC5">
            <v>3034</v>
          </cell>
          <cell r="CD5">
            <v>161.17336849044167</v>
          </cell>
          <cell r="CE5">
            <v>477572</v>
          </cell>
          <cell r="CF5">
            <v>2899</v>
          </cell>
          <cell r="CG5">
            <v>164.73680579510176</v>
          </cell>
          <cell r="CH5">
            <v>739360</v>
          </cell>
          <cell r="CI5">
            <v>6014</v>
          </cell>
          <cell r="CJ5">
            <v>122.93980711672764</v>
          </cell>
          <cell r="CK5">
            <v>3276000</v>
          </cell>
          <cell r="CL5">
            <v>6014</v>
          </cell>
          <cell r="CM5">
            <v>544.72896574659126</v>
          </cell>
          <cell r="CN5">
            <v>345.431940322451</v>
          </cell>
          <cell r="CO5">
            <v>361</v>
          </cell>
          <cell r="CP5">
            <v>283.82596994841902</v>
          </cell>
          <cell r="CQ5">
            <v>189</v>
          </cell>
          <cell r="CR5">
            <v>53</v>
          </cell>
          <cell r="CS5">
            <v>30</v>
          </cell>
          <cell r="CT5">
            <v>53</v>
          </cell>
          <cell r="CU5">
            <v>0.56603773584905659</v>
          </cell>
          <cell r="CV5">
            <v>30</v>
          </cell>
          <cell r="CW5">
            <v>0</v>
          </cell>
          <cell r="CX5">
            <v>139000</v>
          </cell>
          <cell r="CY5">
            <v>0</v>
          </cell>
          <cell r="CZ5">
            <v>83000</v>
          </cell>
          <cell r="DA5">
            <v>6014</v>
          </cell>
          <cell r="DB5">
            <v>13.801130695044895</v>
          </cell>
          <cell r="DC5">
            <v>324000</v>
          </cell>
          <cell r="DD5">
            <v>6014</v>
          </cell>
          <cell r="DE5">
            <v>53.874293315596944</v>
          </cell>
          <cell r="DF5">
            <v>3069000</v>
          </cell>
          <cell r="DG5">
            <v>6014</v>
          </cell>
          <cell r="DH5">
            <v>510.30927835051546</v>
          </cell>
          <cell r="DI5">
            <v>66.900000000000006</v>
          </cell>
          <cell r="DJ5">
            <v>89.895366218236163</v>
          </cell>
          <cell r="DK5">
            <v>-5.8808391670072124E-3</v>
          </cell>
          <cell r="DL5">
            <v>4.6900000000000004</v>
          </cell>
          <cell r="DM5">
            <v>1.79</v>
          </cell>
        </row>
        <row r="6">
          <cell r="B6" t="str">
            <v>Gundagai Shire Council</v>
          </cell>
          <cell r="C6">
            <v>9</v>
          </cell>
          <cell r="D6">
            <v>206000</v>
          </cell>
          <cell r="E6">
            <v>1164</v>
          </cell>
          <cell r="F6">
            <v>176.97594501718214</v>
          </cell>
          <cell r="G6">
            <v>1157000</v>
          </cell>
          <cell r="H6">
            <v>867</v>
          </cell>
          <cell r="I6">
            <v>1334.4867358708188</v>
          </cell>
          <cell r="J6">
            <v>57000</v>
          </cell>
          <cell r="K6">
            <v>145</v>
          </cell>
          <cell r="L6">
            <v>393.10344827586209</v>
          </cell>
          <cell r="M6">
            <v>352000</v>
          </cell>
          <cell r="N6">
            <v>2689000</v>
          </cell>
          <cell r="O6">
            <v>0.13090368166604685</v>
          </cell>
          <cell r="P6">
            <v>79000</v>
          </cell>
          <cell r="Q6">
            <v>2153000</v>
          </cell>
          <cell r="R6">
            <v>3.6692986530422668E-2</v>
          </cell>
          <cell r="S6">
            <v>86000</v>
          </cell>
          <cell r="T6">
            <v>371000</v>
          </cell>
          <cell r="U6">
            <v>0.23180592991913745</v>
          </cell>
          <cell r="V6">
            <v>2232000</v>
          </cell>
          <cell r="W6">
            <v>6426000</v>
          </cell>
          <cell r="X6">
            <v>0.34733893557422968</v>
          </cell>
          <cell r="Y6">
            <v>457000</v>
          </cell>
          <cell r="Z6">
            <v>6426000</v>
          </cell>
          <cell r="AA6">
            <v>7.1117335823218178E-2</v>
          </cell>
          <cell r="AB6">
            <v>122000</v>
          </cell>
          <cell r="AC6">
            <v>6426000</v>
          </cell>
          <cell r="AD6">
            <v>1.8985371926548398E-2</v>
          </cell>
          <cell r="AE6">
            <v>1962000</v>
          </cell>
          <cell r="AF6">
            <v>6426000</v>
          </cell>
          <cell r="AG6">
            <v>0.30532212885154064</v>
          </cell>
          <cell r="AH6">
            <v>1455000</v>
          </cell>
          <cell r="AI6">
            <v>6426000</v>
          </cell>
          <cell r="AJ6">
            <v>0.22642390289449113</v>
          </cell>
          <cell r="AK6">
            <v>198000</v>
          </cell>
          <cell r="AL6">
            <v>6426000</v>
          </cell>
          <cell r="AM6">
            <v>3.081232492997199E-2</v>
          </cell>
          <cell r="AN6">
            <v>4100000</v>
          </cell>
          <cell r="AO6">
            <v>3793</v>
          </cell>
          <cell r="AP6">
            <v>1080.9385710519377</v>
          </cell>
          <cell r="AQ6">
            <v>2092000</v>
          </cell>
          <cell r="AR6">
            <v>5144000</v>
          </cell>
          <cell r="AS6">
            <v>0.40668740279937793</v>
          </cell>
          <cell r="AT6">
            <v>1168000</v>
          </cell>
          <cell r="AU6">
            <v>5144000</v>
          </cell>
          <cell r="AV6">
            <v>0.22706065318818042</v>
          </cell>
          <cell r="AW6">
            <v>14000</v>
          </cell>
          <cell r="AX6">
            <v>5144000</v>
          </cell>
          <cell r="AY6">
            <v>2.7216174183514776E-3</v>
          </cell>
          <cell r="AZ6">
            <v>1255000</v>
          </cell>
          <cell r="BA6">
            <v>5144000</v>
          </cell>
          <cell r="BB6">
            <v>0.24397356143079316</v>
          </cell>
          <cell r="BC6">
            <v>615000</v>
          </cell>
          <cell r="BD6">
            <v>5144000</v>
          </cell>
          <cell r="BE6">
            <v>0.11955676516329705</v>
          </cell>
          <cell r="BF6">
            <v>4523000</v>
          </cell>
          <cell r="BG6">
            <v>3793</v>
          </cell>
          <cell r="BH6">
            <v>1192.4597943580279</v>
          </cell>
          <cell r="BI6">
            <v>1817000</v>
          </cell>
          <cell r="BJ6">
            <v>666000</v>
          </cell>
          <cell r="BK6">
            <v>2.7282282282282284</v>
          </cell>
          <cell r="BL6">
            <v>100000</v>
          </cell>
          <cell r="BM6">
            <v>4174000</v>
          </cell>
          <cell r="BN6">
            <v>2.3957834211787255E-2</v>
          </cell>
          <cell r="BO6">
            <v>2160000</v>
          </cell>
          <cell r="BP6">
            <v>1171000</v>
          </cell>
          <cell r="BQ6">
            <v>1.8445772843723314</v>
          </cell>
          <cell r="BR6">
            <v>50</v>
          </cell>
          <cell r="BS6" t="str">
            <v>&lt;=2</v>
          </cell>
          <cell r="BT6" t="str">
            <v>Not Received</v>
          </cell>
          <cell r="BU6" t="str">
            <v>On Time</v>
          </cell>
          <cell r="BV6">
            <v>80000</v>
          </cell>
          <cell r="BW6">
            <v>3793</v>
          </cell>
          <cell r="BX6">
            <v>21.091484313208543</v>
          </cell>
          <cell r="BY6">
            <v>9157</v>
          </cell>
          <cell r="BZ6">
            <v>3793</v>
          </cell>
          <cell r="CA6">
            <v>2.4141840232006326</v>
          </cell>
          <cell r="CB6">
            <v>191000</v>
          </cell>
          <cell r="CC6">
            <v>899</v>
          </cell>
          <cell r="CD6">
            <v>212.4582869855395</v>
          </cell>
          <cell r="CE6">
            <v>88000</v>
          </cell>
          <cell r="CF6">
            <v>899</v>
          </cell>
          <cell r="CG6">
            <v>97.886540600667402</v>
          </cell>
          <cell r="CH6">
            <v>200000</v>
          </cell>
          <cell r="CI6">
            <v>3793</v>
          </cell>
          <cell r="CJ6">
            <v>52.728710783021356</v>
          </cell>
          <cell r="CK6">
            <v>2500000</v>
          </cell>
          <cell r="CL6">
            <v>3793</v>
          </cell>
          <cell r="CM6">
            <v>659.1088847877669</v>
          </cell>
          <cell r="CN6">
            <v>400</v>
          </cell>
          <cell r="CO6">
            <v>384</v>
          </cell>
          <cell r="CP6">
            <v>210</v>
          </cell>
          <cell r="CQ6">
            <v>244</v>
          </cell>
          <cell r="CR6">
            <v>50</v>
          </cell>
          <cell r="CS6">
            <v>150</v>
          </cell>
          <cell r="CT6">
            <v>50</v>
          </cell>
          <cell r="CU6">
            <v>3</v>
          </cell>
          <cell r="CV6">
            <v>3</v>
          </cell>
          <cell r="CW6">
            <v>0</v>
          </cell>
          <cell r="CX6">
            <v>31000</v>
          </cell>
          <cell r="CY6">
            <v>0</v>
          </cell>
          <cell r="CZ6">
            <v>178000</v>
          </cell>
          <cell r="DA6">
            <v>3793</v>
          </cell>
          <cell r="DB6">
            <v>46.928552596889006</v>
          </cell>
          <cell r="DC6">
            <v>168000</v>
          </cell>
          <cell r="DD6">
            <v>3793</v>
          </cell>
          <cell r="DE6">
            <v>44.29211705773794</v>
          </cell>
          <cell r="DF6">
            <v>2000</v>
          </cell>
          <cell r="DG6">
            <v>3793</v>
          </cell>
          <cell r="DH6">
            <v>0.5272871078302136</v>
          </cell>
          <cell r="DI6">
            <v>2457.6999999999998</v>
          </cell>
          <cell r="DJ6">
            <v>1.5433128534808969</v>
          </cell>
          <cell r="DK6">
            <v>-4.7388395340908218E-4</v>
          </cell>
          <cell r="DL6">
            <v>1.84</v>
          </cell>
          <cell r="DM6">
            <v>1.19</v>
          </cell>
        </row>
        <row r="7">
          <cell r="B7" t="str">
            <v>Bogan Shire Council</v>
          </cell>
          <cell r="C7">
            <v>9</v>
          </cell>
          <cell r="D7">
            <v>140000</v>
          </cell>
          <cell r="E7">
            <v>1014</v>
          </cell>
          <cell r="F7">
            <v>138.06706114398423</v>
          </cell>
          <cell r="G7">
            <v>1104000</v>
          </cell>
          <cell r="H7">
            <v>628</v>
          </cell>
          <cell r="I7">
            <v>1757.9617834394905</v>
          </cell>
          <cell r="J7">
            <v>137000</v>
          </cell>
          <cell r="K7">
            <v>190</v>
          </cell>
          <cell r="L7">
            <v>721.0526315789474</v>
          </cell>
          <cell r="M7">
            <v>386000</v>
          </cell>
          <cell r="N7">
            <v>3048000</v>
          </cell>
          <cell r="O7">
            <v>0.12664041994750655</v>
          </cell>
          <cell r="P7">
            <v>123000</v>
          </cell>
          <cell r="Q7">
            <v>2432000</v>
          </cell>
          <cell r="R7">
            <v>5.0575657894736843E-2</v>
          </cell>
          <cell r="S7">
            <v>21000</v>
          </cell>
          <cell r="T7">
            <v>472000</v>
          </cell>
          <cell r="U7">
            <v>4.4491525423728813E-2</v>
          </cell>
          <cell r="V7">
            <v>2555000</v>
          </cell>
          <cell r="W7">
            <v>7309000</v>
          </cell>
          <cell r="X7">
            <v>0.34956902449035437</v>
          </cell>
          <cell r="Y7">
            <v>493000</v>
          </cell>
          <cell r="Z7">
            <v>7309000</v>
          </cell>
          <cell r="AA7">
            <v>6.7451087700095766E-2</v>
          </cell>
          <cell r="AB7">
            <v>150000</v>
          </cell>
          <cell r="AC7">
            <v>7309000</v>
          </cell>
          <cell r="AD7">
            <v>2.0522643316459161E-2</v>
          </cell>
          <cell r="AE7">
            <v>2963000</v>
          </cell>
          <cell r="AF7">
            <v>7309000</v>
          </cell>
          <cell r="AG7">
            <v>0.40539061431112328</v>
          </cell>
          <cell r="AH7">
            <v>1113000</v>
          </cell>
          <cell r="AI7">
            <v>7309000</v>
          </cell>
          <cell r="AJ7">
            <v>0.15227801340812697</v>
          </cell>
          <cell r="AK7">
            <v>35000</v>
          </cell>
          <cell r="AL7">
            <v>7309000</v>
          </cell>
          <cell r="AM7">
            <v>4.7886167738404707E-3</v>
          </cell>
          <cell r="AN7">
            <v>5649000</v>
          </cell>
          <cell r="AO7">
            <v>3159</v>
          </cell>
          <cell r="AP7">
            <v>1788.224121557455</v>
          </cell>
          <cell r="AQ7">
            <v>2697000</v>
          </cell>
          <cell r="AR7">
            <v>7019000</v>
          </cell>
          <cell r="AS7">
            <v>0.38424276962530274</v>
          </cell>
          <cell r="AT7">
            <v>1733000</v>
          </cell>
          <cell r="AU7">
            <v>7019000</v>
          </cell>
          <cell r="AV7">
            <v>0.24690126798689271</v>
          </cell>
          <cell r="AW7">
            <v>68000</v>
          </cell>
          <cell r="AX7">
            <v>7019000</v>
          </cell>
          <cell r="AY7">
            <v>9.687989742128509E-3</v>
          </cell>
          <cell r="AZ7">
            <v>1957000</v>
          </cell>
          <cell r="BA7">
            <v>7019000</v>
          </cell>
          <cell r="BB7">
            <v>0.27881464596096311</v>
          </cell>
          <cell r="BC7">
            <v>564000</v>
          </cell>
          <cell r="BD7">
            <v>7019000</v>
          </cell>
          <cell r="BE7">
            <v>8.0353326684712928E-2</v>
          </cell>
          <cell r="BF7">
            <v>5735000</v>
          </cell>
          <cell r="BG7">
            <v>3159</v>
          </cell>
          <cell r="BH7">
            <v>1815.4479265590376</v>
          </cell>
          <cell r="BI7">
            <v>2391000</v>
          </cell>
          <cell r="BJ7">
            <v>647000</v>
          </cell>
          <cell r="BK7">
            <v>3.6955177743431222</v>
          </cell>
          <cell r="BL7">
            <v>314000</v>
          </cell>
          <cell r="BM7">
            <v>5538000</v>
          </cell>
          <cell r="BN7">
            <v>5.6699169375225712E-2</v>
          </cell>
          <cell r="BO7">
            <v>580000</v>
          </cell>
          <cell r="BP7">
            <v>1603000</v>
          </cell>
          <cell r="BQ7">
            <v>0.36182158452900809</v>
          </cell>
          <cell r="BR7">
            <v>57</v>
          </cell>
          <cell r="BS7" t="str">
            <v>On Time</v>
          </cell>
          <cell r="BT7" t="str">
            <v>On Time</v>
          </cell>
          <cell r="BU7" t="str">
            <v>On Time</v>
          </cell>
          <cell r="BV7">
            <v>125000</v>
          </cell>
          <cell r="BW7">
            <v>3159</v>
          </cell>
          <cell r="BX7">
            <v>39.569484013928459</v>
          </cell>
          <cell r="BY7">
            <v>20210</v>
          </cell>
          <cell r="BZ7">
            <v>3159</v>
          </cell>
          <cell r="CA7">
            <v>6.3975941753719532</v>
          </cell>
          <cell r="CB7">
            <v>123000</v>
          </cell>
          <cell r="CC7">
            <v>830</v>
          </cell>
          <cell r="CD7">
            <v>148.19277108433735</v>
          </cell>
          <cell r="CE7">
            <v>116938</v>
          </cell>
          <cell r="CF7">
            <v>861</v>
          </cell>
          <cell r="CG7">
            <v>135.8164924506388</v>
          </cell>
          <cell r="CH7">
            <v>0</v>
          </cell>
          <cell r="CI7">
            <v>3159</v>
          </cell>
          <cell r="CJ7" t="str">
            <v>N/A</v>
          </cell>
          <cell r="CK7">
            <v>0</v>
          </cell>
          <cell r="CL7">
            <v>3159</v>
          </cell>
          <cell r="CM7" t="str">
            <v>N/A</v>
          </cell>
          <cell r="CN7">
            <v>618.72659733554599</v>
          </cell>
          <cell r="CO7">
            <v>723.85389799484096</v>
          </cell>
          <cell r="CP7">
            <v>416.54461304118598</v>
          </cell>
          <cell r="CQ7">
            <v>294.46467962858497</v>
          </cell>
          <cell r="CR7">
            <v>28</v>
          </cell>
          <cell r="CS7">
            <v>98</v>
          </cell>
          <cell r="CT7">
            <v>28</v>
          </cell>
          <cell r="CU7">
            <v>3.5</v>
          </cell>
          <cell r="CV7">
            <v>3</v>
          </cell>
          <cell r="CW7">
            <v>0</v>
          </cell>
          <cell r="CX7">
            <v>9000</v>
          </cell>
          <cell r="CY7">
            <v>0</v>
          </cell>
          <cell r="CZ7">
            <v>72000</v>
          </cell>
          <cell r="DA7">
            <v>3159</v>
          </cell>
          <cell r="DB7">
            <v>22.792022792022792</v>
          </cell>
          <cell r="DC7">
            <v>481000</v>
          </cell>
          <cell r="DD7">
            <v>3159</v>
          </cell>
          <cell r="DE7">
            <v>152.2633744855967</v>
          </cell>
          <cell r="DF7">
            <v>256000</v>
          </cell>
          <cell r="DG7">
            <v>3159</v>
          </cell>
          <cell r="DH7">
            <v>81.038303260525481</v>
          </cell>
          <cell r="DI7">
            <v>14611.3</v>
          </cell>
          <cell r="DJ7">
            <v>0.21620252818024407</v>
          </cell>
          <cell r="DK7">
            <v>-9.295064826210897E-3</v>
          </cell>
          <cell r="DL7">
            <v>10.71</v>
          </cell>
          <cell r="DM7">
            <v>0.78</v>
          </cell>
        </row>
        <row r="8">
          <cell r="B8" t="str">
            <v>Temora Shire Council</v>
          </cell>
          <cell r="C8">
            <v>10</v>
          </cell>
          <cell r="D8">
            <v>720000</v>
          </cell>
          <cell r="E8">
            <v>2262</v>
          </cell>
          <cell r="F8">
            <v>318.30238726790452</v>
          </cell>
          <cell r="G8">
            <v>1188000</v>
          </cell>
          <cell r="H8">
            <v>943</v>
          </cell>
          <cell r="I8">
            <v>1259.8091198303287</v>
          </cell>
          <cell r="J8">
            <v>282000</v>
          </cell>
          <cell r="K8">
            <v>327</v>
          </cell>
          <cell r="L8">
            <v>862.38532110091739</v>
          </cell>
          <cell r="M8">
            <v>189000</v>
          </cell>
          <cell r="N8">
            <v>4384000</v>
          </cell>
          <cell r="O8">
            <v>4.3111313868613138E-2</v>
          </cell>
          <cell r="P8">
            <v>138000</v>
          </cell>
          <cell r="Q8">
            <v>2522000</v>
          </cell>
          <cell r="R8">
            <v>5.471847739888977E-2</v>
          </cell>
          <cell r="S8">
            <v>-228000</v>
          </cell>
          <cell r="T8">
            <v>1952000</v>
          </cell>
          <cell r="U8">
            <v>-0.11680327868852459</v>
          </cell>
          <cell r="V8">
            <v>2660000</v>
          </cell>
          <cell r="W8">
            <v>9783000</v>
          </cell>
          <cell r="X8">
            <v>0.27190023510170702</v>
          </cell>
          <cell r="Y8">
            <v>1724000</v>
          </cell>
          <cell r="Z8">
            <v>9783000</v>
          </cell>
          <cell r="AA8">
            <v>0.17622406214862515</v>
          </cell>
          <cell r="AB8">
            <v>208000</v>
          </cell>
          <cell r="AC8">
            <v>9783000</v>
          </cell>
          <cell r="AD8">
            <v>2.1261371767351527E-2</v>
          </cell>
          <cell r="AE8">
            <v>4235000</v>
          </cell>
          <cell r="AF8">
            <v>9783000</v>
          </cell>
          <cell r="AG8">
            <v>0.43289379535929673</v>
          </cell>
          <cell r="AH8">
            <v>715000</v>
          </cell>
          <cell r="AI8">
            <v>9783000</v>
          </cell>
          <cell r="AJ8">
            <v>7.3085965450270879E-2</v>
          </cell>
          <cell r="AK8">
            <v>241000</v>
          </cell>
          <cell r="AL8">
            <v>9783000</v>
          </cell>
          <cell r="AM8">
            <v>2.4634570172748647E-2</v>
          </cell>
          <cell r="AN8">
            <v>8414000</v>
          </cell>
          <cell r="AO8">
            <v>6334</v>
          </cell>
          <cell r="AP8">
            <v>1328.3864856330913</v>
          </cell>
          <cell r="AQ8">
            <v>2849000</v>
          </cell>
          <cell r="AR8">
            <v>7423000</v>
          </cell>
          <cell r="AS8">
            <v>0.3838070860837936</v>
          </cell>
          <cell r="AT8">
            <v>2304000</v>
          </cell>
          <cell r="AU8">
            <v>7423000</v>
          </cell>
          <cell r="AV8">
            <v>0.31038663613094436</v>
          </cell>
          <cell r="AW8">
            <v>15000</v>
          </cell>
          <cell r="AX8">
            <v>7423000</v>
          </cell>
          <cell r="AY8">
            <v>2.0207463289775023E-3</v>
          </cell>
          <cell r="AZ8">
            <v>1400000</v>
          </cell>
          <cell r="BA8">
            <v>7423000</v>
          </cell>
          <cell r="BB8">
            <v>0.18860299070456688</v>
          </cell>
          <cell r="BC8">
            <v>855000</v>
          </cell>
          <cell r="BD8">
            <v>7423000</v>
          </cell>
          <cell r="BE8">
            <v>0.11518254075171763</v>
          </cell>
          <cell r="BF8">
            <v>7026000</v>
          </cell>
          <cell r="BG8">
            <v>6334</v>
          </cell>
          <cell r="BH8">
            <v>1109.25165772024</v>
          </cell>
          <cell r="BI8">
            <v>3999000</v>
          </cell>
          <cell r="BJ8">
            <v>1058000</v>
          </cell>
          <cell r="BK8">
            <v>3.779773156899811</v>
          </cell>
          <cell r="BL8">
            <v>63000</v>
          </cell>
          <cell r="BM8">
            <v>7082000</v>
          </cell>
          <cell r="BN8">
            <v>8.8957921491104215E-3</v>
          </cell>
          <cell r="BO8">
            <v>1947000</v>
          </cell>
          <cell r="BP8">
            <v>1312000</v>
          </cell>
          <cell r="BQ8">
            <v>1.4839939024390243</v>
          </cell>
          <cell r="BR8">
            <v>68</v>
          </cell>
          <cell r="BS8" t="str">
            <v>On Time</v>
          </cell>
          <cell r="BT8" t="str">
            <v>On Time</v>
          </cell>
          <cell r="BU8" t="str">
            <v>On Time</v>
          </cell>
          <cell r="BV8">
            <v>181000</v>
          </cell>
          <cell r="BW8">
            <v>6334</v>
          </cell>
          <cell r="BX8">
            <v>28.575939374802651</v>
          </cell>
          <cell r="BY8">
            <v>34168</v>
          </cell>
          <cell r="BZ8">
            <v>6334</v>
          </cell>
          <cell r="CA8">
            <v>5.3943795389958948</v>
          </cell>
          <cell r="CB8">
            <v>206000</v>
          </cell>
          <cell r="CC8">
            <v>1956</v>
          </cell>
          <cell r="CD8">
            <v>105.31697341513292</v>
          </cell>
          <cell r="CE8">
            <v>110434</v>
          </cell>
          <cell r="CF8">
            <v>1956</v>
          </cell>
          <cell r="CG8">
            <v>56.459100204498981</v>
          </cell>
          <cell r="CH8">
            <v>671000</v>
          </cell>
          <cell r="CI8">
            <v>6334</v>
          </cell>
          <cell r="CJ8">
            <v>105.93621724029049</v>
          </cell>
          <cell r="CK8">
            <v>1100000</v>
          </cell>
          <cell r="CL8">
            <v>6334</v>
          </cell>
          <cell r="CM8">
            <v>173.66592990211558</v>
          </cell>
          <cell r="CN8" t="str">
            <v>N/A</v>
          </cell>
          <cell r="CO8" t="str">
            <v>N/A</v>
          </cell>
          <cell r="CP8">
            <v>119.409492273731</v>
          </cell>
          <cell r="CQ8">
            <v>203</v>
          </cell>
          <cell r="CR8">
            <v>104</v>
          </cell>
          <cell r="CS8">
            <v>415</v>
          </cell>
          <cell r="CT8">
            <v>104</v>
          </cell>
          <cell r="CU8">
            <v>3.9903846153846154</v>
          </cell>
          <cell r="CV8">
            <v>2</v>
          </cell>
          <cell r="CW8">
            <v>0</v>
          </cell>
          <cell r="CX8">
            <v>89000</v>
          </cell>
          <cell r="CY8">
            <v>0</v>
          </cell>
          <cell r="CZ8">
            <v>429000</v>
          </cell>
          <cell r="DA8">
            <v>6334</v>
          </cell>
          <cell r="DB8">
            <v>67.729712661825076</v>
          </cell>
          <cell r="DC8">
            <v>596000</v>
          </cell>
          <cell r="DD8">
            <v>6334</v>
          </cell>
          <cell r="DE8">
            <v>94.095358383328076</v>
          </cell>
          <cell r="DF8">
            <v>566000</v>
          </cell>
          <cell r="DG8">
            <v>6334</v>
          </cell>
          <cell r="DH8">
            <v>89.359014840543097</v>
          </cell>
          <cell r="DI8">
            <v>2802.2</v>
          </cell>
          <cell r="DJ8">
            <v>2.2603668546142317</v>
          </cell>
          <cell r="DK8">
            <v>5.4234160624975214E-3</v>
          </cell>
          <cell r="DL8">
            <v>0.82</v>
          </cell>
          <cell r="DM8">
            <v>1.35</v>
          </cell>
        </row>
        <row r="9">
          <cell r="B9" t="str">
            <v>Broken Hill City Council</v>
          </cell>
          <cell r="C9">
            <v>4</v>
          </cell>
          <cell r="D9">
            <v>4719000</v>
          </cell>
          <cell r="E9">
            <v>9460</v>
          </cell>
          <cell r="F9">
            <v>498.83720930232556</v>
          </cell>
          <cell r="G9">
            <v>7000</v>
          </cell>
          <cell r="H9">
            <v>12</v>
          </cell>
          <cell r="I9">
            <v>583.33333333333337</v>
          </cell>
          <cell r="J9">
            <v>1646000</v>
          </cell>
          <cell r="K9">
            <v>646</v>
          </cell>
          <cell r="L9">
            <v>2547.9876160990711</v>
          </cell>
          <cell r="M9">
            <v>979000</v>
          </cell>
          <cell r="N9">
            <v>12855000</v>
          </cell>
          <cell r="O9">
            <v>7.6157137300661218E-2</v>
          </cell>
          <cell r="P9">
            <v>242000</v>
          </cell>
          <cell r="Q9">
            <v>9287000</v>
          </cell>
          <cell r="R9">
            <v>2.605793044040056E-2</v>
          </cell>
          <cell r="S9">
            <v>607000</v>
          </cell>
          <cell r="T9">
            <v>2719000</v>
          </cell>
          <cell r="U9">
            <v>0.22324383964692901</v>
          </cell>
          <cell r="V9">
            <v>9529000</v>
          </cell>
          <cell r="W9">
            <v>21753000</v>
          </cell>
          <cell r="X9">
            <v>0.43805452121546451</v>
          </cell>
          <cell r="Y9">
            <v>3326000</v>
          </cell>
          <cell r="Z9">
            <v>21753000</v>
          </cell>
          <cell r="AA9">
            <v>0.15289845078839701</v>
          </cell>
          <cell r="AB9">
            <v>585000</v>
          </cell>
          <cell r="AC9">
            <v>21753000</v>
          </cell>
          <cell r="AD9">
            <v>2.6892842366570129E-2</v>
          </cell>
          <cell r="AE9">
            <v>7498000</v>
          </cell>
          <cell r="AF9">
            <v>21753000</v>
          </cell>
          <cell r="AG9">
            <v>0.34468808899921849</v>
          </cell>
          <cell r="AH9">
            <v>729000</v>
          </cell>
          <cell r="AI9">
            <v>21753000</v>
          </cell>
          <cell r="AJ9">
            <v>3.3512618949110465E-2</v>
          </cell>
          <cell r="AK9">
            <v>86000</v>
          </cell>
          <cell r="AL9">
            <v>21753000</v>
          </cell>
          <cell r="AM9">
            <v>3.9534776812393691E-3</v>
          </cell>
          <cell r="AN9">
            <v>20905000</v>
          </cell>
          <cell r="AO9">
            <v>20888</v>
          </cell>
          <cell r="AP9">
            <v>1000.8138644197626</v>
          </cell>
          <cell r="AQ9">
            <v>10674000</v>
          </cell>
          <cell r="AR9">
            <v>24132000</v>
          </cell>
          <cell r="AS9">
            <v>0.44231725509696668</v>
          </cell>
          <cell r="AT9">
            <v>3688000</v>
          </cell>
          <cell r="AU9">
            <v>24132000</v>
          </cell>
          <cell r="AV9">
            <v>0.15282612299022044</v>
          </cell>
          <cell r="AW9">
            <v>0</v>
          </cell>
          <cell r="AX9">
            <v>24132000</v>
          </cell>
          <cell r="AY9">
            <v>0</v>
          </cell>
          <cell r="AZ9">
            <v>6692000</v>
          </cell>
          <cell r="BA9">
            <v>24132000</v>
          </cell>
          <cell r="BB9">
            <v>0.2773081385711918</v>
          </cell>
          <cell r="BC9">
            <v>3078000</v>
          </cell>
          <cell r="BD9">
            <v>24132000</v>
          </cell>
          <cell r="BE9">
            <v>0.12754848334162108</v>
          </cell>
          <cell r="BF9">
            <v>24253000</v>
          </cell>
          <cell r="BG9">
            <v>20888</v>
          </cell>
          <cell r="BH9">
            <v>1161.0972807353505</v>
          </cell>
          <cell r="BI9">
            <v>10149000</v>
          </cell>
          <cell r="BJ9">
            <v>3028000</v>
          </cell>
          <cell r="BK9">
            <v>3.3517173051519156</v>
          </cell>
          <cell r="BL9">
            <v>109000</v>
          </cell>
          <cell r="BM9">
            <v>17007000</v>
          </cell>
          <cell r="BN9">
            <v>6.409125654142412E-3</v>
          </cell>
          <cell r="BO9">
            <v>645000</v>
          </cell>
          <cell r="BP9">
            <v>6692000</v>
          </cell>
          <cell r="BQ9">
            <v>9.6383741781231325E-2</v>
          </cell>
          <cell r="BR9">
            <v>209</v>
          </cell>
          <cell r="BS9" t="str">
            <v>&lt;=8</v>
          </cell>
          <cell r="BT9" t="str">
            <v>&lt;=16</v>
          </cell>
          <cell r="BU9" t="str">
            <v>On Time</v>
          </cell>
          <cell r="BV9">
            <v>813000</v>
          </cell>
          <cell r="BW9">
            <v>20888</v>
          </cell>
          <cell r="BX9">
            <v>38.921869015702796</v>
          </cell>
          <cell r="BY9">
            <v>165439</v>
          </cell>
          <cell r="BZ9">
            <v>20888</v>
          </cell>
          <cell r="CA9">
            <v>7.9202891612409037</v>
          </cell>
          <cell r="CB9">
            <v>1016000</v>
          </cell>
          <cell r="CC9">
            <v>9409</v>
          </cell>
          <cell r="CD9">
            <v>107.98171963014136</v>
          </cell>
          <cell r="CE9">
            <v>730000</v>
          </cell>
          <cell r="CF9">
            <v>9409</v>
          </cell>
          <cell r="CG9">
            <v>77.585290679137003</v>
          </cell>
          <cell r="CH9">
            <v>1111690</v>
          </cell>
          <cell r="CI9">
            <v>20888</v>
          </cell>
          <cell r="CJ9">
            <v>53.221466870930676</v>
          </cell>
          <cell r="CK9">
            <v>7656740</v>
          </cell>
          <cell r="CL9">
            <v>20888</v>
          </cell>
          <cell r="CM9">
            <v>366.56166219839145</v>
          </cell>
          <cell r="CN9" t="str">
            <v>N/A</v>
          </cell>
          <cell r="CO9" t="str">
            <v>N/A</v>
          </cell>
          <cell r="CP9" t="str">
            <v>N/A</v>
          </cell>
          <cell r="CQ9" t="str">
            <v>N/A</v>
          </cell>
          <cell r="CR9">
            <v>350</v>
          </cell>
          <cell r="CS9">
            <v>1514</v>
          </cell>
          <cell r="CT9">
            <v>350</v>
          </cell>
          <cell r="CU9">
            <v>4.3257142857142856</v>
          </cell>
          <cell r="CV9">
            <v>6</v>
          </cell>
          <cell r="CW9">
            <v>0</v>
          </cell>
          <cell r="CX9">
            <v>276000</v>
          </cell>
          <cell r="CY9">
            <v>0</v>
          </cell>
          <cell r="CZ9">
            <v>521000</v>
          </cell>
          <cell r="DA9">
            <v>20888</v>
          </cell>
          <cell r="DB9">
            <v>24.94255074684029</v>
          </cell>
          <cell r="DC9">
            <v>1920000</v>
          </cell>
          <cell r="DD9">
            <v>20888</v>
          </cell>
          <cell r="DE9">
            <v>91.918805055534278</v>
          </cell>
          <cell r="DF9">
            <v>3526000</v>
          </cell>
          <cell r="DG9">
            <v>20888</v>
          </cell>
          <cell r="DH9">
            <v>168.80505553427807</v>
          </cell>
          <cell r="DI9">
            <v>170.4</v>
          </cell>
          <cell r="DJ9">
            <v>122.58215962441314</v>
          </cell>
          <cell r="DK9">
            <v>-8.674256806655456E-3</v>
          </cell>
          <cell r="DL9">
            <v>5.28</v>
          </cell>
          <cell r="DM9">
            <v>2.38</v>
          </cell>
        </row>
        <row r="10">
          <cell r="B10" t="str">
            <v>Cootamundra Shire Council</v>
          </cell>
          <cell r="C10">
            <v>10</v>
          </cell>
          <cell r="D10">
            <v>1190000</v>
          </cell>
          <cell r="E10">
            <v>2929</v>
          </cell>
          <cell r="F10">
            <v>406.28200751109591</v>
          </cell>
          <cell r="G10">
            <v>703000</v>
          </cell>
          <cell r="H10">
            <v>503</v>
          </cell>
          <cell r="I10">
            <v>1397.6143141153082</v>
          </cell>
          <cell r="J10">
            <v>439000</v>
          </cell>
          <cell r="K10">
            <v>330</v>
          </cell>
          <cell r="L10">
            <v>1330.3030303030303</v>
          </cell>
          <cell r="M10">
            <v>910000</v>
          </cell>
          <cell r="N10">
            <v>7400000</v>
          </cell>
          <cell r="O10">
            <v>0.12297297297297298</v>
          </cell>
          <cell r="P10">
            <v>302000</v>
          </cell>
          <cell r="Q10">
            <v>3825000</v>
          </cell>
          <cell r="R10">
            <v>7.8954248366013072E-2</v>
          </cell>
          <cell r="S10">
            <v>1244000</v>
          </cell>
          <cell r="T10">
            <v>2029000</v>
          </cell>
          <cell r="U10">
            <v>0.61310990635781171</v>
          </cell>
          <cell r="V10">
            <v>4127000</v>
          </cell>
          <cell r="W10">
            <v>10592000</v>
          </cell>
          <cell r="X10">
            <v>0.38963368580060426</v>
          </cell>
          <cell r="Y10">
            <v>3273000</v>
          </cell>
          <cell r="Z10">
            <v>10592000</v>
          </cell>
          <cell r="AA10">
            <v>0.30900679758308158</v>
          </cell>
          <cell r="AB10">
            <v>273000</v>
          </cell>
          <cell r="AC10">
            <v>10592000</v>
          </cell>
          <cell r="AD10">
            <v>2.5774169184290031E-2</v>
          </cell>
          <cell r="AE10">
            <v>2465000</v>
          </cell>
          <cell r="AF10">
            <v>10592000</v>
          </cell>
          <cell r="AG10">
            <v>0.23272280966767372</v>
          </cell>
          <cell r="AH10">
            <v>330000</v>
          </cell>
          <cell r="AI10">
            <v>10592000</v>
          </cell>
          <cell r="AJ10">
            <v>3.115558912386707E-2</v>
          </cell>
          <cell r="AK10">
            <v>124000</v>
          </cell>
          <cell r="AL10">
            <v>10592000</v>
          </cell>
          <cell r="AM10">
            <v>1.1706948640483383E-2</v>
          </cell>
          <cell r="AN10">
            <v>8389000</v>
          </cell>
          <cell r="AO10">
            <v>7660</v>
          </cell>
          <cell r="AP10">
            <v>1095.1697127937337</v>
          </cell>
          <cell r="AQ10">
            <v>2741000</v>
          </cell>
          <cell r="AR10">
            <v>10384000</v>
          </cell>
          <cell r="AS10">
            <v>0.26396379044684132</v>
          </cell>
          <cell r="AT10">
            <v>3770000</v>
          </cell>
          <cell r="AU10">
            <v>10384000</v>
          </cell>
          <cell r="AV10">
            <v>0.36305855161787365</v>
          </cell>
          <cell r="AW10">
            <v>158000</v>
          </cell>
          <cell r="AX10">
            <v>10384000</v>
          </cell>
          <cell r="AY10">
            <v>1.5215716486902928E-2</v>
          </cell>
          <cell r="AZ10">
            <v>2542000</v>
          </cell>
          <cell r="BA10">
            <v>10384000</v>
          </cell>
          <cell r="BB10">
            <v>0.24479969183359013</v>
          </cell>
          <cell r="BC10">
            <v>1173000</v>
          </cell>
          <cell r="BD10">
            <v>10384000</v>
          </cell>
          <cell r="BE10">
            <v>0.11296224961479198</v>
          </cell>
          <cell r="BF10">
            <v>8109000</v>
          </cell>
          <cell r="BG10">
            <v>7660</v>
          </cell>
          <cell r="BH10">
            <v>1058.6161879895562</v>
          </cell>
          <cell r="BI10">
            <v>4104000</v>
          </cell>
          <cell r="BJ10">
            <v>1572000</v>
          </cell>
          <cell r="BK10">
            <v>2.6106870229007635</v>
          </cell>
          <cell r="BL10">
            <v>304000</v>
          </cell>
          <cell r="BM10">
            <v>9719000</v>
          </cell>
          <cell r="BN10">
            <v>3.127893816236238E-2</v>
          </cell>
          <cell r="BO10">
            <v>1528000</v>
          </cell>
          <cell r="BP10">
            <v>2014000</v>
          </cell>
          <cell r="BQ10">
            <v>0.7586891757696127</v>
          </cell>
          <cell r="BR10">
            <v>69</v>
          </cell>
          <cell r="BS10" t="str">
            <v>&lt;=2</v>
          </cell>
          <cell r="BT10" t="str">
            <v>&lt;=2</v>
          </cell>
          <cell r="BU10" t="str">
            <v>On Time</v>
          </cell>
          <cell r="BV10">
            <v>206000</v>
          </cell>
          <cell r="BW10">
            <v>7660</v>
          </cell>
          <cell r="BX10">
            <v>26.892950391644909</v>
          </cell>
          <cell r="BY10">
            <v>60577</v>
          </cell>
          <cell r="BZ10">
            <v>7660</v>
          </cell>
          <cell r="CA10">
            <v>7.9082245430809399</v>
          </cell>
          <cell r="CB10">
            <v>445000</v>
          </cell>
          <cell r="CC10">
            <v>2601</v>
          </cell>
          <cell r="CD10">
            <v>171.0880430603614</v>
          </cell>
          <cell r="CE10">
            <v>214562</v>
          </cell>
          <cell r="CF10">
            <v>2657</v>
          </cell>
          <cell r="CG10">
            <v>80.753481369966124</v>
          </cell>
          <cell r="CH10">
            <v>4528490</v>
          </cell>
          <cell r="CI10">
            <v>7660</v>
          </cell>
          <cell r="CJ10">
            <v>591.18668407310702</v>
          </cell>
          <cell r="CK10">
            <v>10466590</v>
          </cell>
          <cell r="CL10">
            <v>7660</v>
          </cell>
          <cell r="CM10">
            <v>1366.3955613577023</v>
          </cell>
          <cell r="CN10">
            <v>463.15032150726199</v>
          </cell>
          <cell r="CO10">
            <v>524</v>
          </cell>
          <cell r="CP10">
            <v>195.09690668720299</v>
          </cell>
          <cell r="CQ10">
            <v>347</v>
          </cell>
          <cell r="CR10">
            <v>255</v>
          </cell>
          <cell r="CS10">
            <v>1301</v>
          </cell>
          <cell r="CT10">
            <v>255</v>
          </cell>
          <cell r="CU10">
            <v>5.1019607843137251</v>
          </cell>
          <cell r="CV10">
            <v>3.5</v>
          </cell>
          <cell r="CW10">
            <v>0</v>
          </cell>
          <cell r="CX10">
            <v>86000</v>
          </cell>
          <cell r="CY10">
            <v>0</v>
          </cell>
          <cell r="CZ10">
            <v>198000</v>
          </cell>
          <cell r="DA10">
            <v>7660</v>
          </cell>
          <cell r="DB10">
            <v>25.848563968668408</v>
          </cell>
          <cell r="DC10">
            <v>527000</v>
          </cell>
          <cell r="DD10">
            <v>7660</v>
          </cell>
          <cell r="DE10">
            <v>68.798955613577021</v>
          </cell>
          <cell r="DF10">
            <v>26000</v>
          </cell>
          <cell r="DG10">
            <v>7660</v>
          </cell>
          <cell r="DH10">
            <v>3.3942558746736293</v>
          </cell>
          <cell r="DI10">
            <v>1523.6</v>
          </cell>
          <cell r="DJ10">
            <v>5.0275662903649252</v>
          </cell>
          <cell r="DK10">
            <v>-2.7191908545826093E-3</v>
          </cell>
          <cell r="DL10">
            <v>3.72</v>
          </cell>
          <cell r="DM10">
            <v>1.77</v>
          </cell>
        </row>
        <row r="11">
          <cell r="B11" t="str">
            <v>Lithgow City Council</v>
          </cell>
          <cell r="C11">
            <v>4</v>
          </cell>
          <cell r="D11">
            <v>4114000</v>
          </cell>
          <cell r="E11">
            <v>8663</v>
          </cell>
          <cell r="F11">
            <v>474.89322405633152</v>
          </cell>
          <cell r="G11">
            <v>810000</v>
          </cell>
          <cell r="H11">
            <v>968</v>
          </cell>
          <cell r="I11">
            <v>836.77685950413218</v>
          </cell>
          <cell r="J11">
            <v>1036000</v>
          </cell>
          <cell r="K11">
            <v>410</v>
          </cell>
          <cell r="L11">
            <v>2526.8292682926831</v>
          </cell>
          <cell r="M11">
            <v>1374000</v>
          </cell>
          <cell r="N11">
            <v>14296000</v>
          </cell>
          <cell r="O11">
            <v>9.6110800223838833E-2</v>
          </cell>
          <cell r="P11">
            <v>713000</v>
          </cell>
          <cell r="Q11">
            <v>11045000</v>
          </cell>
          <cell r="R11">
            <v>6.4554096876414668E-2</v>
          </cell>
          <cell r="S11">
            <v>387000</v>
          </cell>
          <cell r="T11">
            <v>2151000</v>
          </cell>
          <cell r="U11">
            <v>0.1799163179916318</v>
          </cell>
          <cell r="V11">
            <v>11758000</v>
          </cell>
          <cell r="W11">
            <v>22478000</v>
          </cell>
          <cell r="X11">
            <v>0.52308924281519709</v>
          </cell>
          <cell r="Y11">
            <v>2538000</v>
          </cell>
          <cell r="Z11">
            <v>22478000</v>
          </cell>
          <cell r="AA11">
            <v>0.11291040128125278</v>
          </cell>
          <cell r="AB11">
            <v>1261000</v>
          </cell>
          <cell r="AC11">
            <v>22478000</v>
          </cell>
          <cell r="AD11">
            <v>5.6099297090488477E-2</v>
          </cell>
          <cell r="AE11">
            <v>3964000</v>
          </cell>
          <cell r="AF11">
            <v>22478000</v>
          </cell>
          <cell r="AG11">
            <v>0.17635020909333571</v>
          </cell>
          <cell r="AH11">
            <v>2354000</v>
          </cell>
          <cell r="AI11">
            <v>22478000</v>
          </cell>
          <cell r="AJ11">
            <v>0.10472461962808079</v>
          </cell>
          <cell r="AK11">
            <v>603000</v>
          </cell>
          <cell r="AL11">
            <v>22478000</v>
          </cell>
          <cell r="AM11">
            <v>2.6826230091645163E-2</v>
          </cell>
          <cell r="AN11">
            <v>15562000</v>
          </cell>
          <cell r="AO11">
            <v>20362</v>
          </cell>
          <cell r="AP11">
            <v>764.26677143699044</v>
          </cell>
          <cell r="AQ11">
            <v>8584000</v>
          </cell>
          <cell r="AR11">
            <v>22590000</v>
          </cell>
          <cell r="AS11">
            <v>0.37999114652501109</v>
          </cell>
          <cell r="AT11">
            <v>5158000</v>
          </cell>
          <cell r="AU11">
            <v>22590000</v>
          </cell>
          <cell r="AV11">
            <v>0.2283311199645861</v>
          </cell>
          <cell r="AW11">
            <v>188000</v>
          </cell>
          <cell r="AX11">
            <v>22590000</v>
          </cell>
          <cell r="AY11">
            <v>8.3222664895971667E-3</v>
          </cell>
          <cell r="AZ11">
            <v>5405000</v>
          </cell>
          <cell r="BA11">
            <v>22590000</v>
          </cell>
          <cell r="BB11">
            <v>0.23926516157591854</v>
          </cell>
          <cell r="BC11">
            <v>3255000</v>
          </cell>
          <cell r="BD11">
            <v>22590000</v>
          </cell>
          <cell r="BE11">
            <v>0.14409030544488713</v>
          </cell>
          <cell r="BF11">
            <v>16816000</v>
          </cell>
          <cell r="BG11">
            <v>20362</v>
          </cell>
          <cell r="BH11">
            <v>825.85207739907673</v>
          </cell>
          <cell r="BI11">
            <v>2413000</v>
          </cell>
          <cell r="BJ11">
            <v>2413000</v>
          </cell>
          <cell r="BK11">
            <v>1</v>
          </cell>
          <cell r="BL11">
            <v>505000</v>
          </cell>
          <cell r="BM11">
            <v>20045000</v>
          </cell>
          <cell r="BN11">
            <v>2.5193315041157394E-2</v>
          </cell>
          <cell r="BO11">
            <v>3900000</v>
          </cell>
          <cell r="BP11">
            <v>4342000</v>
          </cell>
          <cell r="BQ11">
            <v>0.89820359281437123</v>
          </cell>
          <cell r="BR11">
            <v>179</v>
          </cell>
          <cell r="BS11" t="str">
            <v>&lt;=4</v>
          </cell>
          <cell r="BT11" t="str">
            <v>&lt;=4</v>
          </cell>
          <cell r="BU11" t="str">
            <v>&lt;=2</v>
          </cell>
          <cell r="BV11">
            <v>485000</v>
          </cell>
          <cell r="BW11">
            <v>20362</v>
          </cell>
          <cell r="BX11">
            <v>23.818878302720755</v>
          </cell>
          <cell r="BY11">
            <v>90263</v>
          </cell>
          <cell r="BZ11">
            <v>20362</v>
          </cell>
          <cell r="CA11">
            <v>4.4329142520381106</v>
          </cell>
          <cell r="CB11">
            <v>1405000</v>
          </cell>
          <cell r="CC11">
            <v>7464</v>
          </cell>
          <cell r="CD11">
            <v>188.23687031082528</v>
          </cell>
          <cell r="CE11">
            <v>929119</v>
          </cell>
          <cell r="CF11">
            <v>7464</v>
          </cell>
          <cell r="CG11">
            <v>124.48003751339765</v>
          </cell>
          <cell r="CH11">
            <v>516900</v>
          </cell>
          <cell r="CI11">
            <v>20362</v>
          </cell>
          <cell r="CJ11">
            <v>25.385522050879089</v>
          </cell>
          <cell r="CK11">
            <v>9624200</v>
          </cell>
          <cell r="CL11">
            <v>20362</v>
          </cell>
          <cell r="CM11">
            <v>472.65494548669091</v>
          </cell>
          <cell r="CN11">
            <v>420</v>
          </cell>
          <cell r="CO11">
            <v>356</v>
          </cell>
          <cell r="CP11">
            <v>256</v>
          </cell>
          <cell r="CQ11">
            <v>290</v>
          </cell>
          <cell r="CR11">
            <v>624</v>
          </cell>
          <cell r="CS11">
            <v>4671</v>
          </cell>
          <cell r="CT11">
            <v>624</v>
          </cell>
          <cell r="CU11">
            <v>7.4855769230769234</v>
          </cell>
          <cell r="CV11">
            <v>7</v>
          </cell>
          <cell r="CW11">
            <v>30000</v>
          </cell>
          <cell r="CX11">
            <v>438000</v>
          </cell>
          <cell r="CY11">
            <v>6.8493150684931503E-2</v>
          </cell>
          <cell r="CZ11">
            <v>337000</v>
          </cell>
          <cell r="DA11">
            <v>20362</v>
          </cell>
          <cell r="DB11">
            <v>16.550437088694625</v>
          </cell>
          <cell r="DC11">
            <v>631000</v>
          </cell>
          <cell r="DD11">
            <v>20362</v>
          </cell>
          <cell r="DE11">
            <v>30.989097338178961</v>
          </cell>
          <cell r="DF11">
            <v>202000</v>
          </cell>
          <cell r="DG11">
            <v>20362</v>
          </cell>
          <cell r="DH11">
            <v>9.9204400353599844</v>
          </cell>
          <cell r="DI11">
            <v>3517.4</v>
          </cell>
          <cell r="DJ11">
            <v>5.7889350088133282</v>
          </cell>
          <cell r="DK11">
            <v>4.0463002939485904E-3</v>
          </cell>
          <cell r="DL11">
            <v>2.88</v>
          </cell>
          <cell r="DM11">
            <v>3.19</v>
          </cell>
        </row>
        <row r="12">
          <cell r="B12" t="str">
            <v>Merriwa Shire Council</v>
          </cell>
          <cell r="C12">
            <v>9</v>
          </cell>
          <cell r="D12">
            <v>193000</v>
          </cell>
          <cell r="E12">
            <v>746</v>
          </cell>
          <cell r="F12">
            <v>258.71313672922253</v>
          </cell>
          <cell r="G12">
            <v>1243000</v>
          </cell>
          <cell r="H12">
            <v>620</v>
          </cell>
          <cell r="I12">
            <v>2004.8387096774193</v>
          </cell>
          <cell r="J12">
            <v>30000</v>
          </cell>
          <cell r="K12">
            <v>109</v>
          </cell>
          <cell r="L12">
            <v>275.22935779816515</v>
          </cell>
          <cell r="M12">
            <v>200000</v>
          </cell>
          <cell r="N12">
            <v>4365000</v>
          </cell>
          <cell r="O12">
            <v>4.5819014891179836E-2</v>
          </cell>
          <cell r="P12">
            <v>33000</v>
          </cell>
          <cell r="Q12">
            <v>1868000</v>
          </cell>
          <cell r="R12">
            <v>1.7665952890792293E-2</v>
          </cell>
          <cell r="S12">
            <v>129000</v>
          </cell>
          <cell r="T12">
            <v>2335000</v>
          </cell>
          <cell r="U12">
            <v>5.524625267665953E-2</v>
          </cell>
          <cell r="V12">
            <v>1901000</v>
          </cell>
          <cell r="W12">
            <v>7492000</v>
          </cell>
          <cell r="X12">
            <v>0.25373731980779496</v>
          </cell>
          <cell r="Y12">
            <v>2464000</v>
          </cell>
          <cell r="Z12">
            <v>7492000</v>
          </cell>
          <cell r="AA12">
            <v>0.32888414308595837</v>
          </cell>
          <cell r="AB12">
            <v>123000</v>
          </cell>
          <cell r="AC12">
            <v>7492000</v>
          </cell>
          <cell r="AD12">
            <v>1.6417512012813669E-2</v>
          </cell>
          <cell r="AE12">
            <v>2186000</v>
          </cell>
          <cell r="AF12">
            <v>7492000</v>
          </cell>
          <cell r="AG12">
            <v>0.29177789642285107</v>
          </cell>
          <cell r="AH12">
            <v>736000</v>
          </cell>
          <cell r="AI12">
            <v>7492000</v>
          </cell>
          <cell r="AJ12">
            <v>9.8238120662039505E-2</v>
          </cell>
          <cell r="AK12">
            <v>82000</v>
          </cell>
          <cell r="AL12">
            <v>7492000</v>
          </cell>
          <cell r="AM12">
            <v>1.0945008008542445E-2</v>
          </cell>
          <cell r="AN12">
            <v>6177000</v>
          </cell>
          <cell r="AO12">
            <v>2360</v>
          </cell>
          <cell r="AP12">
            <v>2617.3728813559323</v>
          </cell>
          <cell r="AQ12">
            <v>2796000</v>
          </cell>
          <cell r="AR12">
            <v>7240000</v>
          </cell>
          <cell r="AS12">
            <v>0.38618784530386741</v>
          </cell>
          <cell r="AT12">
            <v>1825000</v>
          </cell>
          <cell r="AU12">
            <v>7240000</v>
          </cell>
          <cell r="AV12">
            <v>0.2520718232044199</v>
          </cell>
          <cell r="AW12">
            <v>40000</v>
          </cell>
          <cell r="AX12">
            <v>7240000</v>
          </cell>
          <cell r="AY12">
            <v>5.5248618784530384E-3</v>
          </cell>
          <cell r="AZ12">
            <v>1852000</v>
          </cell>
          <cell r="BA12">
            <v>7240000</v>
          </cell>
          <cell r="BB12">
            <v>0.25580110497237568</v>
          </cell>
          <cell r="BC12">
            <v>727000</v>
          </cell>
          <cell r="BD12">
            <v>7240000</v>
          </cell>
          <cell r="BE12">
            <v>0.10041436464088398</v>
          </cell>
          <cell r="BF12">
            <v>6742000</v>
          </cell>
          <cell r="BG12">
            <v>2360</v>
          </cell>
          <cell r="BH12">
            <v>2856.7796610169494</v>
          </cell>
          <cell r="BI12">
            <v>1824000</v>
          </cell>
          <cell r="BJ12">
            <v>685000</v>
          </cell>
          <cell r="BK12">
            <v>2.6627737226277373</v>
          </cell>
          <cell r="BL12">
            <v>134000</v>
          </cell>
          <cell r="BM12">
            <v>5446000</v>
          </cell>
          <cell r="BN12">
            <v>2.4605214836577304E-2</v>
          </cell>
          <cell r="BO12">
            <v>657000</v>
          </cell>
          <cell r="BP12">
            <v>1655000</v>
          </cell>
          <cell r="BQ12">
            <v>0.39697885196374622</v>
          </cell>
          <cell r="BR12">
            <v>62.1</v>
          </cell>
          <cell r="BS12" t="str">
            <v>On Time</v>
          </cell>
          <cell r="BT12" t="str">
            <v>On Time</v>
          </cell>
          <cell r="BU12" t="str">
            <v>On Time</v>
          </cell>
          <cell r="BV12">
            <v>80000</v>
          </cell>
          <cell r="BW12">
            <v>2360</v>
          </cell>
          <cell r="BX12">
            <v>33.898305084745765</v>
          </cell>
          <cell r="BY12">
            <v>12014</v>
          </cell>
          <cell r="BZ12">
            <v>2360</v>
          </cell>
          <cell r="CA12">
            <v>5.090677966101695</v>
          </cell>
          <cell r="CB12">
            <v>98000</v>
          </cell>
          <cell r="CC12">
            <v>520</v>
          </cell>
          <cell r="CD12">
            <v>188.46153846153845</v>
          </cell>
          <cell r="CE12">
            <v>73000</v>
          </cell>
          <cell r="CF12">
            <v>504</v>
          </cell>
          <cell r="CG12">
            <v>144.84126984126985</v>
          </cell>
          <cell r="CH12">
            <v>260000</v>
          </cell>
          <cell r="CI12">
            <v>2360</v>
          </cell>
          <cell r="CJ12">
            <v>110.16949152542372</v>
          </cell>
          <cell r="CK12">
            <v>468000</v>
          </cell>
          <cell r="CL12">
            <v>2360</v>
          </cell>
          <cell r="CM12">
            <v>198.30508474576271</v>
          </cell>
          <cell r="CN12">
            <v>440.00312891113902</v>
          </cell>
          <cell r="CO12">
            <v>558.07464248343194</v>
          </cell>
          <cell r="CP12">
            <v>259.71431425432002</v>
          </cell>
          <cell r="CQ12">
            <v>398.66085194484799</v>
          </cell>
          <cell r="CR12">
            <v>51</v>
          </cell>
          <cell r="CS12">
            <v>411</v>
          </cell>
          <cell r="CT12">
            <v>51</v>
          </cell>
          <cell r="CU12">
            <v>8.0588235294117645</v>
          </cell>
          <cell r="CV12">
            <v>21</v>
          </cell>
          <cell r="CW12">
            <v>5000</v>
          </cell>
          <cell r="CX12">
            <v>76000</v>
          </cell>
          <cell r="CY12">
            <v>6.5789473684210523E-2</v>
          </cell>
          <cell r="CZ12">
            <v>197000</v>
          </cell>
          <cell r="DA12">
            <v>2360</v>
          </cell>
          <cell r="DB12">
            <v>83.474576271186436</v>
          </cell>
          <cell r="DC12">
            <v>268000</v>
          </cell>
          <cell r="DD12">
            <v>2360</v>
          </cell>
          <cell r="DE12">
            <v>113.55932203389831</v>
          </cell>
          <cell r="DF12">
            <v>569000</v>
          </cell>
          <cell r="DG12">
            <v>2360</v>
          </cell>
          <cell r="DH12">
            <v>241.10169491525423</v>
          </cell>
          <cell r="DI12">
            <v>3500.4</v>
          </cell>
          <cell r="DJ12">
            <v>0.67420866186721518</v>
          </cell>
          <cell r="DK12">
            <v>-1.7702210006838026E-3</v>
          </cell>
          <cell r="DL12">
            <v>1.96</v>
          </cell>
          <cell r="DM12">
            <v>2.56</v>
          </cell>
        </row>
        <row r="13">
          <cell r="B13" t="str">
            <v>Urana Shire Council</v>
          </cell>
          <cell r="C13">
            <v>8</v>
          </cell>
          <cell r="D13">
            <v>71000</v>
          </cell>
          <cell r="E13">
            <v>521</v>
          </cell>
          <cell r="F13">
            <v>136.27639155470249</v>
          </cell>
          <cell r="G13">
            <v>960000</v>
          </cell>
          <cell r="H13">
            <v>629</v>
          </cell>
          <cell r="I13">
            <v>1526.2321144674086</v>
          </cell>
          <cell r="J13">
            <v>24000</v>
          </cell>
          <cell r="K13">
            <v>112</v>
          </cell>
          <cell r="L13">
            <v>214.28571428571428</v>
          </cell>
          <cell r="M13">
            <v>268000</v>
          </cell>
          <cell r="N13">
            <v>1674000</v>
          </cell>
          <cell r="O13">
            <v>0.16009557945041816</v>
          </cell>
          <cell r="P13">
            <v>72000</v>
          </cell>
          <cell r="Q13">
            <v>1150000</v>
          </cell>
          <cell r="R13">
            <v>6.2608695652173918E-2</v>
          </cell>
          <cell r="S13">
            <v>195000</v>
          </cell>
          <cell r="T13">
            <v>257000</v>
          </cell>
          <cell r="U13">
            <v>0.75875486381322954</v>
          </cell>
          <cell r="V13">
            <v>1222000</v>
          </cell>
          <cell r="W13">
            <v>4939000</v>
          </cell>
          <cell r="X13">
            <v>0.24741850577039887</v>
          </cell>
          <cell r="Y13">
            <v>452000</v>
          </cell>
          <cell r="Z13">
            <v>4939000</v>
          </cell>
          <cell r="AA13">
            <v>9.1516501316055876E-2</v>
          </cell>
          <cell r="AB13">
            <v>102000</v>
          </cell>
          <cell r="AC13">
            <v>4939000</v>
          </cell>
          <cell r="AD13">
            <v>2.0651953836809071E-2</v>
          </cell>
          <cell r="AE13">
            <v>1773000</v>
          </cell>
          <cell r="AF13">
            <v>4939000</v>
          </cell>
          <cell r="AG13">
            <v>0.35897955051629887</v>
          </cell>
          <cell r="AH13">
            <v>1061000</v>
          </cell>
          <cell r="AI13">
            <v>4939000</v>
          </cell>
          <cell r="AJ13">
            <v>0.21482081392994534</v>
          </cell>
          <cell r="AK13">
            <v>329000</v>
          </cell>
          <cell r="AL13">
            <v>4939000</v>
          </cell>
          <cell r="AM13">
            <v>6.6612674630492003E-2</v>
          </cell>
          <cell r="AN13">
            <v>4195000</v>
          </cell>
          <cell r="AO13">
            <v>1427</v>
          </cell>
          <cell r="AP13">
            <v>2939.7337070777858</v>
          </cell>
          <cell r="AQ13">
            <v>1285000</v>
          </cell>
          <cell r="AR13">
            <v>4886000</v>
          </cell>
          <cell r="AS13">
            <v>0.26299631600491197</v>
          </cell>
          <cell r="AT13">
            <v>1595000</v>
          </cell>
          <cell r="AU13">
            <v>4886000</v>
          </cell>
          <cell r="AV13">
            <v>0.32644289807613591</v>
          </cell>
          <cell r="AW13">
            <v>61000</v>
          </cell>
          <cell r="AX13">
            <v>4886000</v>
          </cell>
          <cell r="AY13">
            <v>1.2484650020466639E-2</v>
          </cell>
          <cell r="AZ13">
            <v>1517000</v>
          </cell>
          <cell r="BA13">
            <v>4886000</v>
          </cell>
          <cell r="BB13">
            <v>0.31047891936144084</v>
          </cell>
          <cell r="BC13">
            <v>428000</v>
          </cell>
          <cell r="BD13">
            <v>4886000</v>
          </cell>
          <cell r="BE13">
            <v>8.7597216537044623E-2</v>
          </cell>
          <cell r="BF13">
            <v>4719000</v>
          </cell>
          <cell r="BG13">
            <v>1427</v>
          </cell>
          <cell r="BH13">
            <v>3306.937631394534</v>
          </cell>
          <cell r="BI13">
            <v>1915000</v>
          </cell>
          <cell r="BJ13">
            <v>423000</v>
          </cell>
          <cell r="BK13">
            <v>4.5271867612293146</v>
          </cell>
          <cell r="BL13">
            <v>119000</v>
          </cell>
          <cell r="BM13">
            <v>3469000</v>
          </cell>
          <cell r="BN13">
            <v>3.4303833957912942E-2</v>
          </cell>
          <cell r="BO13">
            <v>715000</v>
          </cell>
          <cell r="BP13">
            <v>1469000</v>
          </cell>
          <cell r="BQ13">
            <v>0.48672566371681414</v>
          </cell>
          <cell r="BR13">
            <v>30</v>
          </cell>
          <cell r="BS13" t="str">
            <v>&lt;=2</v>
          </cell>
          <cell r="BT13" t="str">
            <v>&lt;=2</v>
          </cell>
          <cell r="BU13" t="str">
            <v>On Time</v>
          </cell>
          <cell r="BV13">
            <v>45000</v>
          </cell>
          <cell r="BW13">
            <v>1427</v>
          </cell>
          <cell r="BX13">
            <v>31.53468815697267</v>
          </cell>
          <cell r="BY13">
            <v>7472</v>
          </cell>
          <cell r="BZ13">
            <v>1427</v>
          </cell>
          <cell r="CA13">
            <v>5.2361597757533289</v>
          </cell>
          <cell r="CB13">
            <v>44000</v>
          </cell>
          <cell r="CC13">
            <v>455</v>
          </cell>
          <cell r="CD13">
            <v>96.703296703296701</v>
          </cell>
          <cell r="CE13">
            <v>58450</v>
          </cell>
          <cell r="CF13">
            <v>455</v>
          </cell>
          <cell r="CG13">
            <v>128.46153846153845</v>
          </cell>
          <cell r="CH13">
            <v>0</v>
          </cell>
          <cell r="CI13">
            <v>1427</v>
          </cell>
          <cell r="CJ13" t="str">
            <v>N/A</v>
          </cell>
          <cell r="CK13">
            <v>937000</v>
          </cell>
          <cell r="CL13">
            <v>1427</v>
          </cell>
          <cell r="CM13">
            <v>656.62228451296426</v>
          </cell>
          <cell r="CN13" t="str">
            <v>N/A</v>
          </cell>
          <cell r="CO13" t="str">
            <v>N/A</v>
          </cell>
          <cell r="CP13">
            <v>460</v>
          </cell>
          <cell r="CQ13">
            <v>404</v>
          </cell>
          <cell r="CR13">
            <v>28</v>
          </cell>
          <cell r="CS13">
            <v>253</v>
          </cell>
          <cell r="CT13">
            <v>28</v>
          </cell>
          <cell r="CU13">
            <v>9.0357142857142865</v>
          </cell>
          <cell r="CV13">
            <v>6</v>
          </cell>
          <cell r="CW13">
            <v>0</v>
          </cell>
          <cell r="CX13">
            <v>51000</v>
          </cell>
          <cell r="CY13">
            <v>0</v>
          </cell>
          <cell r="CZ13">
            <v>95000</v>
          </cell>
          <cell r="DA13">
            <v>1427</v>
          </cell>
          <cell r="DB13">
            <v>66.573230553608965</v>
          </cell>
          <cell r="DC13">
            <v>202000</v>
          </cell>
          <cell r="DD13">
            <v>1427</v>
          </cell>
          <cell r="DE13">
            <v>141.55571128241064</v>
          </cell>
          <cell r="DF13">
            <v>134000</v>
          </cell>
          <cell r="DG13">
            <v>1427</v>
          </cell>
          <cell r="DH13">
            <v>93.903293622985288</v>
          </cell>
          <cell r="DI13">
            <v>3357.4</v>
          </cell>
          <cell r="DJ13">
            <v>0.42503127420027403</v>
          </cell>
          <cell r="DK13">
            <v>-1.7916106078268101E-2</v>
          </cell>
          <cell r="DL13">
            <v>2.72</v>
          </cell>
          <cell r="DM13">
            <v>2.08</v>
          </cell>
        </row>
        <row r="14">
          <cell r="B14" t="str">
            <v>Cowra Shire Council</v>
          </cell>
          <cell r="C14">
            <v>11</v>
          </cell>
          <cell r="D14">
            <v>1164000</v>
          </cell>
          <cell r="E14">
            <v>4532</v>
          </cell>
          <cell r="F14">
            <v>256.84024713150927</v>
          </cell>
          <cell r="G14">
            <v>1812000</v>
          </cell>
          <cell r="H14">
            <v>1609</v>
          </cell>
          <cell r="I14">
            <v>1126.1653200745804</v>
          </cell>
          <cell r="J14">
            <v>612000</v>
          </cell>
          <cell r="K14">
            <v>385</v>
          </cell>
          <cell r="L14">
            <v>1589.6103896103896</v>
          </cell>
          <cell r="M14">
            <v>1720000</v>
          </cell>
          <cell r="N14">
            <v>12639000</v>
          </cell>
          <cell r="O14">
            <v>0.13608671572118047</v>
          </cell>
          <cell r="P14">
            <v>203000</v>
          </cell>
          <cell r="Q14">
            <v>6947000</v>
          </cell>
          <cell r="R14">
            <v>2.9221246581258097E-2</v>
          </cell>
          <cell r="S14">
            <v>577000</v>
          </cell>
          <cell r="T14">
            <v>4912000</v>
          </cell>
          <cell r="U14">
            <v>0.11746742671009772</v>
          </cell>
          <cell r="V14">
            <v>7150000</v>
          </cell>
          <cell r="W14">
            <v>17801000</v>
          </cell>
          <cell r="X14">
            <v>0.4016628279310151</v>
          </cell>
          <cell r="Y14">
            <v>5489000</v>
          </cell>
          <cell r="Z14">
            <v>17801000</v>
          </cell>
          <cell r="AA14">
            <v>0.30835346328857927</v>
          </cell>
          <cell r="AB14">
            <v>334000</v>
          </cell>
          <cell r="AC14">
            <v>17801000</v>
          </cell>
          <cell r="AD14">
            <v>1.8762990843211057E-2</v>
          </cell>
          <cell r="AE14">
            <v>3825000</v>
          </cell>
          <cell r="AF14">
            <v>17801000</v>
          </cell>
          <cell r="AG14">
            <v>0.21487556878827033</v>
          </cell>
          <cell r="AH14">
            <v>538000</v>
          </cell>
          <cell r="AI14">
            <v>17801000</v>
          </cell>
          <cell r="AJ14">
            <v>3.0223021178585472E-2</v>
          </cell>
          <cell r="AK14">
            <v>465000</v>
          </cell>
          <cell r="AL14">
            <v>17801000</v>
          </cell>
          <cell r="AM14">
            <v>2.6122127970338745E-2</v>
          </cell>
          <cell r="AN14">
            <v>12900000</v>
          </cell>
          <cell r="AO14">
            <v>13096</v>
          </cell>
          <cell r="AP14">
            <v>985.0335980452046</v>
          </cell>
          <cell r="AQ14">
            <v>6773000</v>
          </cell>
          <cell r="AR14">
            <v>17823000</v>
          </cell>
          <cell r="AS14">
            <v>0.38001458789204962</v>
          </cell>
          <cell r="AT14">
            <v>5248000</v>
          </cell>
          <cell r="AU14">
            <v>17823000</v>
          </cell>
          <cell r="AV14">
            <v>0.29445099029344107</v>
          </cell>
          <cell r="AW14">
            <v>238000</v>
          </cell>
          <cell r="AX14">
            <v>17823000</v>
          </cell>
          <cell r="AY14">
            <v>1.3353531953094317E-2</v>
          </cell>
          <cell r="AZ14">
            <v>3859000</v>
          </cell>
          <cell r="BA14">
            <v>17823000</v>
          </cell>
          <cell r="BB14">
            <v>0.21651798238231498</v>
          </cell>
          <cell r="BC14">
            <v>1705000</v>
          </cell>
          <cell r="BD14">
            <v>17823000</v>
          </cell>
          <cell r="BE14">
            <v>9.5662907479100043E-2</v>
          </cell>
          <cell r="BF14">
            <v>15163000</v>
          </cell>
          <cell r="BG14">
            <v>13096</v>
          </cell>
          <cell r="BH14">
            <v>1157.8344532681735</v>
          </cell>
          <cell r="BI14">
            <v>2885000</v>
          </cell>
          <cell r="BJ14">
            <v>3150000</v>
          </cell>
          <cell r="BK14">
            <v>0.91587301587301584</v>
          </cell>
          <cell r="BL14">
            <v>376000</v>
          </cell>
          <cell r="BM14">
            <v>16635000</v>
          </cell>
          <cell r="BN14">
            <v>2.2602945596633603E-2</v>
          </cell>
          <cell r="BO14">
            <v>4306000</v>
          </cell>
          <cell r="BP14">
            <v>2940000</v>
          </cell>
          <cell r="BQ14">
            <v>1.4646258503401361</v>
          </cell>
          <cell r="BR14">
            <v>135</v>
          </cell>
          <cell r="BS14" t="str">
            <v>&lt;=2</v>
          </cell>
          <cell r="BT14" t="str">
            <v>&lt;=2</v>
          </cell>
          <cell r="BU14" t="str">
            <v>On Time</v>
          </cell>
          <cell r="BV14">
            <v>220000</v>
          </cell>
          <cell r="BW14">
            <v>13096</v>
          </cell>
          <cell r="BX14">
            <v>16.799022602321319</v>
          </cell>
          <cell r="BY14">
            <v>60020</v>
          </cell>
          <cell r="BZ14">
            <v>13096</v>
          </cell>
          <cell r="CA14">
            <v>4.5830788026878437</v>
          </cell>
          <cell r="CB14">
            <v>1208000</v>
          </cell>
          <cell r="CC14">
            <v>4459</v>
          </cell>
          <cell r="CD14">
            <v>270.91276070867906</v>
          </cell>
          <cell r="CE14">
            <v>660000</v>
          </cell>
          <cell r="CF14">
            <v>4459</v>
          </cell>
          <cell r="CG14">
            <v>148.01525005606638</v>
          </cell>
          <cell r="CH14">
            <v>1350374</v>
          </cell>
          <cell r="CI14">
            <v>13096</v>
          </cell>
          <cell r="CJ14">
            <v>103.11346976175932</v>
          </cell>
          <cell r="CK14">
            <v>715704</v>
          </cell>
          <cell r="CL14">
            <v>13096</v>
          </cell>
          <cell r="CM14">
            <v>54.650580329871715</v>
          </cell>
          <cell r="CN14">
            <v>482.70554534182702</v>
          </cell>
          <cell r="CO14">
            <v>499.13801845654598</v>
          </cell>
          <cell r="CP14">
            <v>273.45826687931998</v>
          </cell>
          <cell r="CQ14">
            <v>249</v>
          </cell>
          <cell r="CR14">
            <v>420</v>
          </cell>
          <cell r="CS14">
            <v>3985</v>
          </cell>
          <cell r="CT14">
            <v>420</v>
          </cell>
          <cell r="CU14">
            <v>9.4880952380952372</v>
          </cell>
          <cell r="CV14">
            <v>19.5</v>
          </cell>
          <cell r="CW14">
            <v>21000</v>
          </cell>
          <cell r="CX14">
            <v>565000</v>
          </cell>
          <cell r="CY14">
            <v>3.7168141592920353E-2</v>
          </cell>
          <cell r="CZ14">
            <v>268000</v>
          </cell>
          <cell r="DA14">
            <v>13096</v>
          </cell>
          <cell r="DB14">
            <v>20.464263897373243</v>
          </cell>
          <cell r="DC14">
            <v>1854000</v>
          </cell>
          <cell r="DD14">
            <v>13096</v>
          </cell>
          <cell r="DE14">
            <v>141.56994502138056</v>
          </cell>
          <cell r="DF14">
            <v>3000</v>
          </cell>
          <cell r="DG14">
            <v>13096</v>
          </cell>
          <cell r="DH14">
            <v>0.22907758094074526</v>
          </cell>
          <cell r="DI14">
            <v>2810.1</v>
          </cell>
          <cell r="DJ14">
            <v>4.6603323725134338</v>
          </cell>
          <cell r="DK14">
            <v>7.5121271051203919E-3</v>
          </cell>
          <cell r="DL14">
            <v>5.49</v>
          </cell>
          <cell r="DM14">
            <v>2.63</v>
          </cell>
        </row>
        <row r="15">
          <cell r="B15" t="str">
            <v>Uralla Shire Council</v>
          </cell>
          <cell r="C15">
            <v>10</v>
          </cell>
          <cell r="D15">
            <v>705000</v>
          </cell>
          <cell r="E15">
            <v>1878</v>
          </cell>
          <cell r="F15">
            <v>375.39936102236419</v>
          </cell>
          <cell r="G15">
            <v>1465000</v>
          </cell>
          <cell r="H15">
            <v>674</v>
          </cell>
          <cell r="I15">
            <v>2173.5905044510387</v>
          </cell>
          <cell r="J15">
            <v>61000</v>
          </cell>
          <cell r="K15">
            <v>172</v>
          </cell>
          <cell r="L15">
            <v>354.6511627906977</v>
          </cell>
          <cell r="M15">
            <v>307000</v>
          </cell>
          <cell r="N15">
            <v>4212000</v>
          </cell>
          <cell r="O15">
            <v>7.2886989553656217E-2</v>
          </cell>
          <cell r="P15">
            <v>163000</v>
          </cell>
          <cell r="Q15">
            <v>3185000</v>
          </cell>
          <cell r="R15">
            <v>5.1177394034536888E-2</v>
          </cell>
          <cell r="S15">
            <v>-13000</v>
          </cell>
          <cell r="T15">
            <v>877000</v>
          </cell>
          <cell r="U15">
            <v>-1.4823261117445839E-2</v>
          </cell>
          <cell r="V15">
            <v>3348000</v>
          </cell>
          <cell r="W15">
            <v>10103000</v>
          </cell>
          <cell r="X15">
            <v>0.33138671681678711</v>
          </cell>
          <cell r="Y15">
            <v>864000</v>
          </cell>
          <cell r="Z15">
            <v>10103000</v>
          </cell>
          <cell r="AA15">
            <v>8.5519152726912795E-2</v>
          </cell>
          <cell r="AB15">
            <v>251000</v>
          </cell>
          <cell r="AC15">
            <v>10103000</v>
          </cell>
          <cell r="AD15">
            <v>2.4844105711174898E-2</v>
          </cell>
          <cell r="AE15">
            <v>4608000</v>
          </cell>
          <cell r="AF15">
            <v>10103000</v>
          </cell>
          <cell r="AG15">
            <v>0.45610214787686826</v>
          </cell>
          <cell r="AH15">
            <v>1000000</v>
          </cell>
          <cell r="AI15">
            <v>10103000</v>
          </cell>
          <cell r="AJ15">
            <v>9.8980500841334251E-2</v>
          </cell>
          <cell r="AK15">
            <v>32000</v>
          </cell>
          <cell r="AL15">
            <v>10103000</v>
          </cell>
          <cell r="AM15">
            <v>3.1673760269226962E-3</v>
          </cell>
          <cell r="AN15">
            <v>8453000</v>
          </cell>
          <cell r="AO15">
            <v>6076</v>
          </cell>
          <cell r="AP15">
            <v>1391.2113232389729</v>
          </cell>
          <cell r="AQ15">
            <v>4343000</v>
          </cell>
          <cell r="AR15">
            <v>9557000</v>
          </cell>
          <cell r="AS15">
            <v>0.45443130689546929</v>
          </cell>
          <cell r="AT15">
            <v>3031000</v>
          </cell>
          <cell r="AU15">
            <v>9557000</v>
          </cell>
          <cell r="AV15">
            <v>0.31714973317986817</v>
          </cell>
          <cell r="AW15">
            <v>86000</v>
          </cell>
          <cell r="AX15">
            <v>9557000</v>
          </cell>
          <cell r="AY15">
            <v>8.9986397405043429E-3</v>
          </cell>
          <cell r="AZ15">
            <v>1493000</v>
          </cell>
          <cell r="BA15">
            <v>9557000</v>
          </cell>
          <cell r="BB15">
            <v>0.15622057130898817</v>
          </cell>
          <cell r="BC15">
            <v>604000</v>
          </cell>
          <cell r="BD15">
            <v>9557000</v>
          </cell>
          <cell r="BE15">
            <v>6.3199748875170034E-2</v>
          </cell>
          <cell r="BF15">
            <v>8445000</v>
          </cell>
          <cell r="BG15">
            <v>6076</v>
          </cell>
          <cell r="BH15">
            <v>1389.8946675444372</v>
          </cell>
          <cell r="BI15">
            <v>3292000</v>
          </cell>
          <cell r="BJ15">
            <v>1649000</v>
          </cell>
          <cell r="BK15">
            <v>1.9963614311704063</v>
          </cell>
          <cell r="BL15">
            <v>964000</v>
          </cell>
          <cell r="BM15">
            <v>6039000</v>
          </cell>
          <cell r="BN15">
            <v>0.15962907766186454</v>
          </cell>
          <cell r="BO15">
            <v>-2414000</v>
          </cell>
          <cell r="BP15">
            <v>1196000</v>
          </cell>
          <cell r="BQ15">
            <v>-2.0183946488294313</v>
          </cell>
          <cell r="BR15">
            <v>91.55</v>
          </cell>
          <cell r="BS15" t="str">
            <v>&lt;=2</v>
          </cell>
          <cell r="BT15" t="str">
            <v>&lt;=2</v>
          </cell>
          <cell r="BU15" t="str">
            <v>On Time</v>
          </cell>
          <cell r="BV15">
            <v>111000</v>
          </cell>
          <cell r="BW15">
            <v>6076</v>
          </cell>
          <cell r="BX15">
            <v>18.268597761685321</v>
          </cell>
          <cell r="BY15">
            <v>24691</v>
          </cell>
          <cell r="BZ15">
            <v>6076</v>
          </cell>
          <cell r="CA15">
            <v>4.0636932192231727</v>
          </cell>
          <cell r="CB15">
            <v>192000</v>
          </cell>
          <cell r="CC15">
            <v>1334</v>
          </cell>
          <cell r="CD15">
            <v>143.92803598200899</v>
          </cell>
          <cell r="CE15">
            <v>131155</v>
          </cell>
          <cell r="CF15">
            <v>1334</v>
          </cell>
          <cell r="CG15">
            <v>98.31709145427287</v>
          </cell>
          <cell r="CH15">
            <v>471195</v>
          </cell>
          <cell r="CI15">
            <v>6076</v>
          </cell>
          <cell r="CJ15">
            <v>77.55019749835418</v>
          </cell>
          <cell r="CK15">
            <v>476200</v>
          </cell>
          <cell r="CL15">
            <v>6076</v>
          </cell>
          <cell r="CM15">
            <v>78.373930217248187</v>
          </cell>
          <cell r="CN15">
            <v>361.78253119429598</v>
          </cell>
          <cell r="CO15">
            <v>440.90955122262801</v>
          </cell>
          <cell r="CP15">
            <v>394.11598302687401</v>
          </cell>
          <cell r="CQ15">
            <v>425.68250758341799</v>
          </cell>
          <cell r="CR15">
            <v>50</v>
          </cell>
          <cell r="CS15">
            <v>493</v>
          </cell>
          <cell r="CT15">
            <v>50</v>
          </cell>
          <cell r="CU15">
            <v>9.86</v>
          </cell>
          <cell r="CV15">
            <v>9.25</v>
          </cell>
          <cell r="CW15">
            <v>1000</v>
          </cell>
          <cell r="CX15">
            <v>149000</v>
          </cell>
          <cell r="CY15">
            <v>6.7114093959731542E-3</v>
          </cell>
          <cell r="CZ15">
            <v>91000</v>
          </cell>
          <cell r="DA15">
            <v>6076</v>
          </cell>
          <cell r="DB15">
            <v>14.976958525345623</v>
          </cell>
          <cell r="DC15">
            <v>244000</v>
          </cell>
          <cell r="DD15">
            <v>6076</v>
          </cell>
          <cell r="DE15">
            <v>40.157998683344303</v>
          </cell>
          <cell r="DF15">
            <v>2914000</v>
          </cell>
          <cell r="DG15">
            <v>6076</v>
          </cell>
          <cell r="DH15">
            <v>479.59183673469386</v>
          </cell>
          <cell r="DI15">
            <v>3229.8</v>
          </cell>
          <cell r="DJ15">
            <v>1.8812310359774598</v>
          </cell>
          <cell r="DK15">
            <v>1.089794866165894E-3</v>
          </cell>
          <cell r="DL15">
            <v>5.04</v>
          </cell>
          <cell r="DM15">
            <v>2.21</v>
          </cell>
        </row>
        <row r="16">
          <cell r="B16" t="str">
            <v>Yallaroi Shire Council</v>
          </cell>
          <cell r="C16">
            <v>9</v>
          </cell>
          <cell r="D16">
            <v>152000</v>
          </cell>
          <cell r="E16">
            <v>898</v>
          </cell>
          <cell r="F16">
            <v>169.26503340757239</v>
          </cell>
          <cell r="G16">
            <v>2490000</v>
          </cell>
          <cell r="H16">
            <v>707</v>
          </cell>
          <cell r="I16">
            <v>3521.9236209335218</v>
          </cell>
          <cell r="J16">
            <v>28000</v>
          </cell>
          <cell r="K16">
            <v>139</v>
          </cell>
          <cell r="L16">
            <v>201.43884892086331</v>
          </cell>
          <cell r="M16">
            <v>425000</v>
          </cell>
          <cell r="N16">
            <v>5565000</v>
          </cell>
          <cell r="O16">
            <v>7.637017070979335E-2</v>
          </cell>
          <cell r="P16">
            <v>127000</v>
          </cell>
          <cell r="Q16">
            <v>3112000</v>
          </cell>
          <cell r="R16">
            <v>4.0809768637532134E-2</v>
          </cell>
          <cell r="S16">
            <v>521000</v>
          </cell>
          <cell r="T16">
            <v>1805000</v>
          </cell>
          <cell r="U16">
            <v>0.28864265927977839</v>
          </cell>
          <cell r="V16">
            <v>3239000</v>
          </cell>
          <cell r="W16">
            <v>10362000</v>
          </cell>
          <cell r="X16">
            <v>0.31258444315769157</v>
          </cell>
          <cell r="Y16">
            <v>2326000</v>
          </cell>
          <cell r="Z16">
            <v>10362000</v>
          </cell>
          <cell r="AA16">
            <v>0.22447403976066396</v>
          </cell>
          <cell r="AB16">
            <v>260000</v>
          </cell>
          <cell r="AC16">
            <v>10362000</v>
          </cell>
          <cell r="AD16">
            <v>2.5091681142636556E-2</v>
          </cell>
          <cell r="AE16">
            <v>3598000</v>
          </cell>
          <cell r="AF16">
            <v>10362000</v>
          </cell>
          <cell r="AG16">
            <v>0.34723026442771665</v>
          </cell>
          <cell r="AH16">
            <v>902000</v>
          </cell>
          <cell r="AI16">
            <v>10362000</v>
          </cell>
          <cell r="AJ16">
            <v>8.7048832271762203E-2</v>
          </cell>
          <cell r="AK16">
            <v>37000</v>
          </cell>
          <cell r="AL16">
            <v>10362000</v>
          </cell>
          <cell r="AM16">
            <v>3.5707392395290484E-3</v>
          </cell>
          <cell r="AN16">
            <v>8869000</v>
          </cell>
          <cell r="AO16">
            <v>3232</v>
          </cell>
          <cell r="AP16">
            <v>2744.121287128713</v>
          </cell>
          <cell r="AQ16">
            <v>2914000</v>
          </cell>
          <cell r="AR16">
            <v>9276000</v>
          </cell>
          <cell r="AS16">
            <v>0.31414402759810262</v>
          </cell>
          <cell r="AT16">
            <v>826000</v>
          </cell>
          <cell r="AU16">
            <v>9276000</v>
          </cell>
          <cell r="AV16">
            <v>8.9047003018542473E-2</v>
          </cell>
          <cell r="AW16">
            <v>295000</v>
          </cell>
          <cell r="AX16">
            <v>9276000</v>
          </cell>
          <cell r="AY16">
            <v>3.1802501078050882E-2</v>
          </cell>
          <cell r="AZ16">
            <v>3697000</v>
          </cell>
          <cell r="BA16">
            <v>9276000</v>
          </cell>
          <cell r="BB16">
            <v>0.39855541181543769</v>
          </cell>
          <cell r="BC16">
            <v>1544000</v>
          </cell>
          <cell r="BD16">
            <v>9276000</v>
          </cell>
          <cell r="BE16">
            <v>0.16645105648986633</v>
          </cell>
          <cell r="BF16">
            <v>8650000</v>
          </cell>
          <cell r="BG16">
            <v>3232</v>
          </cell>
          <cell r="BH16">
            <v>2676.3613861386139</v>
          </cell>
          <cell r="BI16">
            <v>2106000</v>
          </cell>
          <cell r="BJ16">
            <v>1299000</v>
          </cell>
          <cell r="BK16">
            <v>1.6212471131639723</v>
          </cell>
          <cell r="BL16">
            <v>778000</v>
          </cell>
          <cell r="BM16">
            <v>7531000</v>
          </cell>
          <cell r="BN16">
            <v>0.1033063338202098</v>
          </cell>
          <cell r="BO16">
            <v>4282000</v>
          </cell>
          <cell r="BP16">
            <v>3504000</v>
          </cell>
          <cell r="BQ16">
            <v>1.2220319634703196</v>
          </cell>
          <cell r="BR16">
            <v>78</v>
          </cell>
          <cell r="BS16" t="str">
            <v>On Time</v>
          </cell>
          <cell r="BT16" t="str">
            <v>On Time</v>
          </cell>
          <cell r="BU16" t="str">
            <v>On Time</v>
          </cell>
          <cell r="BV16">
            <v>126000</v>
          </cell>
          <cell r="BW16">
            <v>3232</v>
          </cell>
          <cell r="BX16">
            <v>38.985148514851488</v>
          </cell>
          <cell r="BY16">
            <v>5594</v>
          </cell>
          <cell r="BZ16">
            <v>3232</v>
          </cell>
          <cell r="CA16">
            <v>1.7308168316831682</v>
          </cell>
          <cell r="CB16">
            <v>44000</v>
          </cell>
          <cell r="CC16">
            <v>628</v>
          </cell>
          <cell r="CD16">
            <v>70.063694267515928</v>
          </cell>
          <cell r="CE16">
            <v>52000</v>
          </cell>
          <cell r="CF16">
            <v>628</v>
          </cell>
          <cell r="CG16">
            <v>82.802547770700642</v>
          </cell>
          <cell r="CH16">
            <v>841500</v>
          </cell>
          <cell r="CI16">
            <v>3232</v>
          </cell>
          <cell r="CJ16">
            <v>260.36509900990097</v>
          </cell>
          <cell r="CK16">
            <v>3160000</v>
          </cell>
          <cell r="CL16">
            <v>3232</v>
          </cell>
          <cell r="CM16">
            <v>977.7227722772277</v>
          </cell>
          <cell r="CN16">
            <v>529.89230769230801</v>
          </cell>
          <cell r="CO16">
            <v>439</v>
          </cell>
          <cell r="CP16">
            <v>262.21593587930198</v>
          </cell>
          <cell r="CQ16">
            <v>394.701632325395</v>
          </cell>
          <cell r="CR16">
            <v>31</v>
          </cell>
          <cell r="CS16">
            <v>309</v>
          </cell>
          <cell r="CT16">
            <v>31</v>
          </cell>
          <cell r="CU16">
            <v>9.9677419354838701</v>
          </cell>
          <cell r="CV16">
            <v>4</v>
          </cell>
          <cell r="CW16">
            <v>0</v>
          </cell>
          <cell r="CX16">
            <v>0</v>
          </cell>
          <cell r="CY16" t="str">
            <v>N/A</v>
          </cell>
          <cell r="CZ16">
            <v>153000</v>
          </cell>
          <cell r="DA16">
            <v>3232</v>
          </cell>
          <cell r="DB16">
            <v>47.339108910891092</v>
          </cell>
          <cell r="DC16">
            <v>268000</v>
          </cell>
          <cell r="DD16">
            <v>3232</v>
          </cell>
          <cell r="DE16">
            <v>82.920792079207928</v>
          </cell>
          <cell r="DF16">
            <v>634000</v>
          </cell>
          <cell r="DG16">
            <v>3232</v>
          </cell>
          <cell r="DH16">
            <v>196.16336633663366</v>
          </cell>
          <cell r="DI16">
            <v>5340.1</v>
          </cell>
          <cell r="DJ16">
            <v>0.60523211175820668</v>
          </cell>
          <cell r="DK16">
            <v>-5.5978207513520672E-3</v>
          </cell>
          <cell r="DL16">
            <v>1.42</v>
          </cell>
          <cell r="DM16">
            <v>1.44</v>
          </cell>
        </row>
        <row r="17">
          <cell r="B17" t="str">
            <v>Narrandera Shire Council</v>
          </cell>
          <cell r="C17">
            <v>10</v>
          </cell>
          <cell r="D17">
            <v>706000</v>
          </cell>
          <cell r="E17">
            <v>2318</v>
          </cell>
          <cell r="F17">
            <v>304.57290767903368</v>
          </cell>
          <cell r="G17">
            <v>1969000</v>
          </cell>
          <cell r="H17">
            <v>800</v>
          </cell>
          <cell r="I17">
            <v>2461.25</v>
          </cell>
          <cell r="J17">
            <v>198000</v>
          </cell>
          <cell r="K17">
            <v>363</v>
          </cell>
          <cell r="L17">
            <v>545.4545454545455</v>
          </cell>
          <cell r="M17">
            <v>288000</v>
          </cell>
          <cell r="N17">
            <v>5909000</v>
          </cell>
          <cell r="O17">
            <v>4.8739211372482653E-2</v>
          </cell>
          <cell r="P17">
            <v>172000</v>
          </cell>
          <cell r="Q17">
            <v>4191000</v>
          </cell>
          <cell r="R17">
            <v>4.1040324504891437E-2</v>
          </cell>
          <cell r="S17">
            <v>-105000</v>
          </cell>
          <cell r="T17">
            <v>1651000</v>
          </cell>
          <cell r="U17">
            <v>-6.3597819503331321E-2</v>
          </cell>
          <cell r="V17">
            <v>4363000</v>
          </cell>
          <cell r="W17">
            <v>12435000</v>
          </cell>
          <cell r="X17">
            <v>0.35086449537595499</v>
          </cell>
          <cell r="Y17">
            <v>1546000</v>
          </cell>
          <cell r="Z17">
            <v>12435000</v>
          </cell>
          <cell r="AA17">
            <v>0.1243264977885002</v>
          </cell>
          <cell r="AB17">
            <v>616000</v>
          </cell>
          <cell r="AC17">
            <v>12435000</v>
          </cell>
          <cell r="AD17">
            <v>4.953759549658223E-2</v>
          </cell>
          <cell r="AE17">
            <v>4491000</v>
          </cell>
          <cell r="AF17">
            <v>12435000</v>
          </cell>
          <cell r="AG17">
            <v>0.36115802171290712</v>
          </cell>
          <cell r="AH17">
            <v>1053000</v>
          </cell>
          <cell r="AI17">
            <v>12435000</v>
          </cell>
          <cell r="AJ17">
            <v>8.4680337756332935E-2</v>
          </cell>
          <cell r="AK17">
            <v>366000</v>
          </cell>
          <cell r="AL17">
            <v>12435000</v>
          </cell>
          <cell r="AM17">
            <v>2.9433051869722556E-2</v>
          </cell>
          <cell r="AN17">
            <v>9072000</v>
          </cell>
          <cell r="AO17">
            <v>6706</v>
          </cell>
          <cell r="AP17">
            <v>1352.8183716075157</v>
          </cell>
          <cell r="AQ17">
            <v>4119000</v>
          </cell>
          <cell r="AR17">
            <v>10091000</v>
          </cell>
          <cell r="AS17">
            <v>0.40818551184223567</v>
          </cell>
          <cell r="AT17">
            <v>3180000</v>
          </cell>
          <cell r="AU17">
            <v>10091000</v>
          </cell>
          <cell r="AV17">
            <v>0.31513229610544047</v>
          </cell>
          <cell r="AW17">
            <v>6000</v>
          </cell>
          <cell r="AX17">
            <v>10091000</v>
          </cell>
          <cell r="AY17">
            <v>5.9458923793479336E-4</v>
          </cell>
          <cell r="AZ17">
            <v>1789000</v>
          </cell>
          <cell r="BA17">
            <v>10091000</v>
          </cell>
          <cell r="BB17">
            <v>0.1772866911108909</v>
          </cell>
          <cell r="BC17">
            <v>997000</v>
          </cell>
          <cell r="BD17">
            <v>10091000</v>
          </cell>
          <cell r="BE17">
            <v>9.8800911703498168E-2</v>
          </cell>
          <cell r="BF17">
            <v>8877000</v>
          </cell>
          <cell r="BG17">
            <v>6706</v>
          </cell>
          <cell r="BH17">
            <v>1323.7399343871159</v>
          </cell>
          <cell r="BI17">
            <v>4393000</v>
          </cell>
          <cell r="BJ17">
            <v>1030000</v>
          </cell>
          <cell r="BK17">
            <v>4.2650485436893204</v>
          </cell>
          <cell r="BL17">
            <v>74000</v>
          </cell>
          <cell r="BM17">
            <v>9649000</v>
          </cell>
          <cell r="BN17">
            <v>7.6691885169447608E-3</v>
          </cell>
          <cell r="BO17">
            <v>2843000</v>
          </cell>
          <cell r="BP17">
            <v>1492000</v>
          </cell>
          <cell r="BQ17">
            <v>1.9054959785522789</v>
          </cell>
          <cell r="BR17">
            <v>95.25</v>
          </cell>
          <cell r="BS17" t="str">
            <v>On Time</v>
          </cell>
          <cell r="BT17" t="str">
            <v>On Time</v>
          </cell>
          <cell r="BU17" t="str">
            <v>On Time</v>
          </cell>
          <cell r="BV17">
            <v>224000</v>
          </cell>
          <cell r="BW17">
            <v>6706</v>
          </cell>
          <cell r="BX17">
            <v>33.40292275574113</v>
          </cell>
          <cell r="BY17">
            <v>46292</v>
          </cell>
          <cell r="BZ17">
            <v>6706</v>
          </cell>
          <cell r="CA17">
            <v>6.9030718759320013</v>
          </cell>
          <cell r="CB17">
            <v>258000</v>
          </cell>
          <cell r="CC17">
            <v>1892</v>
          </cell>
          <cell r="CD17">
            <v>136.36363636363637</v>
          </cell>
          <cell r="CE17">
            <v>135064</v>
          </cell>
          <cell r="CF17">
            <v>1965</v>
          </cell>
          <cell r="CG17">
            <v>68.734860050890589</v>
          </cell>
          <cell r="CH17">
            <v>83400</v>
          </cell>
          <cell r="CI17">
            <v>6706</v>
          </cell>
          <cell r="CJ17">
            <v>12.436623918878617</v>
          </cell>
          <cell r="CK17">
            <v>2247960</v>
          </cell>
          <cell r="CL17">
            <v>6706</v>
          </cell>
          <cell r="CM17">
            <v>335.21622427676709</v>
          </cell>
          <cell r="CN17">
            <v>559.92497074904702</v>
          </cell>
          <cell r="CO17">
            <v>314.93109031315402</v>
          </cell>
          <cell r="CP17">
            <v>395.13596934702798</v>
          </cell>
          <cell r="CQ17">
            <v>332.453079317174</v>
          </cell>
          <cell r="CR17">
            <v>122</v>
          </cell>
          <cell r="CS17">
            <v>1228</v>
          </cell>
          <cell r="CT17">
            <v>122</v>
          </cell>
          <cell r="CU17">
            <v>10.065573770491802</v>
          </cell>
          <cell r="CV17">
            <v>6</v>
          </cell>
          <cell r="CW17">
            <v>4000</v>
          </cell>
          <cell r="CX17">
            <v>141000</v>
          </cell>
          <cell r="CY17">
            <v>2.8368794326241134E-2</v>
          </cell>
          <cell r="CZ17">
            <v>233000</v>
          </cell>
          <cell r="DA17">
            <v>6706</v>
          </cell>
          <cell r="DB17">
            <v>34.745004473605725</v>
          </cell>
          <cell r="DC17">
            <v>667000</v>
          </cell>
          <cell r="DD17">
            <v>6706</v>
          </cell>
          <cell r="DE17">
            <v>99.463167312854154</v>
          </cell>
          <cell r="DF17">
            <v>1530000</v>
          </cell>
          <cell r="DG17">
            <v>6706</v>
          </cell>
          <cell r="DH17">
            <v>228.1538920369818</v>
          </cell>
          <cell r="DI17">
            <v>4116.6000000000004</v>
          </cell>
          <cell r="DJ17">
            <v>1.6290142350483408</v>
          </cell>
          <cell r="DK17">
            <v>-1.0935216064306696E-2</v>
          </cell>
          <cell r="DL17">
            <v>7.79</v>
          </cell>
          <cell r="DM17">
            <v>2.15</v>
          </cell>
        </row>
        <row r="18">
          <cell r="B18" t="str">
            <v>Walcha Council</v>
          </cell>
          <cell r="C18">
            <v>9</v>
          </cell>
          <cell r="D18">
            <v>211000</v>
          </cell>
          <cell r="E18">
            <v>789</v>
          </cell>
          <cell r="F18">
            <v>267.42712294043093</v>
          </cell>
          <cell r="G18">
            <v>1736000</v>
          </cell>
          <cell r="H18">
            <v>952</v>
          </cell>
          <cell r="I18">
            <v>1823.5294117647059</v>
          </cell>
          <cell r="J18">
            <v>62000</v>
          </cell>
          <cell r="K18">
            <v>133</v>
          </cell>
          <cell r="L18">
            <v>466.16541353383457</v>
          </cell>
          <cell r="M18">
            <v>196000</v>
          </cell>
          <cell r="N18">
            <v>4609000</v>
          </cell>
          <cell r="O18">
            <v>4.2525493599479276E-2</v>
          </cell>
          <cell r="P18">
            <v>82000</v>
          </cell>
          <cell r="Q18">
            <v>2458000</v>
          </cell>
          <cell r="R18">
            <v>3.3360455655004069E-2</v>
          </cell>
          <cell r="S18">
            <v>379000</v>
          </cell>
          <cell r="T18">
            <v>1690000</v>
          </cell>
          <cell r="U18">
            <v>0.2242603550295858</v>
          </cell>
          <cell r="V18">
            <v>2540000</v>
          </cell>
          <cell r="W18">
            <v>7794000</v>
          </cell>
          <cell r="X18">
            <v>0.32589171157300489</v>
          </cell>
          <cell r="Y18">
            <v>2069000</v>
          </cell>
          <cell r="Z18">
            <v>7794000</v>
          </cell>
          <cell r="AA18">
            <v>0.26546061072619964</v>
          </cell>
          <cell r="AB18">
            <v>113000</v>
          </cell>
          <cell r="AC18">
            <v>7794000</v>
          </cell>
          <cell r="AD18">
            <v>1.4498332050295099E-2</v>
          </cell>
          <cell r="AE18">
            <v>2266000</v>
          </cell>
          <cell r="AF18">
            <v>7794000</v>
          </cell>
          <cell r="AG18">
            <v>0.29073646394662561</v>
          </cell>
          <cell r="AH18">
            <v>707000</v>
          </cell>
          <cell r="AI18">
            <v>7794000</v>
          </cell>
          <cell r="AJ18">
            <v>9.0710803181934821E-2</v>
          </cell>
          <cell r="AK18">
            <v>99000</v>
          </cell>
          <cell r="AL18">
            <v>7794000</v>
          </cell>
          <cell r="AM18">
            <v>1.2702078521939953E-2</v>
          </cell>
          <cell r="AN18">
            <v>6525000</v>
          </cell>
          <cell r="AO18">
            <v>3295</v>
          </cell>
          <cell r="AP18">
            <v>1980.2731411229136</v>
          </cell>
          <cell r="AQ18">
            <v>2801000</v>
          </cell>
          <cell r="AR18">
            <v>7936000</v>
          </cell>
          <cell r="AS18">
            <v>0.35294858870967744</v>
          </cell>
          <cell r="AT18">
            <v>2134000</v>
          </cell>
          <cell r="AU18">
            <v>7936000</v>
          </cell>
          <cell r="AV18">
            <v>0.26890120967741937</v>
          </cell>
          <cell r="AW18">
            <v>13000</v>
          </cell>
          <cell r="AX18">
            <v>7936000</v>
          </cell>
          <cell r="AY18">
            <v>1.6381048387096775E-3</v>
          </cell>
          <cell r="AZ18">
            <v>2354000</v>
          </cell>
          <cell r="BA18">
            <v>7936000</v>
          </cell>
          <cell r="BB18">
            <v>0.29662298387096775</v>
          </cell>
          <cell r="BC18">
            <v>634000</v>
          </cell>
          <cell r="BD18">
            <v>7936000</v>
          </cell>
          <cell r="BE18">
            <v>7.9889112903225812E-2</v>
          </cell>
          <cell r="BF18">
            <v>7242000</v>
          </cell>
          <cell r="BG18">
            <v>3295</v>
          </cell>
          <cell r="BH18">
            <v>2197.8755690440062</v>
          </cell>
          <cell r="BI18">
            <v>3034000</v>
          </cell>
          <cell r="BJ18">
            <v>723000</v>
          </cell>
          <cell r="BK18">
            <v>4.1964038727524207</v>
          </cell>
          <cell r="BL18">
            <v>79000</v>
          </cell>
          <cell r="BM18">
            <v>5941000</v>
          </cell>
          <cell r="BN18">
            <v>1.3297424675980475E-2</v>
          </cell>
          <cell r="BO18">
            <v>1155000</v>
          </cell>
          <cell r="BP18">
            <v>2144000</v>
          </cell>
          <cell r="BQ18">
            <v>0.5387126865671642</v>
          </cell>
          <cell r="BR18">
            <v>53.5</v>
          </cell>
          <cell r="BS18" t="str">
            <v>On Time</v>
          </cell>
          <cell r="BT18" t="str">
            <v>&lt;=16</v>
          </cell>
          <cell r="BU18" t="str">
            <v>On Time</v>
          </cell>
          <cell r="BV18">
            <v>81000</v>
          </cell>
          <cell r="BW18">
            <v>3295</v>
          </cell>
          <cell r="BX18">
            <v>24.582701062215477</v>
          </cell>
          <cell r="BY18">
            <v>22041</v>
          </cell>
          <cell r="BZ18">
            <v>3295</v>
          </cell>
          <cell r="CA18">
            <v>6.6892261001517452</v>
          </cell>
          <cell r="CB18">
            <v>115000</v>
          </cell>
          <cell r="CC18">
            <v>793</v>
          </cell>
          <cell r="CD18">
            <v>145.01891551071878</v>
          </cell>
          <cell r="CE18">
            <v>56913</v>
          </cell>
          <cell r="CF18">
            <v>662</v>
          </cell>
          <cell r="CG18">
            <v>85.971299093655588</v>
          </cell>
          <cell r="CH18">
            <v>383400</v>
          </cell>
          <cell r="CI18">
            <v>3295</v>
          </cell>
          <cell r="CJ18">
            <v>116.35811836115326</v>
          </cell>
          <cell r="CK18">
            <v>1300000</v>
          </cell>
          <cell r="CL18">
            <v>3295</v>
          </cell>
          <cell r="CM18">
            <v>394.53717754172987</v>
          </cell>
          <cell r="CN18">
            <v>479.63546354635503</v>
          </cell>
          <cell r="CO18">
            <v>492.63462931659001</v>
          </cell>
          <cell r="CP18">
            <v>245.717170401251</v>
          </cell>
          <cell r="CQ18">
            <v>389.76156532430002</v>
          </cell>
          <cell r="CR18">
            <v>66</v>
          </cell>
          <cell r="CS18">
            <v>673</v>
          </cell>
          <cell r="CT18">
            <v>66</v>
          </cell>
          <cell r="CU18">
            <v>10.196969696969697</v>
          </cell>
          <cell r="CV18">
            <v>9.5</v>
          </cell>
          <cell r="CW18">
            <v>0</v>
          </cell>
          <cell r="CX18">
            <v>52000</v>
          </cell>
          <cell r="CY18">
            <v>0</v>
          </cell>
          <cell r="CZ18">
            <v>162000</v>
          </cell>
          <cell r="DA18">
            <v>3295</v>
          </cell>
          <cell r="DB18">
            <v>49.165402124430955</v>
          </cell>
          <cell r="DC18">
            <v>203000</v>
          </cell>
          <cell r="DD18">
            <v>3295</v>
          </cell>
          <cell r="DE18">
            <v>61.608497723823973</v>
          </cell>
          <cell r="DF18">
            <v>299000</v>
          </cell>
          <cell r="DG18">
            <v>3295</v>
          </cell>
          <cell r="DH18">
            <v>90.743550834597869</v>
          </cell>
          <cell r="DI18">
            <v>6266.9</v>
          </cell>
          <cell r="DJ18">
            <v>0.52577829548899779</v>
          </cell>
          <cell r="DK18">
            <v>-4.7273539553814858E-3</v>
          </cell>
          <cell r="DL18">
            <v>5.39</v>
          </cell>
          <cell r="DM18">
            <v>2.31</v>
          </cell>
        </row>
        <row r="19">
          <cell r="B19" t="str">
            <v>Berrigan Shire Council</v>
          </cell>
          <cell r="C19">
            <v>10</v>
          </cell>
          <cell r="D19">
            <v>1143000</v>
          </cell>
          <cell r="E19">
            <v>2919</v>
          </cell>
          <cell r="F19">
            <v>391.57245632065775</v>
          </cell>
          <cell r="G19">
            <v>1223000</v>
          </cell>
          <cell r="H19">
            <v>854</v>
          </cell>
          <cell r="I19">
            <v>1432.0843091334896</v>
          </cell>
          <cell r="J19">
            <v>328000</v>
          </cell>
          <cell r="K19">
            <v>361</v>
          </cell>
          <cell r="L19">
            <v>908.58725761772848</v>
          </cell>
          <cell r="M19">
            <v>594000</v>
          </cell>
          <cell r="N19">
            <v>6794000</v>
          </cell>
          <cell r="O19">
            <v>8.7430085369443633E-2</v>
          </cell>
          <cell r="P19">
            <v>204000</v>
          </cell>
          <cell r="Q19">
            <v>5113000</v>
          </cell>
          <cell r="R19">
            <v>3.9898298454918837E-2</v>
          </cell>
          <cell r="S19">
            <v>149000</v>
          </cell>
          <cell r="T19">
            <v>1328000</v>
          </cell>
          <cell r="U19">
            <v>0.11219879518072289</v>
          </cell>
          <cell r="V19">
            <v>5317000</v>
          </cell>
          <cell r="W19">
            <v>13143000</v>
          </cell>
          <cell r="X19">
            <v>0.40454995054401582</v>
          </cell>
          <cell r="Y19">
            <v>1477000</v>
          </cell>
          <cell r="Z19">
            <v>13143000</v>
          </cell>
          <cell r="AA19">
            <v>0.11237921326942099</v>
          </cell>
          <cell r="AB19">
            <v>422000</v>
          </cell>
          <cell r="AC19">
            <v>13143000</v>
          </cell>
          <cell r="AD19">
            <v>3.2108346648405998E-2</v>
          </cell>
          <cell r="AE19">
            <v>4013000</v>
          </cell>
          <cell r="AF19">
            <v>13143000</v>
          </cell>
          <cell r="AG19">
            <v>0.30533363767785132</v>
          </cell>
          <cell r="AH19">
            <v>1319000</v>
          </cell>
          <cell r="AI19">
            <v>13143000</v>
          </cell>
          <cell r="AJ19">
            <v>0.10035760480864338</v>
          </cell>
          <cell r="AK19">
            <v>595000</v>
          </cell>
          <cell r="AL19">
            <v>13143000</v>
          </cell>
          <cell r="AM19">
            <v>4.527124705166248E-2</v>
          </cell>
          <cell r="AN19">
            <v>8629000</v>
          </cell>
          <cell r="AO19">
            <v>8178</v>
          </cell>
          <cell r="AP19">
            <v>1055.1479579359257</v>
          </cell>
          <cell r="AQ19">
            <v>3982000</v>
          </cell>
          <cell r="AR19">
            <v>10397000</v>
          </cell>
          <cell r="AS19">
            <v>0.382995094738867</v>
          </cell>
          <cell r="AT19">
            <v>2376000</v>
          </cell>
          <cell r="AU19">
            <v>10397000</v>
          </cell>
          <cell r="AV19">
            <v>0.22852745984418582</v>
          </cell>
          <cell r="AW19">
            <v>213000</v>
          </cell>
          <cell r="AX19">
            <v>10397000</v>
          </cell>
          <cell r="AY19">
            <v>2.0486678849668174E-2</v>
          </cell>
          <cell r="AZ19">
            <v>2513000</v>
          </cell>
          <cell r="BA19">
            <v>10397000</v>
          </cell>
          <cell r="BB19">
            <v>0.24170433778974704</v>
          </cell>
          <cell r="BC19">
            <v>1313000</v>
          </cell>
          <cell r="BD19">
            <v>10397000</v>
          </cell>
          <cell r="BE19">
            <v>0.12628642877753199</v>
          </cell>
          <cell r="BF19">
            <v>7779000</v>
          </cell>
          <cell r="BG19">
            <v>8178</v>
          </cell>
          <cell r="BH19">
            <v>951.21056493030085</v>
          </cell>
          <cell r="BI19">
            <v>4562000</v>
          </cell>
          <cell r="BJ19">
            <v>1896000</v>
          </cell>
          <cell r="BK19">
            <v>2.4061181434599157</v>
          </cell>
          <cell r="BL19">
            <v>889000</v>
          </cell>
          <cell r="BM19">
            <v>10462000</v>
          </cell>
          <cell r="BN19">
            <v>8.4974192315044925E-2</v>
          </cell>
          <cell r="BO19">
            <v>3347000</v>
          </cell>
          <cell r="BP19">
            <v>1631000</v>
          </cell>
          <cell r="BQ19">
            <v>2.0521152667075415</v>
          </cell>
          <cell r="BR19">
            <v>84</v>
          </cell>
          <cell r="BS19" t="str">
            <v>On Time</v>
          </cell>
          <cell r="BT19" t="str">
            <v>On Time</v>
          </cell>
          <cell r="BU19" t="str">
            <v>On Time</v>
          </cell>
          <cell r="BV19">
            <v>284000</v>
          </cell>
          <cell r="BW19">
            <v>8178</v>
          </cell>
          <cell r="BX19">
            <v>34.727317192467595</v>
          </cell>
          <cell r="BY19">
            <v>40487</v>
          </cell>
          <cell r="BZ19">
            <v>8178</v>
          </cell>
          <cell r="CA19">
            <v>4.9507214477867452</v>
          </cell>
          <cell r="CB19">
            <v>351000</v>
          </cell>
          <cell r="CC19">
            <v>2470</v>
          </cell>
          <cell r="CD19">
            <v>142.10526315789474</v>
          </cell>
          <cell r="CE19">
            <v>429000</v>
          </cell>
          <cell r="CF19">
            <v>2470</v>
          </cell>
          <cell r="CG19">
            <v>173.68421052631578</v>
          </cell>
          <cell r="CH19">
            <v>278000</v>
          </cell>
          <cell r="CI19">
            <v>8178</v>
          </cell>
          <cell r="CJ19">
            <v>33.993641477133771</v>
          </cell>
          <cell r="CK19">
            <v>1830400</v>
          </cell>
          <cell r="CL19">
            <v>8178</v>
          </cell>
          <cell r="CM19">
            <v>223.82000489117144</v>
          </cell>
          <cell r="CN19">
            <v>545.110645690257</v>
          </cell>
          <cell r="CO19">
            <v>480.21235521235502</v>
          </cell>
          <cell r="CP19">
            <v>311.458186841822</v>
          </cell>
          <cell r="CQ19">
            <v>338.38458143298499</v>
          </cell>
          <cell r="CR19">
            <v>168</v>
          </cell>
          <cell r="CS19">
            <v>1777</v>
          </cell>
          <cell r="CT19">
            <v>168</v>
          </cell>
          <cell r="CU19">
            <v>10.577380952380953</v>
          </cell>
          <cell r="CV19">
            <v>3</v>
          </cell>
          <cell r="CW19">
            <v>3000</v>
          </cell>
          <cell r="CX19">
            <v>234000</v>
          </cell>
          <cell r="CY19">
            <v>1.282051282051282E-2</v>
          </cell>
          <cell r="CZ19">
            <v>231000</v>
          </cell>
          <cell r="DA19">
            <v>8178</v>
          </cell>
          <cell r="DB19">
            <v>28.246515040352165</v>
          </cell>
          <cell r="DC19">
            <v>448000</v>
          </cell>
          <cell r="DD19">
            <v>8178</v>
          </cell>
          <cell r="DE19">
            <v>54.781120078258745</v>
          </cell>
          <cell r="DF19">
            <v>316000</v>
          </cell>
          <cell r="DG19">
            <v>8178</v>
          </cell>
          <cell r="DH19">
            <v>38.640254340914652</v>
          </cell>
          <cell r="DI19">
            <v>2066.6</v>
          </cell>
          <cell r="DJ19">
            <v>3.9572244265944065</v>
          </cell>
          <cell r="DK19">
            <v>-3.2932092294016835E-3</v>
          </cell>
          <cell r="DL19">
            <v>0.83</v>
          </cell>
          <cell r="DM19">
            <v>2.2799999999999998</v>
          </cell>
        </row>
        <row r="20">
          <cell r="B20" t="str">
            <v>Cobar Shire Council</v>
          </cell>
          <cell r="C20">
            <v>10</v>
          </cell>
          <cell r="D20">
            <v>491000</v>
          </cell>
          <cell r="E20">
            <v>1905</v>
          </cell>
          <cell r="F20">
            <v>257.74278215223097</v>
          </cell>
          <cell r="G20">
            <v>485000</v>
          </cell>
          <cell r="H20">
            <v>321</v>
          </cell>
          <cell r="I20">
            <v>1510.9034267912773</v>
          </cell>
          <cell r="J20">
            <v>205000</v>
          </cell>
          <cell r="K20">
            <v>283</v>
          </cell>
          <cell r="L20">
            <v>724.38162544169609</v>
          </cell>
          <cell r="M20">
            <v>751000</v>
          </cell>
          <cell r="N20">
            <v>6970000</v>
          </cell>
          <cell r="O20">
            <v>0.10774748923959827</v>
          </cell>
          <cell r="P20">
            <v>105000</v>
          </cell>
          <cell r="Q20">
            <v>3144000</v>
          </cell>
          <cell r="R20">
            <v>3.3396946564885496E-2</v>
          </cell>
          <cell r="S20">
            <v>765000</v>
          </cell>
          <cell r="T20">
            <v>2956000</v>
          </cell>
          <cell r="U20">
            <v>0.25879566982408658</v>
          </cell>
          <cell r="V20">
            <v>3249000</v>
          </cell>
          <cell r="W20">
            <v>14391000</v>
          </cell>
          <cell r="X20">
            <v>0.22576610381488429</v>
          </cell>
          <cell r="Y20">
            <v>3721000</v>
          </cell>
          <cell r="Z20">
            <v>14391000</v>
          </cell>
          <cell r="AA20">
            <v>0.25856438051560005</v>
          </cell>
          <cell r="AB20">
            <v>275000</v>
          </cell>
          <cell r="AC20">
            <v>14391000</v>
          </cell>
          <cell r="AD20">
            <v>1.9109165450628865E-2</v>
          </cell>
          <cell r="AE20">
            <v>5356000</v>
          </cell>
          <cell r="AF20">
            <v>14391000</v>
          </cell>
          <cell r="AG20">
            <v>0.37217705510388438</v>
          </cell>
          <cell r="AH20">
            <v>1436000</v>
          </cell>
          <cell r="AI20">
            <v>14391000</v>
          </cell>
          <cell r="AJ20">
            <v>9.9784587589465637E-2</v>
          </cell>
          <cell r="AK20">
            <v>354000</v>
          </cell>
          <cell r="AL20">
            <v>14391000</v>
          </cell>
          <cell r="AM20">
            <v>2.4598707525536796E-2</v>
          </cell>
          <cell r="AN20">
            <v>11557000</v>
          </cell>
          <cell r="AO20">
            <v>5152</v>
          </cell>
          <cell r="AP20">
            <v>2243.2065217391305</v>
          </cell>
          <cell r="AQ20">
            <v>6308000</v>
          </cell>
          <cell r="AR20">
            <v>16164000</v>
          </cell>
          <cell r="AS20">
            <v>0.39024993813412523</v>
          </cell>
          <cell r="AT20">
            <v>4052000</v>
          </cell>
          <cell r="AU20">
            <v>16164000</v>
          </cell>
          <cell r="AV20">
            <v>0.25068052462261814</v>
          </cell>
          <cell r="AW20">
            <v>0</v>
          </cell>
          <cell r="AX20">
            <v>16164000</v>
          </cell>
          <cell r="AY20">
            <v>0</v>
          </cell>
          <cell r="AZ20">
            <v>4314000</v>
          </cell>
          <cell r="BA20">
            <v>16164000</v>
          </cell>
          <cell r="BB20">
            <v>0.26688938381588717</v>
          </cell>
          <cell r="BC20">
            <v>1490000</v>
          </cell>
          <cell r="BD20">
            <v>16164000</v>
          </cell>
          <cell r="BE20">
            <v>9.218015342736946E-2</v>
          </cell>
          <cell r="BF20">
            <v>14173000</v>
          </cell>
          <cell r="BG20">
            <v>5152</v>
          </cell>
          <cell r="BH20">
            <v>2750.9704968944097</v>
          </cell>
          <cell r="BI20">
            <v>3087000</v>
          </cell>
          <cell r="BJ20">
            <v>1849000</v>
          </cell>
          <cell r="BK20">
            <v>1.6695511087074093</v>
          </cell>
          <cell r="BL20">
            <v>0</v>
          </cell>
          <cell r="BM20">
            <v>10779000</v>
          </cell>
          <cell r="BN20">
            <v>0</v>
          </cell>
          <cell r="BO20">
            <v>2878000</v>
          </cell>
          <cell r="BP20">
            <v>3817000</v>
          </cell>
          <cell r="BQ20">
            <v>0.75399528425465023</v>
          </cell>
          <cell r="BR20">
            <v>154</v>
          </cell>
          <cell r="BS20" t="str">
            <v>Not Received</v>
          </cell>
          <cell r="BT20" t="str">
            <v>Not Received</v>
          </cell>
          <cell r="BU20" t="str">
            <v>&lt;=16</v>
          </cell>
          <cell r="BV20">
            <v>233000</v>
          </cell>
          <cell r="BW20">
            <v>5152</v>
          </cell>
          <cell r="BX20">
            <v>45.225155279503106</v>
          </cell>
          <cell r="BY20">
            <v>32359</v>
          </cell>
          <cell r="BZ20">
            <v>5152</v>
          </cell>
          <cell r="CA20">
            <v>6.2808618012422359</v>
          </cell>
          <cell r="CB20">
            <v>294000</v>
          </cell>
          <cell r="CC20">
            <v>1894</v>
          </cell>
          <cell r="CD20">
            <v>155.22703273495247</v>
          </cell>
          <cell r="CE20">
            <v>130638</v>
          </cell>
          <cell r="CF20">
            <v>1894</v>
          </cell>
          <cell r="CG20">
            <v>68.974656810982054</v>
          </cell>
          <cell r="CH20">
            <v>0</v>
          </cell>
          <cell r="CI20">
            <v>5152</v>
          </cell>
          <cell r="CJ20" t="str">
            <v>N/A</v>
          </cell>
          <cell r="CK20">
            <v>1483920</v>
          </cell>
          <cell r="CL20">
            <v>5152</v>
          </cell>
          <cell r="CM20">
            <v>288.02795031055899</v>
          </cell>
          <cell r="CN20">
            <v>616</v>
          </cell>
          <cell r="CO20">
            <v>555</v>
          </cell>
          <cell r="CP20">
            <v>187</v>
          </cell>
          <cell r="CQ20">
            <v>270</v>
          </cell>
          <cell r="CR20">
            <v>35</v>
          </cell>
          <cell r="CS20">
            <v>381</v>
          </cell>
          <cell r="CT20">
            <v>35</v>
          </cell>
          <cell r="CU20">
            <v>10.885714285714286</v>
          </cell>
          <cell r="CV20">
            <v>8</v>
          </cell>
          <cell r="CW20">
            <v>0</v>
          </cell>
          <cell r="CX20">
            <v>126000</v>
          </cell>
          <cell r="CY20">
            <v>0</v>
          </cell>
          <cell r="CZ20">
            <v>199000</v>
          </cell>
          <cell r="DA20">
            <v>5152</v>
          </cell>
          <cell r="DB20">
            <v>38.62577639751553</v>
          </cell>
          <cell r="DC20">
            <v>439000</v>
          </cell>
          <cell r="DD20">
            <v>5152</v>
          </cell>
          <cell r="DE20">
            <v>85.209627329192543</v>
          </cell>
          <cell r="DF20">
            <v>2026000</v>
          </cell>
          <cell r="DG20">
            <v>5152</v>
          </cell>
          <cell r="DH20">
            <v>393.24534161490681</v>
          </cell>
          <cell r="DI20">
            <v>45606.2</v>
          </cell>
          <cell r="DJ20">
            <v>0.11296709657897391</v>
          </cell>
          <cell r="DK20">
            <v>-1.9427657371754115E-2</v>
          </cell>
          <cell r="DL20">
            <v>9.3800000000000008</v>
          </cell>
          <cell r="DM20">
            <v>1.8</v>
          </cell>
        </row>
        <row r="21">
          <cell r="B21" t="str">
            <v>Bathurst City Council</v>
          </cell>
          <cell r="C21">
            <v>4</v>
          </cell>
          <cell r="D21">
            <v>7031000</v>
          </cell>
          <cell r="E21">
            <v>11294</v>
          </cell>
          <cell r="F21">
            <v>622.54294315565789</v>
          </cell>
          <cell r="G21">
            <v>351000</v>
          </cell>
          <cell r="H21">
            <v>236</v>
          </cell>
          <cell r="I21">
            <v>1487.2881355932204</v>
          </cell>
          <cell r="J21">
            <v>3131000</v>
          </cell>
          <cell r="K21">
            <v>921</v>
          </cell>
          <cell r="L21">
            <v>3399.5656894679696</v>
          </cell>
          <cell r="M21">
            <v>1878000</v>
          </cell>
          <cell r="N21">
            <v>29953000</v>
          </cell>
          <cell r="O21">
            <v>6.2698227222648811E-2</v>
          </cell>
          <cell r="P21">
            <v>939000</v>
          </cell>
          <cell r="Q21">
            <v>18709000</v>
          </cell>
          <cell r="R21">
            <v>5.0189748249505582E-2</v>
          </cell>
          <cell r="S21">
            <v>1590000</v>
          </cell>
          <cell r="T21">
            <v>8715000</v>
          </cell>
          <cell r="U21">
            <v>0.18244406196213425</v>
          </cell>
          <cell r="V21">
            <v>19648000</v>
          </cell>
          <cell r="W21">
            <v>45857000</v>
          </cell>
          <cell r="X21">
            <v>0.42846239396384411</v>
          </cell>
          <cell r="Y21">
            <v>10305000</v>
          </cell>
          <cell r="Z21">
            <v>45857000</v>
          </cell>
          <cell r="AA21">
            <v>0.22472032623154589</v>
          </cell>
          <cell r="AB21">
            <v>2211000</v>
          </cell>
          <cell r="AC21">
            <v>45857000</v>
          </cell>
          <cell r="AD21">
            <v>4.8215103473842599E-2</v>
          </cell>
          <cell r="AE21">
            <v>6607000</v>
          </cell>
          <cell r="AF21">
            <v>45857000</v>
          </cell>
          <cell r="AG21">
            <v>0.14407833046208868</v>
          </cell>
          <cell r="AH21">
            <v>5490000</v>
          </cell>
          <cell r="AI21">
            <v>45857000</v>
          </cell>
          <cell r="AJ21">
            <v>0.11971999912772315</v>
          </cell>
          <cell r="AK21">
            <v>1596000</v>
          </cell>
          <cell r="AL21">
            <v>45857000</v>
          </cell>
          <cell r="AM21">
            <v>3.4803846740955581E-2</v>
          </cell>
          <cell r="AN21">
            <v>28978000</v>
          </cell>
          <cell r="AO21">
            <v>30901</v>
          </cell>
          <cell r="AP21">
            <v>937.76900423934501</v>
          </cell>
          <cell r="AQ21">
            <v>14190000</v>
          </cell>
          <cell r="AR21">
            <v>38462000</v>
          </cell>
          <cell r="AS21">
            <v>0.36893557277312672</v>
          </cell>
          <cell r="AT21">
            <v>9323000</v>
          </cell>
          <cell r="AU21">
            <v>38462000</v>
          </cell>
          <cell r="AV21">
            <v>0.2423950912589049</v>
          </cell>
          <cell r="AW21">
            <v>674000</v>
          </cell>
          <cell r="AX21">
            <v>38462000</v>
          </cell>
          <cell r="AY21">
            <v>1.7523789714523424E-2</v>
          </cell>
          <cell r="AZ21">
            <v>9045000</v>
          </cell>
          <cell r="BA21">
            <v>38462000</v>
          </cell>
          <cell r="BB21">
            <v>0.23516717799386408</v>
          </cell>
          <cell r="BC21">
            <v>5230000</v>
          </cell>
          <cell r="BD21">
            <v>38462000</v>
          </cell>
          <cell r="BE21">
            <v>0.13597836825958087</v>
          </cell>
          <cell r="BF21">
            <v>27617000</v>
          </cell>
          <cell r="BG21">
            <v>30901</v>
          </cell>
          <cell r="BH21">
            <v>893.7251221643312</v>
          </cell>
          <cell r="BI21">
            <v>16105000</v>
          </cell>
          <cell r="BJ21">
            <v>7011000</v>
          </cell>
          <cell r="BK21">
            <v>2.2971045499928682</v>
          </cell>
          <cell r="BL21">
            <v>3053000</v>
          </cell>
          <cell r="BM21">
            <v>37694000</v>
          </cell>
          <cell r="BN21">
            <v>8.0994322703878602E-2</v>
          </cell>
          <cell r="BO21">
            <v>7288000</v>
          </cell>
          <cell r="BP21">
            <v>5615000</v>
          </cell>
          <cell r="BQ21">
            <v>1.2979519145146927</v>
          </cell>
          <cell r="BR21">
            <v>287</v>
          </cell>
          <cell r="BS21" t="str">
            <v>On Time</v>
          </cell>
          <cell r="BT21" t="str">
            <v>On Time</v>
          </cell>
          <cell r="BU21" t="str">
            <v>On Time</v>
          </cell>
          <cell r="BV21">
            <v>964000</v>
          </cell>
          <cell r="BW21">
            <v>30901</v>
          </cell>
          <cell r="BX21">
            <v>31.196401410957574</v>
          </cell>
          <cell r="BY21">
            <v>214027</v>
          </cell>
          <cell r="BZ21">
            <v>30901</v>
          </cell>
          <cell r="CA21">
            <v>6.9262159800653702</v>
          </cell>
          <cell r="CB21">
            <v>1229000</v>
          </cell>
          <cell r="CC21">
            <v>10755</v>
          </cell>
          <cell r="CD21">
            <v>114.27243142724315</v>
          </cell>
          <cell r="CE21">
            <v>1174000</v>
          </cell>
          <cell r="CF21">
            <v>11593</v>
          </cell>
          <cell r="CG21">
            <v>101.26800655568015</v>
          </cell>
          <cell r="CH21">
            <v>0</v>
          </cell>
          <cell r="CI21">
            <v>30901</v>
          </cell>
          <cell r="CJ21">
            <v>0</v>
          </cell>
          <cell r="CK21">
            <v>0</v>
          </cell>
          <cell r="CL21">
            <v>30901</v>
          </cell>
          <cell r="CM21">
            <v>0</v>
          </cell>
          <cell r="CN21">
            <v>390.53080782640598</v>
          </cell>
          <cell r="CO21">
            <v>462</v>
          </cell>
          <cell r="CP21">
            <v>314.70929619077799</v>
          </cell>
          <cell r="CQ21">
            <v>377</v>
          </cell>
          <cell r="CR21">
            <v>927</v>
          </cell>
          <cell r="CS21">
            <v>11159</v>
          </cell>
          <cell r="CT21">
            <v>927</v>
          </cell>
          <cell r="CU21">
            <v>12.037756202804747</v>
          </cell>
          <cell r="CV21">
            <v>10</v>
          </cell>
          <cell r="CW21">
            <v>68000</v>
          </cell>
          <cell r="CX21">
            <v>1036000</v>
          </cell>
          <cell r="CY21">
            <v>6.5637065637065631E-2</v>
          </cell>
          <cell r="CZ21">
            <v>726000</v>
          </cell>
          <cell r="DA21">
            <v>30901</v>
          </cell>
          <cell r="DB21">
            <v>23.494385294974272</v>
          </cell>
          <cell r="DC21">
            <v>3162000</v>
          </cell>
          <cell r="DD21">
            <v>30901</v>
          </cell>
          <cell r="DE21">
            <v>102.32678554092101</v>
          </cell>
          <cell r="DF21">
            <v>2050000</v>
          </cell>
          <cell r="DG21">
            <v>30901</v>
          </cell>
          <cell r="DH21">
            <v>66.340895116662892</v>
          </cell>
          <cell r="DI21">
            <v>240.1</v>
          </cell>
          <cell r="DJ21">
            <v>128.70054144106624</v>
          </cell>
          <cell r="DK21">
            <v>1.0586667120401128E-2</v>
          </cell>
          <cell r="DL21">
            <v>3.41</v>
          </cell>
          <cell r="DM21">
            <v>3.59</v>
          </cell>
        </row>
        <row r="22">
          <cell r="B22" t="str">
            <v>Hay Shire Council</v>
          </cell>
          <cell r="C22">
            <v>9</v>
          </cell>
          <cell r="D22">
            <v>320000</v>
          </cell>
          <cell r="E22">
            <v>1247</v>
          </cell>
          <cell r="F22">
            <v>256.61587810745789</v>
          </cell>
          <cell r="G22">
            <v>964000</v>
          </cell>
          <cell r="H22">
            <v>397</v>
          </cell>
          <cell r="I22">
            <v>2428.2115869017634</v>
          </cell>
          <cell r="J22">
            <v>173000</v>
          </cell>
          <cell r="K22">
            <v>204</v>
          </cell>
          <cell r="L22">
            <v>848.03921568627447</v>
          </cell>
          <cell r="M22">
            <v>343000</v>
          </cell>
          <cell r="N22">
            <v>3208000</v>
          </cell>
          <cell r="O22">
            <v>0.10692019950124688</v>
          </cell>
          <cell r="P22">
            <v>63000</v>
          </cell>
          <cell r="Q22">
            <v>2368000</v>
          </cell>
          <cell r="R22">
            <v>2.6604729729729729E-2</v>
          </cell>
          <cell r="S22">
            <v>222000</v>
          </cell>
          <cell r="T22">
            <v>555000</v>
          </cell>
          <cell r="U22">
            <v>0.4</v>
          </cell>
          <cell r="V22">
            <v>2431000</v>
          </cell>
          <cell r="W22">
            <v>6610000</v>
          </cell>
          <cell r="X22">
            <v>0.36777609682299545</v>
          </cell>
          <cell r="Y22">
            <v>777000</v>
          </cell>
          <cell r="Z22">
            <v>6610000</v>
          </cell>
          <cell r="AA22">
            <v>0.11754916792738275</v>
          </cell>
          <cell r="AB22">
            <v>309000</v>
          </cell>
          <cell r="AC22">
            <v>6610000</v>
          </cell>
          <cell r="AD22">
            <v>4.674735249621785E-2</v>
          </cell>
          <cell r="AE22">
            <v>2389000</v>
          </cell>
          <cell r="AF22">
            <v>6610000</v>
          </cell>
          <cell r="AG22">
            <v>0.36142208774583962</v>
          </cell>
          <cell r="AH22">
            <v>678000</v>
          </cell>
          <cell r="AI22">
            <v>6610000</v>
          </cell>
          <cell r="AJ22">
            <v>0.10257186081694403</v>
          </cell>
          <cell r="AK22">
            <v>26000</v>
          </cell>
          <cell r="AL22">
            <v>6610000</v>
          </cell>
          <cell r="AM22">
            <v>3.9334341906202726E-3</v>
          </cell>
          <cell r="AN22">
            <v>5112000</v>
          </cell>
          <cell r="AO22">
            <v>3602</v>
          </cell>
          <cell r="AP22">
            <v>1419.211549139367</v>
          </cell>
          <cell r="AQ22">
            <v>1927000</v>
          </cell>
          <cell r="AR22">
            <v>6511000</v>
          </cell>
          <cell r="AS22">
            <v>0.2959606819228997</v>
          </cell>
          <cell r="AT22">
            <v>2317000</v>
          </cell>
          <cell r="AU22">
            <v>6511000</v>
          </cell>
          <cell r="AV22">
            <v>0.35585931500537554</v>
          </cell>
          <cell r="AW22">
            <v>1000</v>
          </cell>
          <cell r="AX22">
            <v>6511000</v>
          </cell>
          <cell r="AY22">
            <v>1.5358623867301491E-4</v>
          </cell>
          <cell r="AZ22">
            <v>1623000</v>
          </cell>
          <cell r="BA22">
            <v>6511000</v>
          </cell>
          <cell r="BB22">
            <v>0.24927046536630318</v>
          </cell>
          <cell r="BC22">
            <v>643000</v>
          </cell>
          <cell r="BD22">
            <v>6511000</v>
          </cell>
          <cell r="BE22">
            <v>9.8755951466748579E-2</v>
          </cell>
          <cell r="BF22">
            <v>5352000</v>
          </cell>
          <cell r="BG22">
            <v>3602</v>
          </cell>
          <cell r="BH22">
            <v>1485.8411993337036</v>
          </cell>
          <cell r="BI22">
            <v>3685000</v>
          </cell>
          <cell r="BJ22">
            <v>784000</v>
          </cell>
          <cell r="BK22">
            <v>4.7002551020408161</v>
          </cell>
          <cell r="BL22">
            <v>5000</v>
          </cell>
          <cell r="BM22">
            <v>5312000</v>
          </cell>
          <cell r="BN22">
            <v>9.4126506024096385E-4</v>
          </cell>
          <cell r="BO22">
            <v>818000</v>
          </cell>
          <cell r="BP22">
            <v>1313000</v>
          </cell>
          <cell r="BQ22">
            <v>0.62300076161462303</v>
          </cell>
          <cell r="BR22">
            <v>52</v>
          </cell>
          <cell r="BS22" t="str">
            <v>On Time</v>
          </cell>
          <cell r="BT22" t="str">
            <v>On Time</v>
          </cell>
          <cell r="BU22" t="str">
            <v>On Time</v>
          </cell>
          <cell r="BV22">
            <v>89000</v>
          </cell>
          <cell r="BW22">
            <v>3602</v>
          </cell>
          <cell r="BX22">
            <v>24.708495280399777</v>
          </cell>
          <cell r="BY22">
            <v>23711</v>
          </cell>
          <cell r="BZ22">
            <v>3602</v>
          </cell>
          <cell r="CA22">
            <v>6.5827318156579677</v>
          </cell>
          <cell r="CB22">
            <v>90000</v>
          </cell>
          <cell r="CC22">
            <v>1070</v>
          </cell>
          <cell r="CD22">
            <v>84.112149532710276</v>
          </cell>
          <cell r="CE22">
            <v>61752</v>
          </cell>
          <cell r="CF22">
            <v>1070</v>
          </cell>
          <cell r="CG22">
            <v>57.712149532710278</v>
          </cell>
          <cell r="CH22">
            <v>0</v>
          </cell>
          <cell r="CI22">
            <v>3602</v>
          </cell>
          <cell r="CJ22" t="str">
            <v>N/A</v>
          </cell>
          <cell r="CK22">
            <v>1100000</v>
          </cell>
          <cell r="CL22">
            <v>3602</v>
          </cell>
          <cell r="CM22">
            <v>305.3858967240422</v>
          </cell>
          <cell r="CN22">
            <v>338.32199546485299</v>
          </cell>
          <cell r="CO22">
            <v>481</v>
          </cell>
          <cell r="CP22">
            <v>354.80247144729498</v>
          </cell>
          <cell r="CQ22">
            <v>441</v>
          </cell>
          <cell r="CR22">
            <v>75</v>
          </cell>
          <cell r="CS22">
            <v>949</v>
          </cell>
          <cell r="CT22">
            <v>75</v>
          </cell>
          <cell r="CU22">
            <v>12.653333333333334</v>
          </cell>
          <cell r="CV22">
            <v>3</v>
          </cell>
          <cell r="CW22">
            <v>0</v>
          </cell>
          <cell r="CX22">
            <v>61000</v>
          </cell>
          <cell r="CY22">
            <v>0</v>
          </cell>
          <cell r="CZ22">
            <v>113000</v>
          </cell>
          <cell r="DA22">
            <v>3602</v>
          </cell>
          <cell r="DB22">
            <v>31.371460299833426</v>
          </cell>
          <cell r="DC22">
            <v>511000</v>
          </cell>
          <cell r="DD22">
            <v>3602</v>
          </cell>
          <cell r="DE22">
            <v>141.86563020544142</v>
          </cell>
          <cell r="DF22">
            <v>346000</v>
          </cell>
          <cell r="DG22">
            <v>3602</v>
          </cell>
          <cell r="DH22">
            <v>96.057745696835099</v>
          </cell>
          <cell r="DI22">
            <v>11328.4</v>
          </cell>
          <cell r="DJ22">
            <v>0.31796193637230324</v>
          </cell>
          <cell r="DK22">
            <v>-1.0123760692110295E-2</v>
          </cell>
          <cell r="DL22">
            <v>3.55</v>
          </cell>
          <cell r="DM22">
            <v>2.5099999999999998</v>
          </cell>
        </row>
        <row r="23">
          <cell r="B23" t="str">
            <v>Bingara Shire Council</v>
          </cell>
          <cell r="C23">
            <v>9</v>
          </cell>
          <cell r="D23">
            <v>145000</v>
          </cell>
          <cell r="E23">
            <v>632</v>
          </cell>
          <cell r="F23">
            <v>229.43037974683546</v>
          </cell>
          <cell r="G23">
            <v>619000</v>
          </cell>
          <cell r="H23">
            <v>464</v>
          </cell>
          <cell r="I23">
            <v>1334.0517241379309</v>
          </cell>
          <cell r="J23">
            <v>5000</v>
          </cell>
          <cell r="K23">
            <v>45</v>
          </cell>
          <cell r="L23">
            <v>111.11111111111111</v>
          </cell>
          <cell r="M23">
            <v>91000</v>
          </cell>
          <cell r="N23">
            <v>2199000</v>
          </cell>
          <cell r="O23">
            <v>4.1382446566621191E-2</v>
          </cell>
          <cell r="P23">
            <v>54000</v>
          </cell>
          <cell r="Q23">
            <v>1143000</v>
          </cell>
          <cell r="R23">
            <v>4.7244094488188976E-2</v>
          </cell>
          <cell r="S23">
            <v>124000</v>
          </cell>
          <cell r="T23">
            <v>878000</v>
          </cell>
          <cell r="U23">
            <v>0.14123006833712984</v>
          </cell>
          <cell r="V23">
            <v>1197000</v>
          </cell>
          <cell r="W23">
            <v>5897000</v>
          </cell>
          <cell r="X23">
            <v>0.2029845684246227</v>
          </cell>
          <cell r="Y23">
            <v>1002000</v>
          </cell>
          <cell r="Z23">
            <v>5897000</v>
          </cell>
          <cell r="AA23">
            <v>0.16991690690181449</v>
          </cell>
          <cell r="AB23">
            <v>140000</v>
          </cell>
          <cell r="AC23">
            <v>5897000</v>
          </cell>
          <cell r="AD23">
            <v>2.3740885195862302E-2</v>
          </cell>
          <cell r="AE23">
            <v>2745000</v>
          </cell>
          <cell r="AF23">
            <v>5897000</v>
          </cell>
          <cell r="AG23">
            <v>0.46549092759030014</v>
          </cell>
          <cell r="AH23">
            <v>64000</v>
          </cell>
          <cell r="AI23">
            <v>5897000</v>
          </cell>
          <cell r="AJ23">
            <v>1.0852976089537053E-2</v>
          </cell>
          <cell r="AK23">
            <v>749000</v>
          </cell>
          <cell r="AL23">
            <v>5897000</v>
          </cell>
          <cell r="AM23">
            <v>0.12701373579786332</v>
          </cell>
          <cell r="AN23">
            <v>3996000</v>
          </cell>
          <cell r="AO23">
            <v>2053</v>
          </cell>
          <cell r="AP23">
            <v>1946.4198733560643</v>
          </cell>
          <cell r="AQ23">
            <v>1769000</v>
          </cell>
          <cell r="AR23">
            <v>5285000</v>
          </cell>
          <cell r="AS23">
            <v>0.334720908230842</v>
          </cell>
          <cell r="AT23">
            <v>1521000</v>
          </cell>
          <cell r="AU23">
            <v>5285000</v>
          </cell>
          <cell r="AV23">
            <v>0.28779564806054875</v>
          </cell>
          <cell r="AW23">
            <v>44000</v>
          </cell>
          <cell r="AX23">
            <v>5285000</v>
          </cell>
          <cell r="AY23">
            <v>8.3254493850520341E-3</v>
          </cell>
          <cell r="AZ23">
            <v>1437000</v>
          </cell>
          <cell r="BA23">
            <v>5285000</v>
          </cell>
          <cell r="BB23">
            <v>0.27190160832544941</v>
          </cell>
          <cell r="BC23">
            <v>514000</v>
          </cell>
          <cell r="BD23">
            <v>5285000</v>
          </cell>
          <cell r="BE23">
            <v>9.7256385998107847E-2</v>
          </cell>
          <cell r="BF23">
            <v>4679000</v>
          </cell>
          <cell r="BG23">
            <v>2053</v>
          </cell>
          <cell r="BH23">
            <v>2279.1037506088651</v>
          </cell>
          <cell r="BI23">
            <v>1209000</v>
          </cell>
          <cell r="BJ23">
            <v>1082000</v>
          </cell>
          <cell r="BK23">
            <v>1.1173752310536045</v>
          </cell>
          <cell r="BL23">
            <v>124000</v>
          </cell>
          <cell r="BM23">
            <v>3759000</v>
          </cell>
          <cell r="BN23">
            <v>3.298749667464751E-2</v>
          </cell>
          <cell r="BO23">
            <v>2399000</v>
          </cell>
          <cell r="BP23">
            <v>1233000</v>
          </cell>
          <cell r="BQ23">
            <v>1.9456609894566099</v>
          </cell>
          <cell r="BR23">
            <v>50</v>
          </cell>
          <cell r="BS23" t="str">
            <v>&lt;=2</v>
          </cell>
          <cell r="BT23" t="str">
            <v>&lt;=2</v>
          </cell>
          <cell r="BU23" t="str">
            <v>&lt;=2</v>
          </cell>
          <cell r="BV23">
            <v>50000</v>
          </cell>
          <cell r="BW23">
            <v>2053</v>
          </cell>
          <cell r="BX23">
            <v>24.354603019970774</v>
          </cell>
          <cell r="BY23">
            <v>6988</v>
          </cell>
          <cell r="BZ23">
            <v>2053</v>
          </cell>
          <cell r="CA23">
            <v>3.4037993180711155</v>
          </cell>
          <cell r="CB23">
            <v>61000</v>
          </cell>
          <cell r="CC23">
            <v>613</v>
          </cell>
          <cell r="CD23">
            <v>99.510603588907017</v>
          </cell>
          <cell r="CE23">
            <v>65246</v>
          </cell>
          <cell r="CF23">
            <v>613</v>
          </cell>
          <cell r="CG23">
            <v>106.43719412724306</v>
          </cell>
          <cell r="CH23">
            <v>93000</v>
          </cell>
          <cell r="CI23">
            <v>2053</v>
          </cell>
          <cell r="CJ23">
            <v>45.299561617145642</v>
          </cell>
          <cell r="CK23">
            <v>476000</v>
          </cell>
          <cell r="CL23">
            <v>2053</v>
          </cell>
          <cell r="CM23">
            <v>231.85582075012178</v>
          </cell>
          <cell r="CN23">
            <v>413.01059001512903</v>
          </cell>
          <cell r="CO23">
            <v>301</v>
          </cell>
          <cell r="CP23">
            <v>267.41996233521701</v>
          </cell>
          <cell r="CQ23">
            <v>564</v>
          </cell>
          <cell r="CR23">
            <v>19</v>
          </cell>
          <cell r="CS23">
            <v>243</v>
          </cell>
          <cell r="CT23">
            <v>19</v>
          </cell>
          <cell r="CU23">
            <v>12.789473684210526</v>
          </cell>
          <cell r="CV23">
            <v>2</v>
          </cell>
          <cell r="CW23">
            <v>0</v>
          </cell>
          <cell r="CX23">
            <v>43000</v>
          </cell>
          <cell r="CY23">
            <v>0</v>
          </cell>
          <cell r="CZ23">
            <v>163000</v>
          </cell>
          <cell r="DA23">
            <v>2053</v>
          </cell>
          <cell r="DB23">
            <v>79.396005845104725</v>
          </cell>
          <cell r="DC23">
            <v>182000</v>
          </cell>
          <cell r="DD23">
            <v>2053</v>
          </cell>
          <cell r="DE23">
            <v>88.650754992693621</v>
          </cell>
          <cell r="DF23">
            <v>330000</v>
          </cell>
          <cell r="DG23">
            <v>2053</v>
          </cell>
          <cell r="DH23">
            <v>160.7403799318071</v>
          </cell>
          <cell r="DI23">
            <v>2853.7</v>
          </cell>
          <cell r="DJ23">
            <v>0.71941689736132042</v>
          </cell>
          <cell r="DK23">
            <v>-7.8952243027966551E-3</v>
          </cell>
          <cell r="DL23">
            <v>1.65</v>
          </cell>
          <cell r="DM23">
            <v>1.7</v>
          </cell>
        </row>
        <row r="24">
          <cell r="B24" t="str">
            <v>Warren Shire Council</v>
          </cell>
          <cell r="C24">
            <v>9</v>
          </cell>
          <cell r="D24">
            <v>356000</v>
          </cell>
          <cell r="E24">
            <v>1097</v>
          </cell>
          <cell r="F24">
            <v>324.52142206016407</v>
          </cell>
          <cell r="G24">
            <v>2400000</v>
          </cell>
          <cell r="H24">
            <v>684</v>
          </cell>
          <cell r="I24">
            <v>3508.7719298245615</v>
          </cell>
          <cell r="J24">
            <v>111000</v>
          </cell>
          <cell r="K24">
            <v>108</v>
          </cell>
          <cell r="L24">
            <v>1027.7777777777778</v>
          </cell>
          <cell r="M24">
            <v>139000</v>
          </cell>
          <cell r="N24">
            <v>4708000</v>
          </cell>
          <cell r="O24">
            <v>2.9524214103653357E-2</v>
          </cell>
          <cell r="P24">
            <v>142000</v>
          </cell>
          <cell r="Q24">
            <v>3499000</v>
          </cell>
          <cell r="R24">
            <v>4.0583023721063163E-2</v>
          </cell>
          <cell r="S24">
            <v>-498000</v>
          </cell>
          <cell r="T24">
            <v>1565000</v>
          </cell>
          <cell r="U24">
            <v>-0.3182108626198083</v>
          </cell>
          <cell r="V24">
            <v>3641000</v>
          </cell>
          <cell r="W24">
            <v>8349000</v>
          </cell>
          <cell r="X24">
            <v>0.43610013175230566</v>
          </cell>
          <cell r="Y24">
            <v>1067000</v>
          </cell>
          <cell r="Z24">
            <v>8349000</v>
          </cell>
          <cell r="AA24">
            <v>0.12779973649538867</v>
          </cell>
          <cell r="AB24">
            <v>164000</v>
          </cell>
          <cell r="AC24">
            <v>8349000</v>
          </cell>
          <cell r="AD24">
            <v>1.9643071026470237E-2</v>
          </cell>
          <cell r="AE24">
            <v>3297000</v>
          </cell>
          <cell r="AF24">
            <v>8349000</v>
          </cell>
          <cell r="AG24">
            <v>0.394897592526051</v>
          </cell>
          <cell r="AH24">
            <v>93000</v>
          </cell>
          <cell r="AI24">
            <v>8349000</v>
          </cell>
          <cell r="AJ24">
            <v>1.1139058569888609E-2</v>
          </cell>
          <cell r="AK24">
            <v>87000</v>
          </cell>
          <cell r="AL24">
            <v>8349000</v>
          </cell>
          <cell r="AM24">
            <v>1.0420409629895796E-2</v>
          </cell>
          <cell r="AN24">
            <v>6911000</v>
          </cell>
          <cell r="AO24">
            <v>3307</v>
          </cell>
          <cell r="AP24">
            <v>2089.8094950105838</v>
          </cell>
          <cell r="AQ24">
            <v>3056000</v>
          </cell>
          <cell r="AR24">
            <v>8613000</v>
          </cell>
          <cell r="AS24">
            <v>0.35481249274352722</v>
          </cell>
          <cell r="AT24">
            <v>2340000</v>
          </cell>
          <cell r="AU24">
            <v>8613000</v>
          </cell>
          <cell r="AV24">
            <v>0.2716823406478579</v>
          </cell>
          <cell r="AW24">
            <v>101000</v>
          </cell>
          <cell r="AX24">
            <v>8613000</v>
          </cell>
          <cell r="AY24">
            <v>1.1726460002322071E-2</v>
          </cell>
          <cell r="AZ24">
            <v>2411000</v>
          </cell>
          <cell r="BA24">
            <v>8613000</v>
          </cell>
          <cell r="BB24">
            <v>0.27992569371879716</v>
          </cell>
          <cell r="BC24">
            <v>705000</v>
          </cell>
          <cell r="BD24">
            <v>8613000</v>
          </cell>
          <cell r="BE24">
            <v>8.1853012887495649E-2</v>
          </cell>
          <cell r="BF24">
            <v>7884000</v>
          </cell>
          <cell r="BG24">
            <v>3307</v>
          </cell>
          <cell r="BH24">
            <v>2384.0338675536741</v>
          </cell>
          <cell r="BI24">
            <v>3110000</v>
          </cell>
          <cell r="BJ24">
            <v>761000</v>
          </cell>
          <cell r="BK24">
            <v>4.0867279894875166</v>
          </cell>
          <cell r="BL24">
            <v>365000</v>
          </cell>
          <cell r="BM24">
            <v>6532000</v>
          </cell>
          <cell r="BN24">
            <v>5.5878750765462337E-2</v>
          </cell>
          <cell r="BO24">
            <v>1834000</v>
          </cell>
          <cell r="BP24">
            <v>2200000</v>
          </cell>
          <cell r="BQ24">
            <v>0.83363636363636362</v>
          </cell>
          <cell r="BR24">
            <v>72</v>
          </cell>
          <cell r="BS24" t="str">
            <v>On Time</v>
          </cell>
          <cell r="BT24" t="str">
            <v>On Time</v>
          </cell>
          <cell r="BU24" t="str">
            <v>On Time</v>
          </cell>
          <cell r="BV24">
            <v>158000</v>
          </cell>
          <cell r="BW24">
            <v>3307</v>
          </cell>
          <cell r="BX24">
            <v>47.77744179014212</v>
          </cell>
          <cell r="BY24">
            <v>25760</v>
          </cell>
          <cell r="BZ24">
            <v>3307</v>
          </cell>
          <cell r="CA24">
            <v>7.7895373450257033</v>
          </cell>
          <cell r="CB24">
            <v>99000</v>
          </cell>
          <cell r="CC24">
            <v>925</v>
          </cell>
          <cell r="CD24">
            <v>107.02702702702703</v>
          </cell>
          <cell r="CE24">
            <v>82249</v>
          </cell>
          <cell r="CF24">
            <v>925</v>
          </cell>
          <cell r="CG24">
            <v>88.917837837837837</v>
          </cell>
          <cell r="CH24">
            <v>75000</v>
          </cell>
          <cell r="CI24">
            <v>3307</v>
          </cell>
          <cell r="CJ24">
            <v>22.679165406713032</v>
          </cell>
          <cell r="CK24">
            <v>1443000</v>
          </cell>
          <cell r="CL24">
            <v>3307</v>
          </cell>
          <cell r="CM24">
            <v>436.34714242515878</v>
          </cell>
          <cell r="CN24">
            <v>440.17094017094001</v>
          </cell>
          <cell r="CO24">
            <v>454</v>
          </cell>
          <cell r="CP24">
            <v>454.37231321760902</v>
          </cell>
          <cell r="CQ24">
            <v>412</v>
          </cell>
          <cell r="CR24">
            <v>48</v>
          </cell>
          <cell r="CS24">
            <v>658</v>
          </cell>
          <cell r="CT24">
            <v>48</v>
          </cell>
          <cell r="CU24">
            <v>13.708333333333334</v>
          </cell>
          <cell r="CV24">
            <v>12</v>
          </cell>
          <cell r="CW24">
            <v>0</v>
          </cell>
          <cell r="CX24">
            <v>0</v>
          </cell>
          <cell r="CY24" t="str">
            <v>N/A</v>
          </cell>
          <cell r="CZ24">
            <v>432000</v>
          </cell>
          <cell r="DA24">
            <v>3307</v>
          </cell>
          <cell r="DB24">
            <v>130.63199274266708</v>
          </cell>
          <cell r="DC24">
            <v>499000</v>
          </cell>
          <cell r="DD24">
            <v>3307</v>
          </cell>
          <cell r="DE24">
            <v>150.89204717266404</v>
          </cell>
          <cell r="DF24">
            <v>44000</v>
          </cell>
          <cell r="DG24">
            <v>3307</v>
          </cell>
          <cell r="DH24">
            <v>13.305110371938312</v>
          </cell>
          <cell r="DI24">
            <v>10760.3</v>
          </cell>
          <cell r="DJ24">
            <v>0.30733343865877349</v>
          </cell>
          <cell r="DK24">
            <v>-6.4066014581558584E-3</v>
          </cell>
          <cell r="DL24">
            <v>11.67</v>
          </cell>
          <cell r="DM24">
            <v>0.78</v>
          </cell>
        </row>
        <row r="25">
          <cell r="B25" t="str">
            <v>Holbrook Shire Council</v>
          </cell>
          <cell r="C25">
            <v>9</v>
          </cell>
          <cell r="D25">
            <v>243000</v>
          </cell>
          <cell r="E25">
            <v>703</v>
          </cell>
          <cell r="F25">
            <v>345.6614509246088</v>
          </cell>
          <cell r="G25">
            <v>1070000</v>
          </cell>
          <cell r="H25">
            <v>794</v>
          </cell>
          <cell r="I25">
            <v>1347.6070528967255</v>
          </cell>
          <cell r="J25">
            <v>75000</v>
          </cell>
          <cell r="K25">
            <v>154</v>
          </cell>
          <cell r="L25">
            <v>487.01298701298703</v>
          </cell>
          <cell r="M25">
            <v>129000</v>
          </cell>
          <cell r="N25">
            <v>2256000</v>
          </cell>
          <cell r="O25">
            <v>5.7180851063829786E-2</v>
          </cell>
          <cell r="P25">
            <v>84000</v>
          </cell>
          <cell r="Q25">
            <v>1667000</v>
          </cell>
          <cell r="R25">
            <v>5.0389922015596882E-2</v>
          </cell>
          <cell r="S25">
            <v>-18000</v>
          </cell>
          <cell r="T25">
            <v>523000</v>
          </cell>
          <cell r="U25">
            <v>-3.4416826003824091E-2</v>
          </cell>
          <cell r="V25">
            <v>1751000</v>
          </cell>
          <cell r="W25">
            <v>5824000</v>
          </cell>
          <cell r="X25">
            <v>0.30065247252747251</v>
          </cell>
          <cell r="Y25">
            <v>505000</v>
          </cell>
          <cell r="Z25">
            <v>5824000</v>
          </cell>
          <cell r="AA25">
            <v>8.6710164835164832E-2</v>
          </cell>
          <cell r="AB25">
            <v>111000</v>
          </cell>
          <cell r="AC25">
            <v>5824000</v>
          </cell>
          <cell r="AD25">
            <v>1.9059065934065936E-2</v>
          </cell>
          <cell r="AE25">
            <v>2590000</v>
          </cell>
          <cell r="AF25">
            <v>5824000</v>
          </cell>
          <cell r="AG25">
            <v>0.44471153846153844</v>
          </cell>
          <cell r="AH25">
            <v>765000</v>
          </cell>
          <cell r="AI25">
            <v>5824000</v>
          </cell>
          <cell r="AJ25">
            <v>0.13135302197802198</v>
          </cell>
          <cell r="AK25">
            <v>102000</v>
          </cell>
          <cell r="AL25">
            <v>5824000</v>
          </cell>
          <cell r="AM25">
            <v>1.7513736263736264E-2</v>
          </cell>
          <cell r="AN25">
            <v>4371000</v>
          </cell>
          <cell r="AO25">
            <v>2493</v>
          </cell>
          <cell r="AP25">
            <v>1753.3092659446449</v>
          </cell>
          <cell r="AQ25">
            <v>1954000</v>
          </cell>
          <cell r="AR25">
            <v>4917000</v>
          </cell>
          <cell r="AS25">
            <v>0.39739678665853162</v>
          </cell>
          <cell r="AT25">
            <v>1355000</v>
          </cell>
          <cell r="AU25">
            <v>4917000</v>
          </cell>
          <cell r="AV25">
            <v>0.27557453731950377</v>
          </cell>
          <cell r="AW25">
            <v>108000</v>
          </cell>
          <cell r="AX25">
            <v>4917000</v>
          </cell>
          <cell r="AY25">
            <v>2.1964612568639415E-2</v>
          </cell>
          <cell r="AZ25">
            <v>1002000</v>
          </cell>
          <cell r="BA25">
            <v>4917000</v>
          </cell>
          <cell r="BB25">
            <v>0.20378279438682123</v>
          </cell>
          <cell r="BC25">
            <v>498000</v>
          </cell>
          <cell r="BD25">
            <v>4917000</v>
          </cell>
          <cell r="BE25">
            <v>0.10128126906650396</v>
          </cell>
          <cell r="BF25">
            <v>4659000</v>
          </cell>
          <cell r="BG25">
            <v>2493</v>
          </cell>
          <cell r="BH25">
            <v>1868.8327316486161</v>
          </cell>
          <cell r="BI25">
            <v>1855000</v>
          </cell>
          <cell r="BJ25">
            <v>843000</v>
          </cell>
          <cell r="BK25">
            <v>2.2004744958481615</v>
          </cell>
          <cell r="BL25">
            <v>175000</v>
          </cell>
          <cell r="BM25">
            <v>3302000</v>
          </cell>
          <cell r="BN25">
            <v>5.2998182919442763E-2</v>
          </cell>
          <cell r="BO25">
            <v>1331000</v>
          </cell>
          <cell r="BP25">
            <v>930000</v>
          </cell>
          <cell r="BQ25">
            <v>1.4311827956989247</v>
          </cell>
          <cell r="BR25">
            <v>42</v>
          </cell>
          <cell r="BS25" t="str">
            <v>On Time</v>
          </cell>
          <cell r="BT25" t="str">
            <v>On Time</v>
          </cell>
          <cell r="BU25" t="str">
            <v>On Time</v>
          </cell>
          <cell r="BV25">
            <v>92000</v>
          </cell>
          <cell r="BW25">
            <v>2493</v>
          </cell>
          <cell r="BX25">
            <v>36.903329322101882</v>
          </cell>
          <cell r="BY25">
            <v>23611</v>
          </cell>
          <cell r="BZ25">
            <v>2493</v>
          </cell>
          <cell r="CA25">
            <v>9.4709185720016045</v>
          </cell>
          <cell r="CB25">
            <v>98000</v>
          </cell>
          <cell r="CC25">
            <v>692</v>
          </cell>
          <cell r="CD25">
            <v>141.61849710982659</v>
          </cell>
          <cell r="CE25">
            <v>127422</v>
          </cell>
          <cell r="CF25">
            <v>628</v>
          </cell>
          <cell r="CG25">
            <v>202.90127388535032</v>
          </cell>
          <cell r="CH25">
            <v>64120</v>
          </cell>
          <cell r="CI25">
            <v>2493</v>
          </cell>
          <cell r="CJ25" t="str">
            <v>N/A</v>
          </cell>
          <cell r="CK25">
            <v>0</v>
          </cell>
          <cell r="CL25">
            <v>2493</v>
          </cell>
          <cell r="CM25" t="str">
            <v>N/A</v>
          </cell>
          <cell r="CN25" t="str">
            <v>N/A</v>
          </cell>
          <cell r="CO25" t="str">
            <v>N/A</v>
          </cell>
          <cell r="CP25">
            <v>414</v>
          </cell>
          <cell r="CQ25">
            <v>374</v>
          </cell>
          <cell r="CR25">
            <v>79</v>
          </cell>
          <cell r="CS25">
            <v>1106</v>
          </cell>
          <cell r="CT25">
            <v>79</v>
          </cell>
          <cell r="CU25">
            <v>14</v>
          </cell>
          <cell r="CV25">
            <v>22</v>
          </cell>
          <cell r="CW25">
            <v>0</v>
          </cell>
          <cell r="CX25">
            <v>57000</v>
          </cell>
          <cell r="CY25">
            <v>0</v>
          </cell>
          <cell r="CZ25">
            <v>199000</v>
          </cell>
          <cell r="DA25">
            <v>2493</v>
          </cell>
          <cell r="DB25">
            <v>79.823505816285603</v>
          </cell>
          <cell r="DC25">
            <v>240000</v>
          </cell>
          <cell r="DD25">
            <v>2493</v>
          </cell>
          <cell r="DE25">
            <v>96.269554753309265</v>
          </cell>
          <cell r="DF25">
            <v>662000</v>
          </cell>
          <cell r="DG25">
            <v>2493</v>
          </cell>
          <cell r="DH25">
            <v>265.54352186121139</v>
          </cell>
          <cell r="DI25">
            <v>2601.8000000000002</v>
          </cell>
          <cell r="DJ25">
            <v>0.95818279652548233</v>
          </cell>
          <cell r="DK25">
            <v>-6.6059098351239909E-3</v>
          </cell>
          <cell r="DL25">
            <v>0.62</v>
          </cell>
          <cell r="DM25">
            <v>1.93</v>
          </cell>
        </row>
        <row r="26">
          <cell r="B26" t="str">
            <v>Coolamon Shire Council</v>
          </cell>
          <cell r="C26">
            <v>9</v>
          </cell>
          <cell r="D26">
            <v>302000</v>
          </cell>
          <cell r="E26">
            <v>1558</v>
          </cell>
          <cell r="F26">
            <v>193.83825417201541</v>
          </cell>
          <cell r="G26">
            <v>1067000</v>
          </cell>
          <cell r="H26">
            <v>796</v>
          </cell>
          <cell r="I26">
            <v>1340.4522613065326</v>
          </cell>
          <cell r="J26">
            <v>53000</v>
          </cell>
          <cell r="K26">
            <v>243</v>
          </cell>
          <cell r="L26">
            <v>218.10699588477365</v>
          </cell>
          <cell r="M26">
            <v>204000</v>
          </cell>
          <cell r="N26">
            <v>2268000</v>
          </cell>
          <cell r="O26">
            <v>8.9947089947089942E-2</v>
          </cell>
          <cell r="P26">
            <v>57000</v>
          </cell>
          <cell r="Q26">
            <v>1763000</v>
          </cell>
          <cell r="R26">
            <v>3.2331253545093593E-2</v>
          </cell>
          <cell r="S26">
            <v>-30000</v>
          </cell>
          <cell r="T26">
            <v>478000</v>
          </cell>
          <cell r="U26">
            <v>-6.2761506276150625E-2</v>
          </cell>
          <cell r="V26">
            <v>1820000</v>
          </cell>
          <cell r="W26">
            <v>7142000</v>
          </cell>
          <cell r="X26">
            <v>0.25483057966956035</v>
          </cell>
          <cell r="Y26">
            <v>448000</v>
          </cell>
          <cell r="Z26">
            <v>7142000</v>
          </cell>
          <cell r="AA26">
            <v>6.2727527303276395E-2</v>
          </cell>
          <cell r="AB26">
            <v>316000</v>
          </cell>
          <cell r="AC26">
            <v>7142000</v>
          </cell>
          <cell r="AD26">
            <v>4.4245309437132459E-2</v>
          </cell>
          <cell r="AE26">
            <v>3081000</v>
          </cell>
          <cell r="AF26">
            <v>7142000</v>
          </cell>
          <cell r="AG26">
            <v>0.43139176701204146</v>
          </cell>
          <cell r="AH26">
            <v>1281000</v>
          </cell>
          <cell r="AI26">
            <v>7142000</v>
          </cell>
          <cell r="AJ26">
            <v>0.17936152338280595</v>
          </cell>
          <cell r="AK26">
            <v>196000</v>
          </cell>
          <cell r="AL26">
            <v>7142000</v>
          </cell>
          <cell r="AM26">
            <v>2.7443293195183422E-2</v>
          </cell>
          <cell r="AN26">
            <v>5478000</v>
          </cell>
          <cell r="AO26">
            <v>4117</v>
          </cell>
          <cell r="AP26">
            <v>1330.580519795968</v>
          </cell>
          <cell r="AQ26">
            <v>2172000</v>
          </cell>
          <cell r="AR26">
            <v>5672000</v>
          </cell>
          <cell r="AS26">
            <v>0.38293370944992949</v>
          </cell>
          <cell r="AT26">
            <v>1529000</v>
          </cell>
          <cell r="AU26">
            <v>5672000</v>
          </cell>
          <cell r="AV26">
            <v>0.26956981664315938</v>
          </cell>
          <cell r="AW26">
            <v>0</v>
          </cell>
          <cell r="AX26">
            <v>5672000</v>
          </cell>
          <cell r="AY26">
            <v>0</v>
          </cell>
          <cell r="AZ26">
            <v>1064000</v>
          </cell>
          <cell r="BA26">
            <v>5672000</v>
          </cell>
          <cell r="BB26">
            <v>0.18758815232722145</v>
          </cell>
          <cell r="BC26">
            <v>907000</v>
          </cell>
          <cell r="BD26">
            <v>5672000</v>
          </cell>
          <cell r="BE26">
            <v>0.15990832157968971</v>
          </cell>
          <cell r="BF26">
            <v>5446000</v>
          </cell>
          <cell r="BG26">
            <v>4117</v>
          </cell>
          <cell r="BH26">
            <v>1322.8078698081126</v>
          </cell>
          <cell r="BI26">
            <v>3168000</v>
          </cell>
          <cell r="BJ26">
            <v>390000</v>
          </cell>
          <cell r="BK26">
            <v>8.1230769230769226</v>
          </cell>
          <cell r="BL26">
            <v>0</v>
          </cell>
          <cell r="BM26">
            <v>4878000</v>
          </cell>
          <cell r="BN26">
            <v>0</v>
          </cell>
          <cell r="BO26">
            <v>2957000</v>
          </cell>
          <cell r="BP26">
            <v>949000</v>
          </cell>
          <cell r="BQ26">
            <v>3.1159114857744994</v>
          </cell>
          <cell r="BR26">
            <v>55</v>
          </cell>
          <cell r="BS26" t="str">
            <v>On Time</v>
          </cell>
          <cell r="BT26" t="str">
            <v>On Time</v>
          </cell>
          <cell r="BU26" t="str">
            <v>On Time</v>
          </cell>
          <cell r="BV26">
            <v>84000</v>
          </cell>
          <cell r="BW26">
            <v>4117</v>
          </cell>
          <cell r="BX26">
            <v>20.40320621811999</v>
          </cell>
          <cell r="BY26">
            <v>17834</v>
          </cell>
          <cell r="BZ26">
            <v>4117</v>
          </cell>
          <cell r="CA26">
            <v>4.3317949963565701</v>
          </cell>
          <cell r="CB26">
            <v>161000</v>
          </cell>
          <cell r="CC26">
            <v>1300</v>
          </cell>
          <cell r="CD26">
            <v>123.84615384615384</v>
          </cell>
          <cell r="CE26">
            <v>76171</v>
          </cell>
          <cell r="CF26">
            <v>1300</v>
          </cell>
          <cell r="CG26">
            <v>58.593076923076922</v>
          </cell>
          <cell r="CH26">
            <v>453200</v>
          </cell>
          <cell r="CI26">
            <v>4117</v>
          </cell>
          <cell r="CJ26">
            <v>110.08015545299976</v>
          </cell>
          <cell r="CK26">
            <v>1490160</v>
          </cell>
          <cell r="CL26">
            <v>4117</v>
          </cell>
          <cell r="CM26">
            <v>361.95287830944864</v>
          </cell>
          <cell r="CN26">
            <v>0</v>
          </cell>
          <cell r="CO26">
            <v>0</v>
          </cell>
          <cell r="CP26">
            <v>283.99858707170603</v>
          </cell>
          <cell r="CQ26">
            <v>282</v>
          </cell>
          <cell r="CR26">
            <v>82</v>
          </cell>
          <cell r="CS26">
            <v>1155</v>
          </cell>
          <cell r="CT26">
            <v>82</v>
          </cell>
          <cell r="CU26">
            <v>14.085365853658537</v>
          </cell>
          <cell r="CV26">
            <v>11.5</v>
          </cell>
          <cell r="CW26">
            <v>0</v>
          </cell>
          <cell r="CX26">
            <v>104000</v>
          </cell>
          <cell r="CY26">
            <v>0</v>
          </cell>
          <cell r="CZ26">
            <v>266000</v>
          </cell>
          <cell r="DA26">
            <v>4117</v>
          </cell>
          <cell r="DB26">
            <v>64.610153024046639</v>
          </cell>
          <cell r="DC26">
            <v>405000</v>
          </cell>
          <cell r="DD26">
            <v>4117</v>
          </cell>
          <cell r="DE26">
            <v>98.372601408792804</v>
          </cell>
          <cell r="DF26">
            <v>328000</v>
          </cell>
          <cell r="DG26">
            <v>4117</v>
          </cell>
          <cell r="DH26">
            <v>79.669662375516154</v>
          </cell>
          <cell r="DI26">
            <v>2432.5</v>
          </cell>
          <cell r="DJ26">
            <v>1.6924974306269269</v>
          </cell>
          <cell r="DK26">
            <v>5.3307399264133082E-3</v>
          </cell>
          <cell r="DL26">
            <v>1.37</v>
          </cell>
          <cell r="DM26">
            <v>1.35</v>
          </cell>
        </row>
        <row r="27">
          <cell r="B27" t="str">
            <v>Copmanhurst Shire Council</v>
          </cell>
          <cell r="C27">
            <v>9</v>
          </cell>
          <cell r="D27">
            <v>525000</v>
          </cell>
          <cell r="E27">
            <v>1438</v>
          </cell>
          <cell r="F27">
            <v>365.09040333796941</v>
          </cell>
          <cell r="G27">
            <v>502000</v>
          </cell>
          <cell r="H27">
            <v>565</v>
          </cell>
          <cell r="I27">
            <v>888.49557522123894</v>
          </cell>
          <cell r="J27">
            <v>37000</v>
          </cell>
          <cell r="K27">
            <v>82</v>
          </cell>
          <cell r="L27">
            <v>451.21951219512198</v>
          </cell>
          <cell r="M27">
            <v>181000</v>
          </cell>
          <cell r="N27">
            <v>2670000</v>
          </cell>
          <cell r="O27">
            <v>6.7790262172284649E-2</v>
          </cell>
          <cell r="P27">
            <v>42000</v>
          </cell>
          <cell r="Q27">
            <v>1449000</v>
          </cell>
          <cell r="R27">
            <v>2.8985507246376812E-2</v>
          </cell>
          <cell r="S27">
            <v>23000</v>
          </cell>
          <cell r="T27">
            <v>1156000</v>
          </cell>
          <cell r="U27">
            <v>1.9896193771626297E-2</v>
          </cell>
          <cell r="V27">
            <v>1491000</v>
          </cell>
          <cell r="W27">
            <v>6049000</v>
          </cell>
          <cell r="X27">
            <v>0.24648702264837163</v>
          </cell>
          <cell r="Y27">
            <v>1179000</v>
          </cell>
          <cell r="Z27">
            <v>6049000</v>
          </cell>
          <cell r="AA27">
            <v>0.19490824929740452</v>
          </cell>
          <cell r="AB27">
            <v>160000</v>
          </cell>
          <cell r="AC27">
            <v>6049000</v>
          </cell>
          <cell r="AD27">
            <v>2.6450653000495948E-2</v>
          </cell>
          <cell r="AE27">
            <v>1712000</v>
          </cell>
          <cell r="AF27">
            <v>6049000</v>
          </cell>
          <cell r="AG27">
            <v>0.28302198710530668</v>
          </cell>
          <cell r="AH27">
            <v>1474000</v>
          </cell>
          <cell r="AI27">
            <v>6049000</v>
          </cell>
          <cell r="AJ27">
            <v>0.24367664076706894</v>
          </cell>
          <cell r="AK27">
            <v>33000</v>
          </cell>
          <cell r="AL27">
            <v>6049000</v>
          </cell>
          <cell r="AM27">
            <v>5.4554471813522895E-3</v>
          </cell>
          <cell r="AN27">
            <v>4991000</v>
          </cell>
          <cell r="AO27">
            <v>4614</v>
          </cell>
          <cell r="AP27">
            <v>1081.7078456870395</v>
          </cell>
          <cell r="AQ27">
            <v>2216000</v>
          </cell>
          <cell r="AR27">
            <v>6295000</v>
          </cell>
          <cell r="AS27">
            <v>0.35202541699761714</v>
          </cell>
          <cell r="AT27">
            <v>1463000</v>
          </cell>
          <cell r="AU27">
            <v>6295000</v>
          </cell>
          <cell r="AV27">
            <v>0.23240667196187451</v>
          </cell>
          <cell r="AW27">
            <v>9000</v>
          </cell>
          <cell r="AX27">
            <v>6295000</v>
          </cell>
          <cell r="AY27">
            <v>1.4297061159650516E-3</v>
          </cell>
          <cell r="AZ27">
            <v>1818000</v>
          </cell>
          <cell r="BA27">
            <v>6295000</v>
          </cell>
          <cell r="BB27">
            <v>0.28880063542494044</v>
          </cell>
          <cell r="BC27">
            <v>789000</v>
          </cell>
          <cell r="BD27">
            <v>6295000</v>
          </cell>
          <cell r="BE27">
            <v>0.12533756949960287</v>
          </cell>
          <cell r="BF27">
            <v>6125000</v>
          </cell>
          <cell r="BG27">
            <v>4614</v>
          </cell>
          <cell r="BH27">
            <v>1327.4815778066754</v>
          </cell>
          <cell r="BI27">
            <v>2383000</v>
          </cell>
          <cell r="BJ27">
            <v>920000</v>
          </cell>
          <cell r="BK27">
            <v>2.590217391304348</v>
          </cell>
          <cell r="BL27">
            <v>101000</v>
          </cell>
          <cell r="BM27">
            <v>4194000</v>
          </cell>
          <cell r="BN27">
            <v>2.408202193609919E-2</v>
          </cell>
          <cell r="BO27">
            <v>743000</v>
          </cell>
          <cell r="BP27">
            <v>1769000</v>
          </cell>
          <cell r="BQ27">
            <v>0.42001130582249857</v>
          </cell>
          <cell r="BR27">
            <v>39</v>
          </cell>
          <cell r="BS27" t="str">
            <v>On Time</v>
          </cell>
          <cell r="BT27" t="str">
            <v>On Time</v>
          </cell>
          <cell r="BU27" t="str">
            <v>On Time</v>
          </cell>
          <cell r="BV27">
            <v>51000</v>
          </cell>
          <cell r="BW27">
            <v>4614</v>
          </cell>
          <cell r="BX27">
            <v>11.053315994798439</v>
          </cell>
          <cell r="BY27">
            <v>11258</v>
          </cell>
          <cell r="BZ27">
            <v>4614</v>
          </cell>
          <cell r="CA27">
            <v>2.4399653229302123</v>
          </cell>
          <cell r="CB27">
            <v>139000</v>
          </cell>
          <cell r="CC27">
            <v>899</v>
          </cell>
          <cell r="CD27">
            <v>154.6162402669633</v>
          </cell>
          <cell r="CE27">
            <v>152080</v>
          </cell>
          <cell r="CF27">
            <v>904</v>
          </cell>
          <cell r="CG27">
            <v>168.23008849557522</v>
          </cell>
          <cell r="CH27">
            <v>288700</v>
          </cell>
          <cell r="CI27">
            <v>4614</v>
          </cell>
          <cell r="CJ27">
            <v>62.570437798006068</v>
          </cell>
          <cell r="CK27">
            <v>495000</v>
          </cell>
          <cell r="CL27">
            <v>4614</v>
          </cell>
          <cell r="CM27">
            <v>107.28218465539662</v>
          </cell>
          <cell r="CN27" t="str">
            <v>N/A</v>
          </cell>
          <cell r="CO27" t="str">
            <v>N/A</v>
          </cell>
          <cell r="CP27">
            <v>588.249694002448</v>
          </cell>
          <cell r="CQ27">
            <v>480.070469059679</v>
          </cell>
          <cell r="CR27">
            <v>126</v>
          </cell>
          <cell r="CS27">
            <v>1793</v>
          </cell>
          <cell r="CT27">
            <v>126</v>
          </cell>
          <cell r="CU27">
            <v>14.230158730158729</v>
          </cell>
          <cell r="CV27">
            <v>11</v>
          </cell>
          <cell r="CW27">
            <v>0</v>
          </cell>
          <cell r="CX27">
            <v>171000</v>
          </cell>
          <cell r="CY27">
            <v>0</v>
          </cell>
          <cell r="CZ27">
            <v>183000</v>
          </cell>
          <cell r="DA27">
            <v>4614</v>
          </cell>
          <cell r="DB27">
            <v>39.661898569570873</v>
          </cell>
          <cell r="DC27">
            <v>182000</v>
          </cell>
          <cell r="DD27">
            <v>4614</v>
          </cell>
          <cell r="DE27">
            <v>39.44516688339835</v>
          </cell>
          <cell r="DF27">
            <v>95000</v>
          </cell>
          <cell r="DG27">
            <v>4614</v>
          </cell>
          <cell r="DH27">
            <v>20.589510186389251</v>
          </cell>
          <cell r="DI27">
            <v>3166.2</v>
          </cell>
          <cell r="DJ27">
            <v>1.4572673867727877</v>
          </cell>
          <cell r="DK27">
            <v>1.9709406545415753E-2</v>
          </cell>
          <cell r="DL27">
            <v>4.01</v>
          </cell>
          <cell r="DM27">
            <v>5.48</v>
          </cell>
        </row>
        <row r="28">
          <cell r="B28" t="str">
            <v>Bourke Shire Council</v>
          </cell>
          <cell r="C28">
            <v>9</v>
          </cell>
          <cell r="D28">
            <v>182000</v>
          </cell>
          <cell r="E28">
            <v>1193</v>
          </cell>
          <cell r="F28">
            <v>152.55658005029338</v>
          </cell>
          <cell r="G28">
            <v>766000</v>
          </cell>
          <cell r="H28">
            <v>379</v>
          </cell>
          <cell r="I28">
            <v>2021.108179419525</v>
          </cell>
          <cell r="J28">
            <v>35000</v>
          </cell>
          <cell r="K28">
            <v>140</v>
          </cell>
          <cell r="L28">
            <v>250</v>
          </cell>
          <cell r="M28">
            <v>979000</v>
          </cell>
          <cell r="N28">
            <v>4401000</v>
          </cell>
          <cell r="O28">
            <v>0.22244944330833902</v>
          </cell>
          <cell r="P28">
            <v>-1000</v>
          </cell>
          <cell r="Q28">
            <v>2339000</v>
          </cell>
          <cell r="R28">
            <v>-4.2753313381787086E-4</v>
          </cell>
          <cell r="S28">
            <v>125000</v>
          </cell>
          <cell r="T28">
            <v>1938000</v>
          </cell>
          <cell r="U28">
            <v>6.4499484004127972E-2</v>
          </cell>
          <cell r="V28">
            <v>2338000</v>
          </cell>
          <cell r="W28">
            <v>11382000</v>
          </cell>
          <cell r="X28">
            <v>0.2054120541205412</v>
          </cell>
          <cell r="Y28">
            <v>2063000</v>
          </cell>
          <cell r="Z28">
            <v>11382000</v>
          </cell>
          <cell r="AA28">
            <v>0.18125109822526797</v>
          </cell>
          <cell r="AB28">
            <v>180000</v>
          </cell>
          <cell r="AC28">
            <v>11382000</v>
          </cell>
          <cell r="AD28">
            <v>1.5814443858724301E-2</v>
          </cell>
          <cell r="AE28">
            <v>4411000</v>
          </cell>
          <cell r="AF28">
            <v>11382000</v>
          </cell>
          <cell r="AG28">
            <v>0.38754173256018276</v>
          </cell>
          <cell r="AH28">
            <v>2157000</v>
          </cell>
          <cell r="AI28">
            <v>11382000</v>
          </cell>
          <cell r="AJ28">
            <v>0.18950975224037955</v>
          </cell>
          <cell r="AK28">
            <v>233000</v>
          </cell>
          <cell r="AL28">
            <v>11382000</v>
          </cell>
          <cell r="AM28">
            <v>2.0470918994904233E-2</v>
          </cell>
          <cell r="AN28">
            <v>9541000</v>
          </cell>
          <cell r="AO28">
            <v>3943</v>
          </cell>
          <cell r="AP28">
            <v>2419.7311691605378</v>
          </cell>
          <cell r="AQ28">
            <v>5244000</v>
          </cell>
          <cell r="AR28">
            <v>13359000</v>
          </cell>
          <cell r="AS28">
            <v>0.39254435212216482</v>
          </cell>
          <cell r="AT28">
            <v>4194000</v>
          </cell>
          <cell r="AU28">
            <v>13359000</v>
          </cell>
          <cell r="AV28">
            <v>0.3139456546148664</v>
          </cell>
          <cell r="AW28">
            <v>225000</v>
          </cell>
          <cell r="AX28">
            <v>13359000</v>
          </cell>
          <cell r="AY28">
            <v>1.684257803727824E-2</v>
          </cell>
          <cell r="AZ28">
            <v>2869000</v>
          </cell>
          <cell r="BA28">
            <v>13359000</v>
          </cell>
          <cell r="BB28">
            <v>0.21476158395089454</v>
          </cell>
          <cell r="BC28">
            <v>827000</v>
          </cell>
          <cell r="BD28">
            <v>13359000</v>
          </cell>
          <cell r="BE28">
            <v>6.1905831274796021E-2</v>
          </cell>
          <cell r="BF28">
            <v>11574000</v>
          </cell>
          <cell r="BG28">
            <v>3943</v>
          </cell>
          <cell r="BH28">
            <v>2935.3284301293434</v>
          </cell>
          <cell r="BI28">
            <v>2212000</v>
          </cell>
          <cell r="BJ28">
            <v>1323000</v>
          </cell>
          <cell r="BK28">
            <v>1.6719576719576719</v>
          </cell>
          <cell r="BL28">
            <v>814000</v>
          </cell>
          <cell r="BM28">
            <v>7899000</v>
          </cell>
          <cell r="BN28">
            <v>0.10305101911634384</v>
          </cell>
          <cell r="BO28">
            <v>1273000</v>
          </cell>
          <cell r="BP28">
            <v>2273000</v>
          </cell>
          <cell r="BQ28">
            <v>0.56005279366476024</v>
          </cell>
          <cell r="BR28">
            <v>93</v>
          </cell>
          <cell r="BS28" t="str">
            <v>On Time</v>
          </cell>
          <cell r="BT28" t="str">
            <v>On Time</v>
          </cell>
          <cell r="BU28" t="str">
            <v>On Time</v>
          </cell>
          <cell r="BV28">
            <v>180000</v>
          </cell>
          <cell r="BW28">
            <v>3943</v>
          </cell>
          <cell r="BX28">
            <v>45.650519908698961</v>
          </cell>
          <cell r="BY28">
            <v>17141</v>
          </cell>
          <cell r="BZ28">
            <v>3943</v>
          </cell>
          <cell r="CA28">
            <v>4.3471975653056045</v>
          </cell>
          <cell r="CB28">
            <v>153000</v>
          </cell>
          <cell r="CC28">
            <v>1010</v>
          </cell>
          <cell r="CD28">
            <v>151.48514851485149</v>
          </cell>
          <cell r="CE28">
            <v>154000</v>
          </cell>
          <cell r="CF28">
            <v>1010</v>
          </cell>
          <cell r="CG28">
            <v>152.47524752475246</v>
          </cell>
          <cell r="CH28">
            <v>0</v>
          </cell>
          <cell r="CI28">
            <v>3943</v>
          </cell>
          <cell r="CJ28">
            <v>0</v>
          </cell>
          <cell r="CK28">
            <v>0</v>
          </cell>
          <cell r="CL28">
            <v>3943</v>
          </cell>
          <cell r="CM28">
            <v>0</v>
          </cell>
          <cell r="CN28">
            <v>638.831430833269</v>
          </cell>
          <cell r="CO28">
            <v>903.52941176470597</v>
          </cell>
          <cell r="CP28">
            <v>516.73675357443199</v>
          </cell>
          <cell r="CQ28">
            <v>440.78431372548999</v>
          </cell>
          <cell r="CR28">
            <v>62</v>
          </cell>
          <cell r="CS28">
            <v>903</v>
          </cell>
          <cell r="CT28">
            <v>62</v>
          </cell>
          <cell r="CU28">
            <v>14.564516129032258</v>
          </cell>
          <cell r="CV28">
            <v>10.55</v>
          </cell>
          <cell r="CW28">
            <v>0</v>
          </cell>
          <cell r="CX28">
            <v>111000</v>
          </cell>
          <cell r="CY28">
            <v>0</v>
          </cell>
          <cell r="CZ28">
            <v>365000</v>
          </cell>
          <cell r="DA28">
            <v>3943</v>
          </cell>
          <cell r="DB28">
            <v>92.569109814861775</v>
          </cell>
          <cell r="DC28">
            <v>516000</v>
          </cell>
          <cell r="DD28">
            <v>3943</v>
          </cell>
          <cell r="DE28">
            <v>130.86482373827036</v>
          </cell>
          <cell r="DF28">
            <v>344000</v>
          </cell>
          <cell r="DG28">
            <v>3943</v>
          </cell>
          <cell r="DH28">
            <v>87.243215825513573</v>
          </cell>
          <cell r="DI28">
            <v>41678.800000000003</v>
          </cell>
          <cell r="DJ28">
            <v>9.4604451183815261E-2</v>
          </cell>
          <cell r="DK28">
            <v>4.5713143846937143E-4</v>
          </cell>
          <cell r="DL28">
            <v>26.09</v>
          </cell>
          <cell r="DM28">
            <v>2.5</v>
          </cell>
        </row>
        <row r="29">
          <cell r="B29" t="str">
            <v>Wellington Council</v>
          </cell>
          <cell r="C29">
            <v>10</v>
          </cell>
          <cell r="D29">
            <v>1158000</v>
          </cell>
          <cell r="E29">
            <v>2930</v>
          </cell>
          <cell r="F29">
            <v>395.22184300341297</v>
          </cell>
          <cell r="G29">
            <v>2387000</v>
          </cell>
          <cell r="H29">
            <v>1136</v>
          </cell>
          <cell r="I29">
            <v>2101.2323943661972</v>
          </cell>
          <cell r="J29">
            <v>181000</v>
          </cell>
          <cell r="K29">
            <v>278</v>
          </cell>
          <cell r="L29">
            <v>651.07913669064749</v>
          </cell>
          <cell r="M29">
            <v>329000</v>
          </cell>
          <cell r="N29">
            <v>9092000</v>
          </cell>
          <cell r="O29">
            <v>3.6185657721073468E-2</v>
          </cell>
          <cell r="P29">
            <v>292000</v>
          </cell>
          <cell r="Q29">
            <v>5755000</v>
          </cell>
          <cell r="R29">
            <v>5.0738488271068638E-2</v>
          </cell>
          <cell r="S29">
            <v>325000</v>
          </cell>
          <cell r="T29">
            <v>2720000</v>
          </cell>
          <cell r="U29">
            <v>0.11948529411764706</v>
          </cell>
          <cell r="V29">
            <v>6047000</v>
          </cell>
          <cell r="W29">
            <v>16880000</v>
          </cell>
          <cell r="X29">
            <v>0.3582345971563981</v>
          </cell>
          <cell r="Y29">
            <v>3045000</v>
          </cell>
          <cell r="Z29">
            <v>16880000</v>
          </cell>
          <cell r="AA29">
            <v>0.18039099526066352</v>
          </cell>
          <cell r="AB29">
            <v>423000</v>
          </cell>
          <cell r="AC29">
            <v>16880000</v>
          </cell>
          <cell r="AD29">
            <v>2.5059241706161136E-2</v>
          </cell>
          <cell r="AE29">
            <v>5257000</v>
          </cell>
          <cell r="AF29">
            <v>16880000</v>
          </cell>
          <cell r="AG29">
            <v>0.3114336492890995</v>
          </cell>
          <cell r="AH29">
            <v>1753000</v>
          </cell>
          <cell r="AI29">
            <v>16880000</v>
          </cell>
          <cell r="AJ29">
            <v>0.10385071090047393</v>
          </cell>
          <cell r="AK29">
            <v>355000</v>
          </cell>
          <cell r="AL29">
            <v>16880000</v>
          </cell>
          <cell r="AM29">
            <v>2.103080568720379E-2</v>
          </cell>
          <cell r="AN29">
            <v>12568000</v>
          </cell>
          <cell r="AO29">
            <v>8753</v>
          </cell>
          <cell r="AP29">
            <v>1435.850565520393</v>
          </cell>
          <cell r="AQ29">
            <v>6276000</v>
          </cell>
          <cell r="AR29">
            <v>16793000</v>
          </cell>
          <cell r="AS29">
            <v>0.37372714821651881</v>
          </cell>
          <cell r="AT29">
            <v>4595000</v>
          </cell>
          <cell r="AU29">
            <v>16793000</v>
          </cell>
          <cell r="AV29">
            <v>0.27362591556005478</v>
          </cell>
          <cell r="AW29">
            <v>280000</v>
          </cell>
          <cell r="AX29">
            <v>16793000</v>
          </cell>
          <cell r="AY29">
            <v>1.6673614005835766E-2</v>
          </cell>
          <cell r="AZ29">
            <v>4352000</v>
          </cell>
          <cell r="BA29">
            <v>16793000</v>
          </cell>
          <cell r="BB29">
            <v>0.25915560054784731</v>
          </cell>
          <cell r="BC29">
            <v>1290000</v>
          </cell>
          <cell r="BD29">
            <v>16793000</v>
          </cell>
          <cell r="BE29">
            <v>7.681772166974335E-2</v>
          </cell>
          <cell r="BF29">
            <v>14268000</v>
          </cell>
          <cell r="BG29">
            <v>8753</v>
          </cell>
          <cell r="BH29">
            <v>1630.0696903918656</v>
          </cell>
          <cell r="BI29">
            <v>4377000</v>
          </cell>
          <cell r="BJ29">
            <v>1312000</v>
          </cell>
          <cell r="BK29">
            <v>3.3361280487804876</v>
          </cell>
          <cell r="BL29">
            <v>887000</v>
          </cell>
          <cell r="BM29">
            <v>12578000</v>
          </cell>
          <cell r="BN29">
            <v>7.0519955477818419E-2</v>
          </cell>
          <cell r="BO29">
            <v>2569000</v>
          </cell>
          <cell r="BP29">
            <v>3775000</v>
          </cell>
          <cell r="BQ29">
            <v>0.68052980132450336</v>
          </cell>
          <cell r="BR29">
            <v>138</v>
          </cell>
          <cell r="BS29" t="str">
            <v>On Time</v>
          </cell>
          <cell r="BT29" t="str">
            <v>On Time</v>
          </cell>
          <cell r="BU29" t="str">
            <v>On Time</v>
          </cell>
          <cell r="BV29">
            <v>190000</v>
          </cell>
          <cell r="BW29">
            <v>8753</v>
          </cell>
          <cell r="BX29">
            <v>21.706843367988117</v>
          </cell>
          <cell r="BY29">
            <v>36517</v>
          </cell>
          <cell r="BZ29">
            <v>8753</v>
          </cell>
          <cell r="CA29">
            <v>4.1719410487832747</v>
          </cell>
          <cell r="CB29">
            <v>346000</v>
          </cell>
          <cell r="CC29">
            <v>2421</v>
          </cell>
          <cell r="CD29">
            <v>142.91615035109459</v>
          </cell>
          <cell r="CE29">
            <v>155873</v>
          </cell>
          <cell r="CF29">
            <v>2421</v>
          </cell>
          <cell r="CG29">
            <v>64.383725733168106</v>
          </cell>
          <cell r="CH29">
            <v>0</v>
          </cell>
          <cell r="CI29">
            <v>8753</v>
          </cell>
          <cell r="CJ29" t="str">
            <v>N/A</v>
          </cell>
          <cell r="CK29">
            <v>2191800</v>
          </cell>
          <cell r="CL29">
            <v>8753</v>
          </cell>
          <cell r="CM29">
            <v>250.40557523134925</v>
          </cell>
          <cell r="CN29">
            <v>693.14435359307697</v>
          </cell>
          <cell r="CO29">
            <v>587</v>
          </cell>
          <cell r="CP29">
            <v>435.18255416905498</v>
          </cell>
          <cell r="CQ29">
            <v>346</v>
          </cell>
          <cell r="CR29">
            <v>124</v>
          </cell>
          <cell r="CS29">
            <v>1817</v>
          </cell>
          <cell r="CT29">
            <v>124</v>
          </cell>
          <cell r="CU29">
            <v>14.653225806451612</v>
          </cell>
          <cell r="CV29">
            <v>12</v>
          </cell>
          <cell r="CW29">
            <v>4000</v>
          </cell>
          <cell r="CX29">
            <v>282000</v>
          </cell>
          <cell r="CY29">
            <v>1.4184397163120567E-2</v>
          </cell>
          <cell r="CZ29">
            <v>249000</v>
          </cell>
          <cell r="DA29">
            <v>8753</v>
          </cell>
          <cell r="DB29">
            <v>28.447389466468639</v>
          </cell>
          <cell r="DC29">
            <v>956000</v>
          </cell>
          <cell r="DD29">
            <v>8753</v>
          </cell>
          <cell r="DE29">
            <v>109.21969610419285</v>
          </cell>
          <cell r="DF29">
            <v>119000</v>
          </cell>
          <cell r="DG29">
            <v>8753</v>
          </cell>
          <cell r="DH29">
            <v>13.595338741003085</v>
          </cell>
          <cell r="DI29">
            <v>4113.1000000000004</v>
          </cell>
          <cell r="DJ29">
            <v>2.1280785782013565</v>
          </cell>
          <cell r="DK29">
            <v>-4.2411689330916769E-3</v>
          </cell>
          <cell r="DL29">
            <v>13.06</v>
          </cell>
          <cell r="DM29">
            <v>1.94</v>
          </cell>
        </row>
        <row r="30">
          <cell r="B30" t="str">
            <v>Narrabri Shire Council</v>
          </cell>
          <cell r="C30">
            <v>11</v>
          </cell>
          <cell r="D30">
            <v>2243000</v>
          </cell>
          <cell r="E30">
            <v>4224</v>
          </cell>
          <cell r="F30">
            <v>531.01325757575762</v>
          </cell>
          <cell r="G30">
            <v>3555000</v>
          </cell>
          <cell r="H30">
            <v>1731</v>
          </cell>
          <cell r="I30">
            <v>2053.7261698440207</v>
          </cell>
          <cell r="J30">
            <v>808000</v>
          </cell>
          <cell r="K30">
            <v>556</v>
          </cell>
          <cell r="L30">
            <v>1453.2374100719423</v>
          </cell>
          <cell r="M30">
            <v>2267000</v>
          </cell>
          <cell r="N30">
            <v>13318000</v>
          </cell>
          <cell r="O30">
            <v>0.17022075386694699</v>
          </cell>
          <cell r="P30">
            <v>392000</v>
          </cell>
          <cell r="Q30">
            <v>9392000</v>
          </cell>
          <cell r="R30">
            <v>4.1737649063032366E-2</v>
          </cell>
          <cell r="S30">
            <v>-260000</v>
          </cell>
          <cell r="T30">
            <v>3794000</v>
          </cell>
          <cell r="U30">
            <v>-6.8529256721138646E-2</v>
          </cell>
          <cell r="V30">
            <v>9784000</v>
          </cell>
          <cell r="W30">
            <v>20820000</v>
          </cell>
          <cell r="X30">
            <v>0.46993275696445724</v>
          </cell>
          <cell r="Y30">
            <v>3534000</v>
          </cell>
          <cell r="Z30">
            <v>20820000</v>
          </cell>
          <cell r="AA30">
            <v>0.1697406340057637</v>
          </cell>
          <cell r="AB30">
            <v>554000</v>
          </cell>
          <cell r="AC30">
            <v>20820000</v>
          </cell>
          <cell r="AD30">
            <v>2.6609029779058598E-2</v>
          </cell>
          <cell r="AE30">
            <v>5207000</v>
          </cell>
          <cell r="AF30">
            <v>20820000</v>
          </cell>
          <cell r="AG30">
            <v>0.25009606147934677</v>
          </cell>
          <cell r="AH30">
            <v>1351000</v>
          </cell>
          <cell r="AI30">
            <v>20820000</v>
          </cell>
          <cell r="AJ30">
            <v>6.4889529298751206E-2</v>
          </cell>
          <cell r="AK30">
            <v>390000</v>
          </cell>
          <cell r="AL30">
            <v>20820000</v>
          </cell>
          <cell r="AM30">
            <v>1.8731988472622477E-2</v>
          </cell>
          <cell r="AN30">
            <v>17416000</v>
          </cell>
          <cell r="AO30">
            <v>14463</v>
          </cell>
          <cell r="AP30">
            <v>1204.1761736845745</v>
          </cell>
          <cell r="AQ30">
            <v>4981000</v>
          </cell>
          <cell r="AR30">
            <v>21297000</v>
          </cell>
          <cell r="AS30">
            <v>0.2338827064844814</v>
          </cell>
          <cell r="AT30">
            <v>7443000</v>
          </cell>
          <cell r="AU30">
            <v>21297000</v>
          </cell>
          <cell r="AV30">
            <v>0.34948584307648967</v>
          </cell>
          <cell r="AW30">
            <v>517000</v>
          </cell>
          <cell r="AX30">
            <v>21297000</v>
          </cell>
          <cell r="AY30">
            <v>2.4275719584918063E-2</v>
          </cell>
          <cell r="AZ30">
            <v>6515000</v>
          </cell>
          <cell r="BA30">
            <v>21297000</v>
          </cell>
          <cell r="BB30">
            <v>0.30591163074611449</v>
          </cell>
          <cell r="BC30">
            <v>1841000</v>
          </cell>
          <cell r="BD30">
            <v>21297000</v>
          </cell>
          <cell r="BE30">
            <v>8.6444100107996427E-2</v>
          </cell>
          <cell r="BF30">
            <v>19002000</v>
          </cell>
          <cell r="BG30">
            <v>14463</v>
          </cell>
          <cell r="BH30">
            <v>1313.8353038788632</v>
          </cell>
          <cell r="BI30">
            <v>4695000</v>
          </cell>
          <cell r="BJ30">
            <v>2185000</v>
          </cell>
          <cell r="BK30">
            <v>2.1487414187643021</v>
          </cell>
          <cell r="BL30">
            <v>1396000</v>
          </cell>
          <cell r="BM30">
            <v>18321000</v>
          </cell>
          <cell r="BN30">
            <v>7.6196714153157583E-2</v>
          </cell>
          <cell r="BO30">
            <v>6388000</v>
          </cell>
          <cell r="BP30">
            <v>5592000</v>
          </cell>
          <cell r="BQ30">
            <v>1.142346208869814</v>
          </cell>
          <cell r="BR30">
            <v>92</v>
          </cell>
          <cell r="BS30" t="str">
            <v>On Time</v>
          </cell>
          <cell r="BT30" t="str">
            <v>On Time</v>
          </cell>
          <cell r="BU30" t="str">
            <v>On Time</v>
          </cell>
          <cell r="BV30">
            <v>264000</v>
          </cell>
          <cell r="BW30">
            <v>14463</v>
          </cell>
          <cell r="BX30">
            <v>18.253474382908109</v>
          </cell>
          <cell r="BY30">
            <v>104914</v>
          </cell>
          <cell r="BZ30">
            <v>14463</v>
          </cell>
          <cell r="CA30">
            <v>7.2539583765470512</v>
          </cell>
          <cell r="CB30">
            <v>856000</v>
          </cell>
          <cell r="CC30">
            <v>3205</v>
          </cell>
          <cell r="CD30">
            <v>267.08268330733227</v>
          </cell>
          <cell r="CE30">
            <v>776000</v>
          </cell>
          <cell r="CF30">
            <v>3715</v>
          </cell>
          <cell r="CG30">
            <v>208.88290713324361</v>
          </cell>
          <cell r="CH30">
            <v>0</v>
          </cell>
          <cell r="CI30">
            <v>14463</v>
          </cell>
          <cell r="CJ30" t="str">
            <v>N/A</v>
          </cell>
          <cell r="CK30">
            <v>5720000</v>
          </cell>
          <cell r="CL30">
            <v>14463</v>
          </cell>
          <cell r="CM30">
            <v>395.49194496300908</v>
          </cell>
          <cell r="CN30">
            <v>418.27282801744599</v>
          </cell>
          <cell r="CO30">
            <v>242.29434679523001</v>
          </cell>
          <cell r="CP30">
            <v>288.76063544951501</v>
          </cell>
          <cell r="CQ30">
            <v>384</v>
          </cell>
          <cell r="CR30">
            <v>55</v>
          </cell>
          <cell r="CS30">
            <v>806</v>
          </cell>
          <cell r="CT30">
            <v>55</v>
          </cell>
          <cell r="CU30">
            <v>14.654545454545454</v>
          </cell>
          <cell r="CV30">
            <v>10.5</v>
          </cell>
          <cell r="CW30">
            <v>0</v>
          </cell>
          <cell r="CX30">
            <v>443000</v>
          </cell>
          <cell r="CY30">
            <v>0</v>
          </cell>
          <cell r="CZ30">
            <v>334000</v>
          </cell>
          <cell r="DA30">
            <v>14463</v>
          </cell>
          <cell r="DB30">
            <v>23.093410772315565</v>
          </cell>
          <cell r="DC30">
            <v>1325000</v>
          </cell>
          <cell r="DD30">
            <v>14463</v>
          </cell>
          <cell r="DE30">
            <v>91.613081656641086</v>
          </cell>
          <cell r="DF30">
            <v>313000</v>
          </cell>
          <cell r="DG30">
            <v>14463</v>
          </cell>
          <cell r="DH30">
            <v>21.641429855493328</v>
          </cell>
          <cell r="DI30">
            <v>13030.6</v>
          </cell>
          <cell r="DJ30">
            <v>1.1099258668058263</v>
          </cell>
          <cell r="DK30">
            <v>2.6061618436032941E-3</v>
          </cell>
          <cell r="DL30">
            <v>7.8</v>
          </cell>
          <cell r="DM30">
            <v>1.57</v>
          </cell>
        </row>
        <row r="31">
          <cell r="B31" t="str">
            <v>Conargo Shire Council</v>
          </cell>
          <cell r="C31">
            <v>8</v>
          </cell>
          <cell r="D31">
            <v>50000</v>
          </cell>
          <cell r="E31">
            <v>258</v>
          </cell>
          <cell r="F31">
            <v>193.79844961240309</v>
          </cell>
          <cell r="G31">
            <v>1691000</v>
          </cell>
          <cell r="H31">
            <v>777</v>
          </cell>
          <cell r="I31">
            <v>2176.3191763191762</v>
          </cell>
          <cell r="J31">
            <v>7000</v>
          </cell>
          <cell r="K31">
            <v>39</v>
          </cell>
          <cell r="L31">
            <v>179.48717948717947</v>
          </cell>
          <cell r="M31">
            <v>129000</v>
          </cell>
          <cell r="N31">
            <v>1953000</v>
          </cell>
          <cell r="O31">
            <v>6.6052227342549924E-2</v>
          </cell>
          <cell r="P31">
            <v>60000</v>
          </cell>
          <cell r="Q31">
            <v>1694000</v>
          </cell>
          <cell r="R31">
            <v>3.541912632821724E-2</v>
          </cell>
          <cell r="S31">
            <v>-222000</v>
          </cell>
          <cell r="T31">
            <v>421000</v>
          </cell>
          <cell r="U31">
            <v>-0.52731591448931114</v>
          </cell>
          <cell r="V31">
            <v>1754000</v>
          </cell>
          <cell r="W31">
            <v>5239000</v>
          </cell>
          <cell r="X31">
            <v>0.33479671693071195</v>
          </cell>
          <cell r="Y31">
            <v>199000</v>
          </cell>
          <cell r="Z31">
            <v>5239000</v>
          </cell>
          <cell r="AA31">
            <v>3.7984348158045425E-2</v>
          </cell>
          <cell r="AB31">
            <v>169000</v>
          </cell>
          <cell r="AC31">
            <v>5239000</v>
          </cell>
          <cell r="AD31">
            <v>3.2258064516129031E-2</v>
          </cell>
          <cell r="AE31">
            <v>2985000</v>
          </cell>
          <cell r="AF31">
            <v>5239000</v>
          </cell>
          <cell r="AG31">
            <v>0.56976522237068139</v>
          </cell>
          <cell r="AH31">
            <v>100000</v>
          </cell>
          <cell r="AI31">
            <v>5239000</v>
          </cell>
          <cell r="AJ31">
            <v>1.9087612139721322E-2</v>
          </cell>
          <cell r="AK31">
            <v>32000</v>
          </cell>
          <cell r="AL31">
            <v>5239000</v>
          </cell>
          <cell r="AM31">
            <v>6.1080358847108223E-3</v>
          </cell>
          <cell r="AN31">
            <v>5112000</v>
          </cell>
          <cell r="AO31">
            <v>1824</v>
          </cell>
          <cell r="AP31">
            <v>2802.6315789473683</v>
          </cell>
          <cell r="AQ31">
            <v>1504000</v>
          </cell>
          <cell r="AR31">
            <v>4606000</v>
          </cell>
          <cell r="AS31">
            <v>0.32653061224489793</v>
          </cell>
          <cell r="AT31">
            <v>1681000</v>
          </cell>
          <cell r="AU31">
            <v>4606000</v>
          </cell>
          <cell r="AV31">
            <v>0.36495874945722973</v>
          </cell>
          <cell r="AW31">
            <v>0</v>
          </cell>
          <cell r="AX31">
            <v>4606000</v>
          </cell>
          <cell r="AY31">
            <v>0</v>
          </cell>
          <cell r="AZ31">
            <v>889000</v>
          </cell>
          <cell r="BA31">
            <v>4606000</v>
          </cell>
          <cell r="BB31">
            <v>0.19300911854103345</v>
          </cell>
          <cell r="BC31">
            <v>532000</v>
          </cell>
          <cell r="BD31">
            <v>4606000</v>
          </cell>
          <cell r="BE31">
            <v>0.11550151975683891</v>
          </cell>
          <cell r="BF31">
            <v>4584000</v>
          </cell>
          <cell r="BG31">
            <v>1824</v>
          </cell>
          <cell r="BH31">
            <v>2513.1578947368421</v>
          </cell>
          <cell r="BI31">
            <v>4112000</v>
          </cell>
          <cell r="BJ31">
            <v>316000</v>
          </cell>
          <cell r="BK31">
            <v>13.012658227848101</v>
          </cell>
          <cell r="BL31">
            <v>0</v>
          </cell>
          <cell r="BM31">
            <v>4078000</v>
          </cell>
          <cell r="BN31">
            <v>0</v>
          </cell>
          <cell r="BO31">
            <v>-30000</v>
          </cell>
          <cell r="BP31">
            <v>883000</v>
          </cell>
          <cell r="BQ31">
            <v>-3.3975084937712341E-2</v>
          </cell>
          <cell r="BR31">
            <v>30</v>
          </cell>
          <cell r="BS31" t="str">
            <v>&lt;=16</v>
          </cell>
          <cell r="BT31" t="str">
            <v>On Time</v>
          </cell>
          <cell r="BU31" t="str">
            <v>On Time</v>
          </cell>
          <cell r="BV31">
            <v>67000</v>
          </cell>
          <cell r="BW31">
            <v>1824</v>
          </cell>
          <cell r="BX31">
            <v>36.732456140350877</v>
          </cell>
          <cell r="BY31">
            <v>10924</v>
          </cell>
          <cell r="BZ31">
            <v>1824</v>
          </cell>
          <cell r="CA31">
            <v>5.9890350877192979</v>
          </cell>
          <cell r="CB31">
            <v>0</v>
          </cell>
          <cell r="CC31">
            <v>0</v>
          </cell>
          <cell r="CD31" t="str">
            <v>N/A</v>
          </cell>
          <cell r="CE31">
            <v>0</v>
          </cell>
          <cell r="CF31">
            <v>0</v>
          </cell>
          <cell r="CG31" t="str">
            <v>N/A</v>
          </cell>
          <cell r="CH31">
            <v>30000</v>
          </cell>
          <cell r="CI31">
            <v>1824</v>
          </cell>
          <cell r="CJ31" t="str">
            <v>N/A</v>
          </cell>
          <cell r="CK31">
            <v>500000</v>
          </cell>
          <cell r="CL31">
            <v>1824</v>
          </cell>
          <cell r="CM31">
            <v>274.12280701754383</v>
          </cell>
          <cell r="CN31" t="str">
            <v>N/A</v>
          </cell>
          <cell r="CO31" t="str">
            <v>N/A</v>
          </cell>
          <cell r="CP31" t="str">
            <v>N/A</v>
          </cell>
          <cell r="CQ31" t="str">
            <v>N/A</v>
          </cell>
          <cell r="CR31">
            <v>28</v>
          </cell>
          <cell r="CS31">
            <v>418</v>
          </cell>
          <cell r="CT31">
            <v>28</v>
          </cell>
          <cell r="CU31">
            <v>14.928571428571429</v>
          </cell>
          <cell r="CV31">
            <v>5</v>
          </cell>
          <cell r="CW31">
            <v>0</v>
          </cell>
          <cell r="CX31">
            <v>0</v>
          </cell>
          <cell r="CY31" t="str">
            <v>N/A</v>
          </cell>
          <cell r="CZ31">
            <v>71000</v>
          </cell>
          <cell r="DA31">
            <v>1824</v>
          </cell>
          <cell r="DB31">
            <v>38.925438596491226</v>
          </cell>
          <cell r="DC31">
            <v>38000</v>
          </cell>
          <cell r="DD31">
            <v>1824</v>
          </cell>
          <cell r="DE31">
            <v>20.833333333333332</v>
          </cell>
          <cell r="DF31">
            <v>2000</v>
          </cell>
          <cell r="DG31">
            <v>1824</v>
          </cell>
          <cell r="DH31">
            <v>1.0964912280701755</v>
          </cell>
          <cell r="DI31">
            <v>8750.9</v>
          </cell>
          <cell r="DJ31">
            <v>0.20843570375618509</v>
          </cell>
          <cell r="DK31">
            <v>-1.0720931946474832E-2</v>
          </cell>
          <cell r="DL31">
            <v>0.83</v>
          </cell>
          <cell r="DM31">
            <v>2.54</v>
          </cell>
        </row>
        <row r="32">
          <cell r="B32" t="str">
            <v>Culcairn Shire Council</v>
          </cell>
          <cell r="C32">
            <v>9</v>
          </cell>
          <cell r="D32">
            <v>195000</v>
          </cell>
          <cell r="E32">
            <v>1353</v>
          </cell>
          <cell r="F32">
            <v>144.12416851441242</v>
          </cell>
          <cell r="G32">
            <v>834000</v>
          </cell>
          <cell r="H32">
            <v>845</v>
          </cell>
          <cell r="I32">
            <v>986.98224852071007</v>
          </cell>
          <cell r="J32">
            <v>30000</v>
          </cell>
          <cell r="K32">
            <v>191</v>
          </cell>
          <cell r="L32">
            <v>157.06806282722513</v>
          </cell>
          <cell r="M32">
            <v>364000</v>
          </cell>
          <cell r="N32">
            <v>2621000</v>
          </cell>
          <cell r="O32">
            <v>0.13887829072872948</v>
          </cell>
          <cell r="P32">
            <v>46000</v>
          </cell>
          <cell r="Q32">
            <v>1591000</v>
          </cell>
          <cell r="R32">
            <v>2.8912633563796353E-2</v>
          </cell>
          <cell r="S32">
            <v>-209000</v>
          </cell>
          <cell r="T32">
            <v>1193000</v>
          </cell>
          <cell r="U32">
            <v>-0.17518860016764459</v>
          </cell>
          <cell r="V32">
            <v>1637000</v>
          </cell>
          <cell r="W32">
            <v>6109000</v>
          </cell>
          <cell r="X32">
            <v>0.26796529710263545</v>
          </cell>
          <cell r="Y32">
            <v>984000</v>
          </cell>
          <cell r="Z32">
            <v>6109000</v>
          </cell>
          <cell r="AA32">
            <v>0.16107382550335569</v>
          </cell>
          <cell r="AB32">
            <v>259000</v>
          </cell>
          <cell r="AC32">
            <v>6109000</v>
          </cell>
          <cell r="AD32">
            <v>4.2396464233098709E-2</v>
          </cell>
          <cell r="AE32">
            <v>2281000</v>
          </cell>
          <cell r="AF32">
            <v>6109000</v>
          </cell>
          <cell r="AG32">
            <v>0.37338353249304307</v>
          </cell>
          <cell r="AH32">
            <v>886000</v>
          </cell>
          <cell r="AI32">
            <v>6109000</v>
          </cell>
          <cell r="AJ32">
            <v>0.1450319201178589</v>
          </cell>
          <cell r="AK32">
            <v>62000</v>
          </cell>
          <cell r="AL32">
            <v>6109000</v>
          </cell>
          <cell r="AM32">
            <v>1.0148960550008185E-2</v>
          </cell>
          <cell r="AN32">
            <v>5101000</v>
          </cell>
          <cell r="AO32">
            <v>4058</v>
          </cell>
          <cell r="AP32">
            <v>1257.0231641202563</v>
          </cell>
          <cell r="AQ32">
            <v>1856000</v>
          </cell>
          <cell r="AR32">
            <v>5944000</v>
          </cell>
          <cell r="AS32">
            <v>0.31224764468371469</v>
          </cell>
          <cell r="AT32">
            <v>1704000</v>
          </cell>
          <cell r="AU32">
            <v>5944000</v>
          </cell>
          <cell r="AV32">
            <v>0.28667563930013457</v>
          </cell>
          <cell r="AW32">
            <v>79000</v>
          </cell>
          <cell r="AX32">
            <v>5944000</v>
          </cell>
          <cell r="AY32">
            <v>1.3290713324360701E-2</v>
          </cell>
          <cell r="AZ32">
            <v>1492000</v>
          </cell>
          <cell r="BA32">
            <v>5944000</v>
          </cell>
          <cell r="BB32">
            <v>0.25100942126514131</v>
          </cell>
          <cell r="BC32">
            <v>813000</v>
          </cell>
          <cell r="BD32">
            <v>5944000</v>
          </cell>
          <cell r="BE32">
            <v>0.13677658142664872</v>
          </cell>
          <cell r="BF32">
            <v>5484000</v>
          </cell>
          <cell r="BG32">
            <v>4058</v>
          </cell>
          <cell r="BH32">
            <v>1351.4046328240513</v>
          </cell>
          <cell r="BI32">
            <v>3083000</v>
          </cell>
          <cell r="BJ32">
            <v>600000</v>
          </cell>
          <cell r="BK32">
            <v>5.1383333333333336</v>
          </cell>
          <cell r="BL32">
            <v>197000</v>
          </cell>
          <cell r="BM32">
            <v>4485000</v>
          </cell>
          <cell r="BN32">
            <v>4.3924191750278709E-2</v>
          </cell>
          <cell r="BO32">
            <v>-64005000</v>
          </cell>
          <cell r="BP32">
            <v>1327000</v>
          </cell>
          <cell r="BQ32">
            <v>-48.232856066314994</v>
          </cell>
          <cell r="BR32">
            <v>41</v>
          </cell>
          <cell r="BS32" t="str">
            <v>On Time</v>
          </cell>
          <cell r="BT32" t="str">
            <v>On Time</v>
          </cell>
          <cell r="BU32" t="str">
            <v>On Time</v>
          </cell>
          <cell r="BV32">
            <v>130000</v>
          </cell>
          <cell r="BW32">
            <v>4058</v>
          </cell>
          <cell r="BX32">
            <v>32.035485460818137</v>
          </cell>
          <cell r="BY32">
            <v>21919</v>
          </cell>
          <cell r="BZ32">
            <v>4058</v>
          </cell>
          <cell r="CA32">
            <v>5.4014292755051754</v>
          </cell>
          <cell r="CB32">
            <v>131000</v>
          </cell>
          <cell r="CC32">
            <v>1090</v>
          </cell>
          <cell r="CD32">
            <v>120.18348623853211</v>
          </cell>
          <cell r="CE32">
            <v>98300</v>
          </cell>
          <cell r="CF32">
            <v>1090</v>
          </cell>
          <cell r="CG32">
            <v>90.183486238532112</v>
          </cell>
          <cell r="CH32">
            <v>188800</v>
          </cell>
          <cell r="CI32">
            <v>4058</v>
          </cell>
          <cell r="CJ32">
            <v>46.525381961557414</v>
          </cell>
          <cell r="CK32">
            <v>1404000</v>
          </cell>
          <cell r="CL32">
            <v>4058</v>
          </cell>
          <cell r="CM32">
            <v>345.98324297683587</v>
          </cell>
          <cell r="CN32">
            <v>195.67908629847099</v>
          </cell>
          <cell r="CO32">
            <v>192.80439448506701</v>
          </cell>
          <cell r="CP32">
            <v>181.93733078103699</v>
          </cell>
          <cell r="CQ32">
            <v>254.886606169484</v>
          </cell>
          <cell r="CR32">
            <v>67</v>
          </cell>
          <cell r="CS32">
            <v>1044</v>
          </cell>
          <cell r="CT32">
            <v>67</v>
          </cell>
          <cell r="CU32">
            <v>15.582089552238806</v>
          </cell>
          <cell r="CV32">
            <v>18.5</v>
          </cell>
          <cell r="CW32">
            <v>0</v>
          </cell>
          <cell r="CX32">
            <v>50000</v>
          </cell>
          <cell r="CY32">
            <v>0</v>
          </cell>
          <cell r="CZ32">
            <v>176000</v>
          </cell>
          <cell r="DA32">
            <v>4058</v>
          </cell>
          <cell r="DB32">
            <v>43.371118777723019</v>
          </cell>
          <cell r="DC32">
            <v>300000</v>
          </cell>
          <cell r="DD32">
            <v>4058</v>
          </cell>
          <cell r="DE32">
            <v>73.928043371118775</v>
          </cell>
          <cell r="DF32">
            <v>37000</v>
          </cell>
          <cell r="DG32">
            <v>4058</v>
          </cell>
          <cell r="DH32">
            <v>9.1177920157713164</v>
          </cell>
          <cell r="DI32">
            <v>1598</v>
          </cell>
          <cell r="DJ32">
            <v>2.5394242803504379</v>
          </cell>
          <cell r="DK32">
            <v>-7.9863988951406339E-3</v>
          </cell>
          <cell r="DL32">
            <v>1.32</v>
          </cell>
          <cell r="DM32">
            <v>2.65</v>
          </cell>
        </row>
        <row r="33">
          <cell r="B33" t="str">
            <v>Mulwaree Shire Council</v>
          </cell>
          <cell r="C33">
            <v>10</v>
          </cell>
          <cell r="D33">
            <v>382000</v>
          </cell>
          <cell r="E33">
            <v>1137</v>
          </cell>
          <cell r="F33">
            <v>335.97185576077396</v>
          </cell>
          <cell r="G33">
            <v>2449000</v>
          </cell>
          <cell r="H33">
            <v>4161</v>
          </cell>
          <cell r="I33">
            <v>588.56044220139393</v>
          </cell>
          <cell r="J33">
            <v>80000</v>
          </cell>
          <cell r="K33">
            <v>133</v>
          </cell>
          <cell r="L33">
            <v>601.50375939849619</v>
          </cell>
          <cell r="M33">
            <v>1345000</v>
          </cell>
          <cell r="N33">
            <v>6435000</v>
          </cell>
          <cell r="O33">
            <v>0.20901320901320902</v>
          </cell>
          <cell r="P33">
            <v>98000</v>
          </cell>
          <cell r="Q33">
            <v>3261000</v>
          </cell>
          <cell r="R33">
            <v>3.0052131248083411E-2</v>
          </cell>
          <cell r="S33">
            <v>-342000</v>
          </cell>
          <cell r="T33">
            <v>3418000</v>
          </cell>
          <cell r="U33">
            <v>-0.10005851375073142</v>
          </cell>
          <cell r="V33">
            <v>3359000</v>
          </cell>
          <cell r="W33">
            <v>12552000</v>
          </cell>
          <cell r="X33">
            <v>0.26760675589547483</v>
          </cell>
          <cell r="Y33">
            <v>3076000</v>
          </cell>
          <cell r="Z33">
            <v>12552000</v>
          </cell>
          <cell r="AA33">
            <v>0.24506054811982153</v>
          </cell>
          <cell r="AB33">
            <v>404000</v>
          </cell>
          <cell r="AC33">
            <v>12552000</v>
          </cell>
          <cell r="AD33">
            <v>3.2186105799872529E-2</v>
          </cell>
          <cell r="AE33">
            <v>2707000</v>
          </cell>
          <cell r="AF33">
            <v>12552000</v>
          </cell>
          <cell r="AG33">
            <v>0.21566284257488846</v>
          </cell>
          <cell r="AH33">
            <v>2728000</v>
          </cell>
          <cell r="AI33">
            <v>12552000</v>
          </cell>
          <cell r="AJ33">
            <v>0.21733588272785215</v>
          </cell>
          <cell r="AK33">
            <v>278000</v>
          </cell>
          <cell r="AL33">
            <v>12552000</v>
          </cell>
          <cell r="AM33">
            <v>2.2147864882090505E-2</v>
          </cell>
          <cell r="AN33">
            <v>9788000</v>
          </cell>
          <cell r="AO33">
            <v>7083</v>
          </cell>
          <cell r="AP33">
            <v>1381.9003247211633</v>
          </cell>
          <cell r="AQ33">
            <v>3161000</v>
          </cell>
          <cell r="AR33">
            <v>10424000</v>
          </cell>
          <cell r="AS33">
            <v>0.30324251726784346</v>
          </cell>
          <cell r="AT33">
            <v>2759000</v>
          </cell>
          <cell r="AU33">
            <v>10424000</v>
          </cell>
          <cell r="AV33">
            <v>0.26467766692248657</v>
          </cell>
          <cell r="AW33">
            <v>144000</v>
          </cell>
          <cell r="AX33">
            <v>10424000</v>
          </cell>
          <cell r="AY33">
            <v>1.3814274750575594E-2</v>
          </cell>
          <cell r="AZ33">
            <v>3340000</v>
          </cell>
          <cell r="BA33">
            <v>10424000</v>
          </cell>
          <cell r="BB33">
            <v>0.32041442824251726</v>
          </cell>
          <cell r="BC33">
            <v>1020000</v>
          </cell>
          <cell r="BD33">
            <v>10424000</v>
          </cell>
          <cell r="BE33">
            <v>9.7851112816577129E-2</v>
          </cell>
          <cell r="BF33">
            <v>9851000</v>
          </cell>
          <cell r="BG33">
            <v>7083</v>
          </cell>
          <cell r="BH33">
            <v>1390.7948609346322</v>
          </cell>
          <cell r="BI33">
            <v>8293000</v>
          </cell>
          <cell r="BJ33">
            <v>1815000</v>
          </cell>
          <cell r="BK33">
            <v>4.5691460055096416</v>
          </cell>
          <cell r="BL33">
            <v>276000</v>
          </cell>
          <cell r="BM33">
            <v>9032000</v>
          </cell>
          <cell r="BN33">
            <v>3.0558015943312665E-2</v>
          </cell>
          <cell r="BO33">
            <v>3523000</v>
          </cell>
          <cell r="BP33">
            <v>3177000</v>
          </cell>
          <cell r="BQ33">
            <v>1.1089077746301543</v>
          </cell>
          <cell r="BR33">
            <v>74</v>
          </cell>
          <cell r="BS33" t="str">
            <v>On Time</v>
          </cell>
          <cell r="BT33" t="str">
            <v>On Time</v>
          </cell>
          <cell r="BU33" t="str">
            <v>On Time</v>
          </cell>
          <cell r="BV33">
            <v>83000</v>
          </cell>
          <cell r="BW33">
            <v>7083</v>
          </cell>
          <cell r="BX33">
            <v>11.718198503458986</v>
          </cell>
          <cell r="BY33">
            <v>31701</v>
          </cell>
          <cell r="BZ33">
            <v>7083</v>
          </cell>
          <cell r="CA33">
            <v>4.4756459127488348</v>
          </cell>
          <cell r="CB33">
            <v>74000</v>
          </cell>
          <cell r="CC33">
            <v>471</v>
          </cell>
          <cell r="CD33">
            <v>157.11252653927812</v>
          </cell>
          <cell r="CE33">
            <v>39159</v>
          </cell>
          <cell r="CF33">
            <v>471</v>
          </cell>
          <cell r="CG33">
            <v>83.140127388535035</v>
          </cell>
          <cell r="CH33">
            <v>44000</v>
          </cell>
          <cell r="CI33">
            <v>7083</v>
          </cell>
          <cell r="CJ33">
            <v>6.2120570379782576</v>
          </cell>
          <cell r="CK33">
            <v>289000</v>
          </cell>
          <cell r="CL33">
            <v>7083</v>
          </cell>
          <cell r="CM33">
            <v>40.801920090357193</v>
          </cell>
          <cell r="CN33">
            <v>587.67996223743205</v>
          </cell>
          <cell r="CO33">
            <v>700</v>
          </cell>
          <cell r="CP33">
            <v>384.15626695604999</v>
          </cell>
          <cell r="CQ33">
            <v>288</v>
          </cell>
          <cell r="CR33">
            <v>298</v>
          </cell>
          <cell r="CS33">
            <v>4756</v>
          </cell>
          <cell r="CT33">
            <v>298</v>
          </cell>
          <cell r="CU33">
            <v>15.95973154362416</v>
          </cell>
          <cell r="CV33">
            <v>18</v>
          </cell>
          <cell r="CW33">
            <v>81000</v>
          </cell>
          <cell r="CX33">
            <v>552000</v>
          </cell>
          <cell r="CY33">
            <v>0.14673913043478262</v>
          </cell>
          <cell r="CZ33">
            <v>210000</v>
          </cell>
          <cell r="DA33">
            <v>7083</v>
          </cell>
          <cell r="DB33">
            <v>29.64845404489623</v>
          </cell>
          <cell r="DC33">
            <v>62000</v>
          </cell>
          <cell r="DD33">
            <v>7083</v>
          </cell>
          <cell r="DE33">
            <v>8.7533530989693631</v>
          </cell>
          <cell r="DF33">
            <v>15000</v>
          </cell>
          <cell r="DG33">
            <v>7083</v>
          </cell>
          <cell r="DH33">
            <v>2.1177467174925879</v>
          </cell>
          <cell r="DI33">
            <v>5206.5</v>
          </cell>
          <cell r="DJ33">
            <v>1.3604148660328435</v>
          </cell>
          <cell r="DK33">
            <v>3.5267333280370572E-2</v>
          </cell>
          <cell r="DL33">
            <v>0.71</v>
          </cell>
          <cell r="DM33">
            <v>4.37</v>
          </cell>
        </row>
        <row r="34">
          <cell r="B34" t="str">
            <v>Lockhart Shire Council</v>
          </cell>
          <cell r="C34">
            <v>9</v>
          </cell>
          <cell r="D34">
            <v>168000</v>
          </cell>
          <cell r="E34">
            <v>1028</v>
          </cell>
          <cell r="F34">
            <v>163.42412451361866</v>
          </cell>
          <cell r="G34">
            <v>1139000</v>
          </cell>
          <cell r="H34">
            <v>1063</v>
          </cell>
          <cell r="I34">
            <v>1071.4957666980245</v>
          </cell>
          <cell r="J34">
            <v>60000</v>
          </cell>
          <cell r="K34">
            <v>231</v>
          </cell>
          <cell r="L34">
            <v>259.74025974025972</v>
          </cell>
          <cell r="M34">
            <v>206000</v>
          </cell>
          <cell r="N34">
            <v>2319000</v>
          </cell>
          <cell r="O34">
            <v>8.8831392841742129E-2</v>
          </cell>
          <cell r="P34">
            <v>67000</v>
          </cell>
          <cell r="Q34">
            <v>1670000</v>
          </cell>
          <cell r="R34">
            <v>4.0119760479041915E-2</v>
          </cell>
          <cell r="S34">
            <v>-348000</v>
          </cell>
          <cell r="T34">
            <v>930000</v>
          </cell>
          <cell r="U34">
            <v>-0.37419354838709679</v>
          </cell>
          <cell r="V34">
            <v>1737000</v>
          </cell>
          <cell r="W34">
            <v>7264000</v>
          </cell>
          <cell r="X34">
            <v>0.23912444933920704</v>
          </cell>
          <cell r="Y34">
            <v>582000</v>
          </cell>
          <cell r="Z34">
            <v>7264000</v>
          </cell>
          <cell r="AA34">
            <v>8.0121145374449337E-2</v>
          </cell>
          <cell r="AB34">
            <v>250000</v>
          </cell>
          <cell r="AC34">
            <v>7264000</v>
          </cell>
          <cell r="AD34">
            <v>3.4416299559471362E-2</v>
          </cell>
          <cell r="AE34">
            <v>3471000</v>
          </cell>
          <cell r="AF34">
            <v>7264000</v>
          </cell>
          <cell r="AG34">
            <v>0.47783590308370044</v>
          </cell>
          <cell r="AH34">
            <v>1062000</v>
          </cell>
          <cell r="AI34">
            <v>7264000</v>
          </cell>
          <cell r="AJ34">
            <v>0.14620044052863437</v>
          </cell>
          <cell r="AK34">
            <v>162000</v>
          </cell>
          <cell r="AL34">
            <v>7264000</v>
          </cell>
          <cell r="AM34">
            <v>2.2301762114537445E-2</v>
          </cell>
          <cell r="AN34">
            <v>6476000</v>
          </cell>
          <cell r="AO34">
            <v>3552</v>
          </cell>
          <cell r="AP34">
            <v>1823.1981981981983</v>
          </cell>
          <cell r="AQ34">
            <v>2030000</v>
          </cell>
          <cell r="AR34">
            <v>7055000</v>
          </cell>
          <cell r="AS34">
            <v>0.28773919206236709</v>
          </cell>
          <cell r="AT34">
            <v>2163000</v>
          </cell>
          <cell r="AU34">
            <v>7055000</v>
          </cell>
          <cell r="AV34">
            <v>0.30659107016300496</v>
          </cell>
          <cell r="AW34">
            <v>92000</v>
          </cell>
          <cell r="AX34">
            <v>7055000</v>
          </cell>
          <cell r="AY34">
            <v>1.3040396881644224E-2</v>
          </cell>
          <cell r="AZ34">
            <v>1496000</v>
          </cell>
          <cell r="BA34">
            <v>7055000</v>
          </cell>
          <cell r="BB34">
            <v>0.21204819277108433</v>
          </cell>
          <cell r="BC34">
            <v>1274000</v>
          </cell>
          <cell r="BD34">
            <v>7055000</v>
          </cell>
          <cell r="BE34">
            <v>0.18058114812189935</v>
          </cell>
          <cell r="BF34">
            <v>6768000</v>
          </cell>
          <cell r="BG34">
            <v>3552</v>
          </cell>
          <cell r="BH34">
            <v>1905.4054054054054</v>
          </cell>
          <cell r="BI34">
            <v>3589000</v>
          </cell>
          <cell r="BJ34">
            <v>625000</v>
          </cell>
          <cell r="BK34">
            <v>5.7423999999999999</v>
          </cell>
          <cell r="BL34">
            <v>390000</v>
          </cell>
          <cell r="BM34">
            <v>5095000</v>
          </cell>
          <cell r="BN34">
            <v>7.6545632973503433E-2</v>
          </cell>
          <cell r="BO34">
            <v>447000</v>
          </cell>
          <cell r="BP34">
            <v>1374000</v>
          </cell>
          <cell r="BQ34">
            <v>0.32532751091703055</v>
          </cell>
          <cell r="BR34">
            <v>41</v>
          </cell>
          <cell r="BS34" t="str">
            <v>On Time</v>
          </cell>
          <cell r="BT34" t="str">
            <v>On Time</v>
          </cell>
          <cell r="BU34" t="str">
            <v>On Time</v>
          </cell>
          <cell r="BV34">
            <v>324000</v>
          </cell>
          <cell r="BW34">
            <v>3552</v>
          </cell>
          <cell r="BX34">
            <v>91.21621621621621</v>
          </cell>
          <cell r="BY34">
            <v>20176</v>
          </cell>
          <cell r="BZ34">
            <v>3552</v>
          </cell>
          <cell r="CA34">
            <v>5.6801801801801801</v>
          </cell>
          <cell r="CB34">
            <v>82000</v>
          </cell>
          <cell r="CC34">
            <v>756</v>
          </cell>
          <cell r="CD34">
            <v>108.46560846560847</v>
          </cell>
          <cell r="CE34">
            <v>41899</v>
          </cell>
          <cell r="CF34">
            <v>756</v>
          </cell>
          <cell r="CG34">
            <v>55.421957671957671</v>
          </cell>
          <cell r="CH34">
            <v>600</v>
          </cell>
          <cell r="CI34">
            <v>3552</v>
          </cell>
          <cell r="CJ34" t="str">
            <v>N/A</v>
          </cell>
          <cell r="CK34">
            <v>5455000</v>
          </cell>
          <cell r="CL34">
            <v>3552</v>
          </cell>
          <cell r="CM34">
            <v>1535.7545045045044</v>
          </cell>
          <cell r="CN34">
            <v>364.217044158384</v>
          </cell>
          <cell r="CO34">
            <v>371.198265935108</v>
          </cell>
          <cell r="CP34" t="str">
            <v>N/A</v>
          </cell>
          <cell r="CQ34" t="str">
            <v>N/A</v>
          </cell>
          <cell r="CR34">
            <v>78</v>
          </cell>
          <cell r="CS34">
            <v>1321</v>
          </cell>
          <cell r="CT34">
            <v>78</v>
          </cell>
          <cell r="CU34">
            <v>16.935897435897434</v>
          </cell>
          <cell r="CV34">
            <v>5</v>
          </cell>
          <cell r="CW34">
            <v>0</v>
          </cell>
          <cell r="CX34">
            <v>74000</v>
          </cell>
          <cell r="CY34">
            <v>0</v>
          </cell>
          <cell r="CZ34">
            <v>103000</v>
          </cell>
          <cell r="DA34">
            <v>3552</v>
          </cell>
          <cell r="DB34">
            <v>28.997747747747749</v>
          </cell>
          <cell r="DC34">
            <v>285000</v>
          </cell>
          <cell r="DD34">
            <v>3552</v>
          </cell>
          <cell r="DE34">
            <v>80.236486486486484</v>
          </cell>
          <cell r="DF34">
            <v>558000</v>
          </cell>
          <cell r="DG34">
            <v>3552</v>
          </cell>
          <cell r="DH34">
            <v>157.09459459459458</v>
          </cell>
          <cell r="DI34">
            <v>2895.3</v>
          </cell>
          <cell r="DJ34">
            <v>1.226815874002694</v>
          </cell>
          <cell r="DK34">
            <v>-4.1153660169358508E-3</v>
          </cell>
          <cell r="DL34">
            <v>2.71</v>
          </cell>
          <cell r="DM34">
            <v>1.63</v>
          </cell>
        </row>
        <row r="35">
          <cell r="B35" t="str">
            <v>Parry Shire Council</v>
          </cell>
          <cell r="C35">
            <v>11</v>
          </cell>
          <cell r="D35">
            <v>1189000</v>
          </cell>
          <cell r="E35">
            <v>3556</v>
          </cell>
          <cell r="F35">
            <v>334.36445444319457</v>
          </cell>
          <cell r="G35">
            <v>1336000</v>
          </cell>
          <cell r="H35">
            <v>1894</v>
          </cell>
          <cell r="I35">
            <v>705.38542766631463</v>
          </cell>
          <cell r="J35">
            <v>44000</v>
          </cell>
          <cell r="K35">
            <v>194</v>
          </cell>
          <cell r="L35">
            <v>226.8041237113402</v>
          </cell>
          <cell r="M35">
            <v>946000</v>
          </cell>
          <cell r="N35">
            <v>6622000</v>
          </cell>
          <cell r="O35">
            <v>0.14285714285714285</v>
          </cell>
          <cell r="P35">
            <v>179000</v>
          </cell>
          <cell r="Q35">
            <v>4058000</v>
          </cell>
          <cell r="R35">
            <v>4.4110399211434205E-2</v>
          </cell>
          <cell r="S35">
            <v>-112000</v>
          </cell>
          <cell r="T35">
            <v>2497000</v>
          </cell>
          <cell r="U35">
            <v>-4.4853824589507409E-2</v>
          </cell>
          <cell r="V35">
            <v>4237000</v>
          </cell>
          <cell r="W35">
            <v>12348000</v>
          </cell>
          <cell r="X35">
            <v>0.34313249109167476</v>
          </cell>
          <cell r="Y35">
            <v>2385000</v>
          </cell>
          <cell r="Z35">
            <v>12348000</v>
          </cell>
          <cell r="AA35">
            <v>0.19314868804664723</v>
          </cell>
          <cell r="AB35">
            <v>443000</v>
          </cell>
          <cell r="AC35">
            <v>12348000</v>
          </cell>
          <cell r="AD35">
            <v>3.5876255264010365E-2</v>
          </cell>
          <cell r="AE35">
            <v>3861000</v>
          </cell>
          <cell r="AF35">
            <v>12348000</v>
          </cell>
          <cell r="AG35">
            <v>0.31268221574344024</v>
          </cell>
          <cell r="AH35">
            <v>1380000</v>
          </cell>
          <cell r="AI35">
            <v>12348000</v>
          </cell>
          <cell r="AJ35">
            <v>0.11175898931000972</v>
          </cell>
          <cell r="AK35">
            <v>42000</v>
          </cell>
          <cell r="AL35">
            <v>12348000</v>
          </cell>
          <cell r="AM35">
            <v>3.4013605442176869E-3</v>
          </cell>
          <cell r="AN35">
            <v>9782000</v>
          </cell>
          <cell r="AO35">
            <v>12852</v>
          </cell>
          <cell r="AP35">
            <v>761.1266728913788</v>
          </cell>
          <cell r="AQ35">
            <v>4071000</v>
          </cell>
          <cell r="AR35">
            <v>12538000</v>
          </cell>
          <cell r="AS35">
            <v>0.32469293348221406</v>
          </cell>
          <cell r="AT35">
            <v>3256000</v>
          </cell>
          <cell r="AU35">
            <v>12538000</v>
          </cell>
          <cell r="AV35">
            <v>0.25969054075610143</v>
          </cell>
          <cell r="AW35">
            <v>281000</v>
          </cell>
          <cell r="AX35">
            <v>12538000</v>
          </cell>
          <cell r="AY35">
            <v>2.2411867921518582E-2</v>
          </cell>
          <cell r="AZ35">
            <v>3992000</v>
          </cell>
          <cell r="BA35">
            <v>12538000</v>
          </cell>
          <cell r="BB35">
            <v>0.31839208805232094</v>
          </cell>
          <cell r="BC35">
            <v>938000</v>
          </cell>
          <cell r="BD35">
            <v>12538000</v>
          </cell>
          <cell r="BE35">
            <v>7.4812569787844951E-2</v>
          </cell>
          <cell r="BF35">
            <v>11059000</v>
          </cell>
          <cell r="BG35">
            <v>12852</v>
          </cell>
          <cell r="BH35">
            <v>860.48863990040456</v>
          </cell>
          <cell r="BI35">
            <v>6613000</v>
          </cell>
          <cell r="BJ35">
            <v>1312000</v>
          </cell>
          <cell r="BK35">
            <v>5.0403963414634143</v>
          </cell>
          <cell r="BL35">
            <v>605000</v>
          </cell>
          <cell r="BM35">
            <v>9668000</v>
          </cell>
          <cell r="BN35">
            <v>6.2577575506826646E-2</v>
          </cell>
          <cell r="BO35">
            <v>2485000</v>
          </cell>
          <cell r="BP35">
            <v>3653000</v>
          </cell>
          <cell r="BQ35">
            <v>0.68026279770052012</v>
          </cell>
          <cell r="BR35">
            <v>86</v>
          </cell>
          <cell r="BS35" t="str">
            <v>On Time</v>
          </cell>
          <cell r="BT35" t="str">
            <v>On Time</v>
          </cell>
          <cell r="BU35" t="str">
            <v>On Time</v>
          </cell>
          <cell r="BV35">
            <v>168000</v>
          </cell>
          <cell r="BW35">
            <v>12852</v>
          </cell>
          <cell r="BX35">
            <v>13.071895424836601</v>
          </cell>
          <cell r="BY35">
            <v>39922</v>
          </cell>
          <cell r="BZ35">
            <v>12852</v>
          </cell>
          <cell r="CA35">
            <v>3.1062869592281359</v>
          </cell>
          <cell r="CB35">
            <v>217000</v>
          </cell>
          <cell r="CC35">
            <v>2920</v>
          </cell>
          <cell r="CD35">
            <v>74.31506849315069</v>
          </cell>
          <cell r="CE35">
            <v>145000</v>
          </cell>
          <cell r="CF35">
            <v>2920</v>
          </cell>
          <cell r="CG35">
            <v>49.657534246575345</v>
          </cell>
          <cell r="CH35">
            <v>410000</v>
          </cell>
          <cell r="CI35">
            <v>12852</v>
          </cell>
          <cell r="CJ35">
            <v>31.901649548708374</v>
          </cell>
          <cell r="CK35">
            <v>3796000</v>
          </cell>
          <cell r="CL35">
            <v>12852</v>
          </cell>
          <cell r="CM35">
            <v>295.36258948023652</v>
          </cell>
          <cell r="CN35">
            <v>409.45534155794201</v>
          </cell>
          <cell r="CO35">
            <v>415.87485196507799</v>
          </cell>
          <cell r="CP35">
            <v>421.975992613112</v>
          </cell>
          <cell r="CQ35">
            <v>392.31243938993202</v>
          </cell>
          <cell r="CR35">
            <v>235</v>
          </cell>
          <cell r="CS35">
            <v>4038</v>
          </cell>
          <cell r="CT35">
            <v>235</v>
          </cell>
          <cell r="CU35">
            <v>17.182978723404254</v>
          </cell>
          <cell r="CV35">
            <v>18</v>
          </cell>
          <cell r="CW35">
            <v>28000</v>
          </cell>
          <cell r="CX35">
            <v>378000</v>
          </cell>
          <cell r="CY35">
            <v>7.407407407407407E-2</v>
          </cell>
          <cell r="CZ35">
            <v>275000</v>
          </cell>
          <cell r="DA35">
            <v>12852</v>
          </cell>
          <cell r="DB35">
            <v>21.397447868036103</v>
          </cell>
          <cell r="DC35">
            <v>276000</v>
          </cell>
          <cell r="DD35">
            <v>12852</v>
          </cell>
          <cell r="DE35">
            <v>21.475256769374415</v>
          </cell>
          <cell r="DF35">
            <v>122000</v>
          </cell>
          <cell r="DG35">
            <v>12852</v>
          </cell>
          <cell r="DH35">
            <v>9.492685963274198</v>
          </cell>
          <cell r="DI35">
            <v>4403.8</v>
          </cell>
          <cell r="DJ35">
            <v>2.9183886643353465</v>
          </cell>
          <cell r="DK35">
            <v>8.5892002639660348E-3</v>
          </cell>
          <cell r="DL35">
            <v>3.95</v>
          </cell>
          <cell r="DM35">
            <v>1.9</v>
          </cell>
        </row>
        <row r="36">
          <cell r="B36" t="str">
            <v>Gilgandra Shire Council</v>
          </cell>
          <cell r="C36">
            <v>9</v>
          </cell>
          <cell r="D36">
            <v>325000</v>
          </cell>
          <cell r="E36">
            <v>1277</v>
          </cell>
          <cell r="F36">
            <v>254.50274079874706</v>
          </cell>
          <cell r="G36">
            <v>1587000</v>
          </cell>
          <cell r="H36">
            <v>807</v>
          </cell>
          <cell r="I36">
            <v>1966.5427509293681</v>
          </cell>
          <cell r="J36">
            <v>88000</v>
          </cell>
          <cell r="K36">
            <v>217</v>
          </cell>
          <cell r="L36">
            <v>405.5299539170507</v>
          </cell>
          <cell r="M36">
            <v>457000</v>
          </cell>
          <cell r="N36">
            <v>4773000</v>
          </cell>
          <cell r="O36">
            <v>9.5746909700398078E-2</v>
          </cell>
          <cell r="P36">
            <v>71000</v>
          </cell>
          <cell r="Q36">
            <v>2680000</v>
          </cell>
          <cell r="R36">
            <v>2.6492537313432835E-2</v>
          </cell>
          <cell r="S36">
            <v>19000</v>
          </cell>
          <cell r="T36">
            <v>2003000</v>
          </cell>
          <cell r="U36">
            <v>9.4857713429855224E-3</v>
          </cell>
          <cell r="V36">
            <v>2751000</v>
          </cell>
          <cell r="W36">
            <v>12226000</v>
          </cell>
          <cell r="X36">
            <v>0.22501226893505644</v>
          </cell>
          <cell r="Y36">
            <v>2022000</v>
          </cell>
          <cell r="Z36">
            <v>12226000</v>
          </cell>
          <cell r="AA36">
            <v>0.16538524456077214</v>
          </cell>
          <cell r="AB36">
            <v>142000</v>
          </cell>
          <cell r="AC36">
            <v>12226000</v>
          </cell>
          <cell r="AD36">
            <v>1.1614591853427123E-2</v>
          </cell>
          <cell r="AE36">
            <v>6215000</v>
          </cell>
          <cell r="AF36">
            <v>12226000</v>
          </cell>
          <cell r="AG36">
            <v>0.50834287583837723</v>
          </cell>
          <cell r="AH36">
            <v>729000</v>
          </cell>
          <cell r="AI36">
            <v>12226000</v>
          </cell>
          <cell r="AJ36">
            <v>5.9627024374284313E-2</v>
          </cell>
          <cell r="AK36">
            <v>367000</v>
          </cell>
          <cell r="AL36">
            <v>12226000</v>
          </cell>
          <cell r="AM36">
            <v>3.0017994438082774E-2</v>
          </cell>
          <cell r="AN36">
            <v>10829000</v>
          </cell>
          <cell r="AO36">
            <v>4773</v>
          </cell>
          <cell r="AP36">
            <v>2268.8036874083386</v>
          </cell>
          <cell r="AQ36">
            <v>6712000</v>
          </cell>
          <cell r="AR36">
            <v>13037000</v>
          </cell>
          <cell r="AS36">
            <v>0.51484237171128322</v>
          </cell>
          <cell r="AT36">
            <v>2834000</v>
          </cell>
          <cell r="AU36">
            <v>13037000</v>
          </cell>
          <cell r="AV36">
            <v>0.21738129937869141</v>
          </cell>
          <cell r="AW36">
            <v>57000</v>
          </cell>
          <cell r="AX36">
            <v>13037000</v>
          </cell>
          <cell r="AY36">
            <v>4.3721715118508857E-3</v>
          </cell>
          <cell r="AZ36">
            <v>2441000</v>
          </cell>
          <cell r="BA36">
            <v>13037000</v>
          </cell>
          <cell r="BB36">
            <v>0.18723632737593005</v>
          </cell>
          <cell r="BC36">
            <v>993000</v>
          </cell>
          <cell r="BD36">
            <v>13037000</v>
          </cell>
          <cell r="BE36">
            <v>7.6167830022244379E-2</v>
          </cell>
          <cell r="BF36">
            <v>12007000</v>
          </cell>
          <cell r="BG36">
            <v>4773</v>
          </cell>
          <cell r="BH36">
            <v>2515.6086318877014</v>
          </cell>
          <cell r="BI36">
            <v>1725000</v>
          </cell>
          <cell r="BJ36">
            <v>1554000</v>
          </cell>
          <cell r="BK36">
            <v>1.1100386100386099</v>
          </cell>
          <cell r="BL36">
            <v>280000</v>
          </cell>
          <cell r="BM36">
            <v>7271000</v>
          </cell>
          <cell r="BN36">
            <v>3.8509145922156512E-2</v>
          </cell>
          <cell r="BO36">
            <v>1641000</v>
          </cell>
          <cell r="BP36">
            <v>2014000</v>
          </cell>
          <cell r="BQ36">
            <v>0.81479642502482619</v>
          </cell>
          <cell r="BR36">
            <v>157</v>
          </cell>
          <cell r="BS36" t="str">
            <v>Not Received</v>
          </cell>
          <cell r="BT36" t="str">
            <v>Not Received</v>
          </cell>
          <cell r="BU36" t="str">
            <v>&lt;=2</v>
          </cell>
          <cell r="BV36">
            <v>106000</v>
          </cell>
          <cell r="BW36">
            <v>4773</v>
          </cell>
          <cell r="BX36">
            <v>22.208254766394301</v>
          </cell>
          <cell r="BY36">
            <v>27068</v>
          </cell>
          <cell r="BZ36">
            <v>4773</v>
          </cell>
          <cell r="CA36">
            <v>5.6710664152524615</v>
          </cell>
          <cell r="CB36">
            <v>201000</v>
          </cell>
          <cell r="CC36">
            <v>998</v>
          </cell>
          <cell r="CD36">
            <v>201.40280561122245</v>
          </cell>
          <cell r="CE36">
            <v>222863</v>
          </cell>
          <cell r="CF36">
            <v>998</v>
          </cell>
          <cell r="CG36">
            <v>223.30961923847696</v>
          </cell>
          <cell r="CH36">
            <v>500000</v>
          </cell>
          <cell r="CI36">
            <v>4773</v>
          </cell>
          <cell r="CJ36">
            <v>104.75591870940708</v>
          </cell>
          <cell r="CK36">
            <v>234000</v>
          </cell>
          <cell r="CL36">
            <v>4773</v>
          </cell>
          <cell r="CM36">
            <v>49.025769956002513</v>
          </cell>
          <cell r="CN36">
            <v>365.63224960494898</v>
          </cell>
          <cell r="CO36">
            <v>521</v>
          </cell>
          <cell r="CP36">
            <v>180.41756176154701</v>
          </cell>
          <cell r="CQ36">
            <v>276</v>
          </cell>
          <cell r="CR36">
            <v>91</v>
          </cell>
          <cell r="CS36">
            <v>1575</v>
          </cell>
          <cell r="CT36">
            <v>91</v>
          </cell>
          <cell r="CU36">
            <v>17.307692307692307</v>
          </cell>
          <cell r="CV36">
            <v>18</v>
          </cell>
          <cell r="CW36">
            <v>0</v>
          </cell>
          <cell r="CX36">
            <v>27000</v>
          </cell>
          <cell r="CY36">
            <v>0</v>
          </cell>
          <cell r="CZ36">
            <v>193000</v>
          </cell>
          <cell r="DA36">
            <v>4773</v>
          </cell>
          <cell r="DB36">
            <v>40.435784621831132</v>
          </cell>
          <cell r="DC36">
            <v>323000</v>
          </cell>
          <cell r="DD36">
            <v>4773</v>
          </cell>
          <cell r="DE36">
            <v>67.67232348627698</v>
          </cell>
          <cell r="DF36">
            <v>4329000</v>
          </cell>
          <cell r="DG36">
            <v>4773</v>
          </cell>
          <cell r="DH36">
            <v>906.97674418604652</v>
          </cell>
          <cell r="DI36">
            <v>4836</v>
          </cell>
          <cell r="DJ36">
            <v>0.98697270471464016</v>
          </cell>
          <cell r="DK36">
            <v>-5.6032861134669432E-3</v>
          </cell>
          <cell r="DL36">
            <v>9.6999999999999993</v>
          </cell>
          <cell r="DM36">
            <v>1.23</v>
          </cell>
        </row>
        <row r="37">
          <cell r="B37" t="str">
            <v>Gunnedah Shire Council</v>
          </cell>
          <cell r="C37">
            <v>11</v>
          </cell>
          <cell r="D37">
            <v>1853000</v>
          </cell>
          <cell r="E37">
            <v>4019</v>
          </cell>
          <cell r="F37">
            <v>461.05996516546406</v>
          </cell>
          <cell r="G37">
            <v>2986000</v>
          </cell>
          <cell r="H37">
            <v>1130</v>
          </cell>
          <cell r="I37">
            <v>2642.4778761061948</v>
          </cell>
          <cell r="J37">
            <v>1277000</v>
          </cell>
          <cell r="K37">
            <v>508</v>
          </cell>
          <cell r="L37">
            <v>2513.7795275590552</v>
          </cell>
          <cell r="M37">
            <v>2612000</v>
          </cell>
          <cell r="N37">
            <v>14697000</v>
          </cell>
          <cell r="O37">
            <v>0.1777233449003198</v>
          </cell>
          <cell r="P37">
            <v>347000</v>
          </cell>
          <cell r="Q37">
            <v>8390000</v>
          </cell>
          <cell r="R37">
            <v>4.1358760429082243E-2</v>
          </cell>
          <cell r="S37">
            <v>301000</v>
          </cell>
          <cell r="T37">
            <v>5659000</v>
          </cell>
          <cell r="U37">
            <v>5.3189609471638095E-2</v>
          </cell>
          <cell r="V37">
            <v>8737000</v>
          </cell>
          <cell r="W37">
            <v>22055000</v>
          </cell>
          <cell r="X37">
            <v>0.39614599863976424</v>
          </cell>
          <cell r="Y37">
            <v>5960000</v>
          </cell>
          <cell r="Z37">
            <v>22055000</v>
          </cell>
          <cell r="AA37">
            <v>0.27023350714123784</v>
          </cell>
          <cell r="AB37">
            <v>785000</v>
          </cell>
          <cell r="AC37">
            <v>22055000</v>
          </cell>
          <cell r="AD37">
            <v>3.5592836091589211E-2</v>
          </cell>
          <cell r="AE37">
            <v>5755000</v>
          </cell>
          <cell r="AF37">
            <v>22055000</v>
          </cell>
          <cell r="AG37">
            <v>0.26093856268419857</v>
          </cell>
          <cell r="AH37">
            <v>807000</v>
          </cell>
          <cell r="AI37">
            <v>22055000</v>
          </cell>
          <cell r="AJ37">
            <v>3.6590342326003174E-2</v>
          </cell>
          <cell r="AK37">
            <v>11000</v>
          </cell>
          <cell r="AL37">
            <v>22055000</v>
          </cell>
          <cell r="AM37">
            <v>4.9875311720698251E-4</v>
          </cell>
          <cell r="AN37">
            <v>18256000</v>
          </cell>
          <cell r="AO37">
            <v>12491</v>
          </cell>
          <cell r="AP37">
            <v>1461.532303258346</v>
          </cell>
          <cell r="AQ37">
            <v>7127000</v>
          </cell>
          <cell r="AR37">
            <v>23182000</v>
          </cell>
          <cell r="AS37">
            <v>0.30743680441722027</v>
          </cell>
          <cell r="AT37">
            <v>6543000</v>
          </cell>
          <cell r="AU37">
            <v>23182000</v>
          </cell>
          <cell r="AV37">
            <v>0.28224484513846948</v>
          </cell>
          <cell r="AW37">
            <v>333000</v>
          </cell>
          <cell r="AX37">
            <v>23182000</v>
          </cell>
          <cell r="AY37">
            <v>1.4364593218876716E-2</v>
          </cell>
          <cell r="AZ37">
            <v>8063000</v>
          </cell>
          <cell r="BA37">
            <v>23182000</v>
          </cell>
          <cell r="BB37">
            <v>0.34781295832973858</v>
          </cell>
          <cell r="BC37">
            <v>1116000</v>
          </cell>
          <cell r="BD37">
            <v>23182000</v>
          </cell>
          <cell r="BE37">
            <v>4.8140798895694933E-2</v>
          </cell>
          <cell r="BF37">
            <v>21165000</v>
          </cell>
          <cell r="BG37">
            <v>12491</v>
          </cell>
          <cell r="BH37">
            <v>1694.4199823873189</v>
          </cell>
          <cell r="BI37">
            <v>9044000</v>
          </cell>
          <cell r="BJ37">
            <v>3789000</v>
          </cell>
          <cell r="BK37">
            <v>2.3869094747954605</v>
          </cell>
          <cell r="BL37">
            <v>1845000</v>
          </cell>
          <cell r="BM37">
            <v>18316000</v>
          </cell>
          <cell r="BN37">
            <v>0.10073160078619786</v>
          </cell>
          <cell r="BO37">
            <v>1644000</v>
          </cell>
          <cell r="BP37">
            <v>7486000</v>
          </cell>
          <cell r="BQ37">
            <v>0.21960993855196367</v>
          </cell>
          <cell r="BR37">
            <v>152</v>
          </cell>
          <cell r="BS37" t="str">
            <v>On Time</v>
          </cell>
          <cell r="BT37" t="str">
            <v>On Time</v>
          </cell>
          <cell r="BU37" t="str">
            <v>On Time</v>
          </cell>
          <cell r="BV37">
            <v>295000</v>
          </cell>
          <cell r="BW37">
            <v>12491</v>
          </cell>
          <cell r="BX37">
            <v>23.617004243055</v>
          </cell>
          <cell r="BY37">
            <v>69748</v>
          </cell>
          <cell r="BZ37">
            <v>12491</v>
          </cell>
          <cell r="CA37">
            <v>5.5838603794732204</v>
          </cell>
          <cell r="CB37">
            <v>656000</v>
          </cell>
          <cell r="CC37">
            <v>3447</v>
          </cell>
          <cell r="CD37">
            <v>190.31041485349579</v>
          </cell>
          <cell r="CE37">
            <v>287366</v>
          </cell>
          <cell r="CF37">
            <v>3426</v>
          </cell>
          <cell r="CG37">
            <v>83.877991827203729</v>
          </cell>
          <cell r="CH37">
            <v>2337900</v>
          </cell>
          <cell r="CI37">
            <v>12491</v>
          </cell>
          <cell r="CJ37">
            <v>187.16676006724842</v>
          </cell>
          <cell r="CK37">
            <v>6170000</v>
          </cell>
          <cell r="CL37">
            <v>12491</v>
          </cell>
          <cell r="CM37">
            <v>493.95564806660798</v>
          </cell>
          <cell r="CN37">
            <v>440.04139081588499</v>
          </cell>
          <cell r="CO37">
            <v>284</v>
          </cell>
          <cell r="CP37">
            <v>225.266839534463</v>
          </cell>
          <cell r="CQ37">
            <v>186</v>
          </cell>
          <cell r="CR37">
            <v>170</v>
          </cell>
          <cell r="CS37">
            <v>2962</v>
          </cell>
          <cell r="CT37">
            <v>170</v>
          </cell>
          <cell r="CU37">
            <v>17.423529411764704</v>
          </cell>
          <cell r="CV37">
            <v>16.5</v>
          </cell>
          <cell r="CW37">
            <v>0</v>
          </cell>
          <cell r="CX37">
            <v>249000</v>
          </cell>
          <cell r="CY37">
            <v>0</v>
          </cell>
          <cell r="CZ37">
            <v>540000</v>
          </cell>
          <cell r="DA37">
            <v>12491</v>
          </cell>
          <cell r="DB37">
            <v>43.231126411015929</v>
          </cell>
          <cell r="DC37">
            <v>792000</v>
          </cell>
          <cell r="DD37">
            <v>12491</v>
          </cell>
          <cell r="DE37">
            <v>63.405652069490031</v>
          </cell>
          <cell r="DF37">
            <v>2404000</v>
          </cell>
          <cell r="DG37">
            <v>12491</v>
          </cell>
          <cell r="DH37">
            <v>192.45857017052279</v>
          </cell>
          <cell r="DI37">
            <v>5021.2</v>
          </cell>
          <cell r="DJ37">
            <v>2.4876523540189597</v>
          </cell>
          <cell r="DK37">
            <v>-8.9606224617794217E-3</v>
          </cell>
          <cell r="DL37">
            <v>10.15</v>
          </cell>
          <cell r="DM37">
            <v>1.3</v>
          </cell>
        </row>
        <row r="38">
          <cell r="B38" t="str">
            <v>Tumbarumba Shire Council</v>
          </cell>
          <cell r="C38">
            <v>9</v>
          </cell>
          <cell r="D38">
            <v>265000</v>
          </cell>
          <cell r="E38">
            <v>1119</v>
          </cell>
          <cell r="F38">
            <v>236.81858802502234</v>
          </cell>
          <cell r="G38">
            <v>1086000</v>
          </cell>
          <cell r="H38">
            <v>878</v>
          </cell>
          <cell r="I38">
            <v>1236.9020501138953</v>
          </cell>
          <cell r="J38">
            <v>79000</v>
          </cell>
          <cell r="K38">
            <v>180</v>
          </cell>
          <cell r="L38">
            <v>438.88888888888891</v>
          </cell>
          <cell r="M38">
            <v>514000</v>
          </cell>
          <cell r="N38">
            <v>5690000</v>
          </cell>
          <cell r="O38">
            <v>9.0333919156414769E-2</v>
          </cell>
          <cell r="P38">
            <v>145000</v>
          </cell>
          <cell r="Q38">
            <v>2128000</v>
          </cell>
          <cell r="R38">
            <v>6.8139097744360902E-2</v>
          </cell>
          <cell r="S38">
            <v>1547000</v>
          </cell>
          <cell r="T38">
            <v>1870000</v>
          </cell>
          <cell r="U38">
            <v>0.82727272727272727</v>
          </cell>
          <cell r="V38">
            <v>2273000</v>
          </cell>
          <cell r="W38">
            <v>10056000</v>
          </cell>
          <cell r="X38">
            <v>0.22603420843277644</v>
          </cell>
          <cell r="Y38">
            <v>3417000</v>
          </cell>
          <cell r="Z38">
            <v>10056000</v>
          </cell>
          <cell r="AA38">
            <v>0.33979713603818618</v>
          </cell>
          <cell r="AB38">
            <v>184000</v>
          </cell>
          <cell r="AC38">
            <v>10056000</v>
          </cell>
          <cell r="AD38">
            <v>1.8297533810660304E-2</v>
          </cell>
          <cell r="AE38">
            <v>2104000</v>
          </cell>
          <cell r="AF38">
            <v>10056000</v>
          </cell>
          <cell r="AG38">
            <v>0.2092283214001591</v>
          </cell>
          <cell r="AH38">
            <v>926000</v>
          </cell>
          <cell r="AI38">
            <v>10056000</v>
          </cell>
          <cell r="AJ38">
            <v>9.2084327764518692E-2</v>
          </cell>
          <cell r="AK38">
            <v>1152000</v>
          </cell>
          <cell r="AL38">
            <v>10056000</v>
          </cell>
          <cell r="AM38">
            <v>0.11455847255369929</v>
          </cell>
          <cell r="AN38">
            <v>8239000</v>
          </cell>
          <cell r="AO38">
            <v>3706</v>
          </cell>
          <cell r="AP38">
            <v>2223.1516459794925</v>
          </cell>
          <cell r="AQ38">
            <v>3279000</v>
          </cell>
          <cell r="AR38">
            <v>8661000</v>
          </cell>
          <cell r="AS38">
            <v>0.37859369587807412</v>
          </cell>
          <cell r="AT38">
            <v>2393000</v>
          </cell>
          <cell r="AU38">
            <v>8661000</v>
          </cell>
          <cell r="AV38">
            <v>0.27629603971827732</v>
          </cell>
          <cell r="AW38">
            <v>3000</v>
          </cell>
          <cell r="AX38">
            <v>8661000</v>
          </cell>
          <cell r="AY38">
            <v>3.4638032559750607E-4</v>
          </cell>
          <cell r="AZ38">
            <v>2023000</v>
          </cell>
          <cell r="BA38">
            <v>8661000</v>
          </cell>
          <cell r="BB38">
            <v>0.2335757995612516</v>
          </cell>
          <cell r="BC38">
            <v>963000</v>
          </cell>
          <cell r="BD38">
            <v>8661000</v>
          </cell>
          <cell r="BE38">
            <v>0.11118808451679944</v>
          </cell>
          <cell r="BF38">
            <v>9247000</v>
          </cell>
          <cell r="BG38">
            <v>3706</v>
          </cell>
          <cell r="BH38">
            <v>2495.1430113329734</v>
          </cell>
          <cell r="BI38">
            <v>3470000</v>
          </cell>
          <cell r="BJ38">
            <v>859000</v>
          </cell>
          <cell r="BK38">
            <v>4.0395809080325957</v>
          </cell>
          <cell r="BL38">
            <v>5000</v>
          </cell>
          <cell r="BM38">
            <v>8162000</v>
          </cell>
          <cell r="BN38">
            <v>6.1259495221759378E-4</v>
          </cell>
          <cell r="BO38">
            <v>-3383000</v>
          </cell>
          <cell r="BP38">
            <v>1683000</v>
          </cell>
          <cell r="BQ38">
            <v>-2.0101010101010099</v>
          </cell>
          <cell r="BR38">
            <v>63</v>
          </cell>
          <cell r="BS38" t="str">
            <v>&lt;=16</v>
          </cell>
          <cell r="BT38" t="str">
            <v>Not Received</v>
          </cell>
          <cell r="BU38" t="str">
            <v>On Time</v>
          </cell>
          <cell r="BV38">
            <v>102000</v>
          </cell>
          <cell r="BW38">
            <v>3706</v>
          </cell>
          <cell r="BX38">
            <v>27.522935779816514</v>
          </cell>
          <cell r="BY38">
            <v>25012</v>
          </cell>
          <cell r="BZ38">
            <v>3706</v>
          </cell>
          <cell r="CA38">
            <v>6.7490555855369667</v>
          </cell>
          <cell r="CB38">
            <v>161000</v>
          </cell>
          <cell r="CC38">
            <v>1120</v>
          </cell>
          <cell r="CD38">
            <v>143.75</v>
          </cell>
          <cell r="CE38">
            <v>178700</v>
          </cell>
          <cell r="CF38">
            <v>1120</v>
          </cell>
          <cell r="CG38">
            <v>159.55357142857142</v>
          </cell>
          <cell r="CH38">
            <v>0</v>
          </cell>
          <cell r="CI38">
            <v>3706</v>
          </cell>
          <cell r="CJ38" t="str">
            <v>N/A</v>
          </cell>
          <cell r="CK38">
            <v>1653300</v>
          </cell>
          <cell r="CL38">
            <v>3706</v>
          </cell>
          <cell r="CM38">
            <v>446.11440906637887</v>
          </cell>
          <cell r="CN38">
            <v>393.13871723843999</v>
          </cell>
          <cell r="CO38">
            <v>371</v>
          </cell>
          <cell r="CP38">
            <v>304.550123874554</v>
          </cell>
          <cell r="CQ38">
            <v>442</v>
          </cell>
          <cell r="CR38">
            <v>80</v>
          </cell>
          <cell r="CS38">
            <v>1419</v>
          </cell>
          <cell r="CT38">
            <v>80</v>
          </cell>
          <cell r="CU38">
            <v>17.737500000000001</v>
          </cell>
          <cell r="CV38">
            <v>11</v>
          </cell>
          <cell r="CW38">
            <v>0</v>
          </cell>
          <cell r="CX38">
            <v>117000</v>
          </cell>
          <cell r="CY38">
            <v>0</v>
          </cell>
          <cell r="CZ38">
            <v>234000</v>
          </cell>
          <cell r="DA38">
            <v>3706</v>
          </cell>
          <cell r="DB38">
            <v>63.140852671343765</v>
          </cell>
          <cell r="DC38">
            <v>436000</v>
          </cell>
          <cell r="DD38">
            <v>3706</v>
          </cell>
          <cell r="DE38">
            <v>117.64705882352941</v>
          </cell>
          <cell r="DF38">
            <v>675000</v>
          </cell>
          <cell r="DG38">
            <v>3706</v>
          </cell>
          <cell r="DH38">
            <v>182.13707501349162</v>
          </cell>
          <cell r="DI38">
            <v>4373.3999999999996</v>
          </cell>
          <cell r="DJ38">
            <v>0.84739561896922311</v>
          </cell>
          <cell r="DK38">
            <v>-5.5721166530404709E-3</v>
          </cell>
          <cell r="DL38">
            <v>2.0499999999999998</v>
          </cell>
          <cell r="DM38">
            <v>2.93</v>
          </cell>
        </row>
        <row r="39">
          <cell r="B39" t="str">
            <v>Inverell Shire Council</v>
          </cell>
          <cell r="C39">
            <v>11</v>
          </cell>
          <cell r="D39">
            <v>2526000</v>
          </cell>
          <cell r="E39">
            <v>5306</v>
          </cell>
          <cell r="F39">
            <v>476.06483226536</v>
          </cell>
          <cell r="G39">
            <v>2253000</v>
          </cell>
          <cell r="H39">
            <v>1323</v>
          </cell>
          <cell r="I39">
            <v>1702.9478458049887</v>
          </cell>
          <cell r="J39">
            <v>1270000</v>
          </cell>
          <cell r="K39">
            <v>569</v>
          </cell>
          <cell r="L39">
            <v>2231.9859402460456</v>
          </cell>
          <cell r="M39">
            <v>1289000</v>
          </cell>
          <cell r="N39">
            <v>12932000</v>
          </cell>
          <cell r="O39">
            <v>9.9675224249922673E-2</v>
          </cell>
          <cell r="P39">
            <v>563000</v>
          </cell>
          <cell r="Q39">
            <v>8154000</v>
          </cell>
          <cell r="R39">
            <v>6.9045867059112087E-2</v>
          </cell>
          <cell r="S39">
            <v>754000</v>
          </cell>
          <cell r="T39">
            <v>3461000</v>
          </cell>
          <cell r="U39">
            <v>0.21785611095059232</v>
          </cell>
          <cell r="V39">
            <v>8717000</v>
          </cell>
          <cell r="W39">
            <v>22911000</v>
          </cell>
          <cell r="X39">
            <v>0.38047226223211555</v>
          </cell>
          <cell r="Y39">
            <v>4215000</v>
          </cell>
          <cell r="Z39">
            <v>22911000</v>
          </cell>
          <cell r="AA39">
            <v>0.18397276417441405</v>
          </cell>
          <cell r="AB39">
            <v>864000</v>
          </cell>
          <cell r="AC39">
            <v>22911000</v>
          </cell>
          <cell r="AD39">
            <v>3.7711143119025799E-2</v>
          </cell>
          <cell r="AE39">
            <v>5365000</v>
          </cell>
          <cell r="AF39">
            <v>22911000</v>
          </cell>
          <cell r="AG39">
            <v>0.23416699402033958</v>
          </cell>
          <cell r="AH39">
            <v>3329000</v>
          </cell>
          <cell r="AI39">
            <v>22911000</v>
          </cell>
          <cell r="AJ39">
            <v>0.1453013836148575</v>
          </cell>
          <cell r="AK39">
            <v>421000</v>
          </cell>
          <cell r="AL39">
            <v>22911000</v>
          </cell>
          <cell r="AM39">
            <v>1.8375452839247523E-2</v>
          </cell>
          <cell r="AN39">
            <v>16560000</v>
          </cell>
          <cell r="AO39">
            <v>15812</v>
          </cell>
          <cell r="AP39">
            <v>1047.3058436630408</v>
          </cell>
          <cell r="AQ39">
            <v>7204000</v>
          </cell>
          <cell r="AR39">
            <v>21331000</v>
          </cell>
          <cell r="AS39">
            <v>0.33772443861047302</v>
          </cell>
          <cell r="AT39">
            <v>5587000</v>
          </cell>
          <cell r="AU39">
            <v>21331000</v>
          </cell>
          <cell r="AV39">
            <v>0.26191927242042096</v>
          </cell>
          <cell r="AW39">
            <v>24000</v>
          </cell>
          <cell r="AX39">
            <v>21331000</v>
          </cell>
          <cell r="AY39">
            <v>1.1251230603347242E-3</v>
          </cell>
          <cell r="AZ39">
            <v>6556000</v>
          </cell>
          <cell r="BA39">
            <v>21331000</v>
          </cell>
          <cell r="BB39">
            <v>0.30734611598143546</v>
          </cell>
          <cell r="BC39">
            <v>1960000</v>
          </cell>
          <cell r="BD39">
            <v>21331000</v>
          </cell>
          <cell r="BE39">
            <v>9.1885049927335802E-2</v>
          </cell>
          <cell r="BF39">
            <v>17162000</v>
          </cell>
          <cell r="BG39">
            <v>15812</v>
          </cell>
          <cell r="BH39">
            <v>1085.3781937768783</v>
          </cell>
          <cell r="BI39">
            <v>12761000</v>
          </cell>
          <cell r="BJ39">
            <v>2520000</v>
          </cell>
          <cell r="BK39">
            <v>5.0638888888888891</v>
          </cell>
          <cell r="BL39">
            <v>229000</v>
          </cell>
          <cell r="BM39">
            <v>17864000</v>
          </cell>
          <cell r="BN39">
            <v>1.2819077474249888E-2</v>
          </cell>
          <cell r="BO39">
            <v>6751000</v>
          </cell>
          <cell r="BP39">
            <v>5415000</v>
          </cell>
          <cell r="BQ39">
            <v>1.2467220683287166</v>
          </cell>
          <cell r="BR39">
            <v>185</v>
          </cell>
          <cell r="BS39" t="str">
            <v>On Time</v>
          </cell>
          <cell r="BT39" t="str">
            <v>On Time</v>
          </cell>
          <cell r="BU39" t="str">
            <v>On Time</v>
          </cell>
          <cell r="BV39">
            <v>494000</v>
          </cell>
          <cell r="BW39">
            <v>15812</v>
          </cell>
          <cell r="BX39">
            <v>31.242094611687325</v>
          </cell>
          <cell r="BY39">
            <v>108021</v>
          </cell>
          <cell r="BZ39">
            <v>15812</v>
          </cell>
          <cell r="CA39">
            <v>6.8315836073867953</v>
          </cell>
          <cell r="CB39">
            <v>556000</v>
          </cell>
          <cell r="CC39">
            <v>4197</v>
          </cell>
          <cell r="CD39">
            <v>132.47557779366213</v>
          </cell>
          <cell r="CE39">
            <v>404612</v>
          </cell>
          <cell r="CF39">
            <v>4197</v>
          </cell>
          <cell r="CG39">
            <v>96.405051227066949</v>
          </cell>
          <cell r="CH39">
            <v>1933800</v>
          </cell>
          <cell r="CI39">
            <v>15812</v>
          </cell>
          <cell r="CJ39">
            <v>122.29951935239059</v>
          </cell>
          <cell r="CK39">
            <v>9028000</v>
          </cell>
          <cell r="CL39">
            <v>15812</v>
          </cell>
          <cell r="CM39">
            <v>570.95876549456113</v>
          </cell>
          <cell r="CN39">
            <v>441.96121409345301</v>
          </cell>
          <cell r="CO39">
            <v>544</v>
          </cell>
          <cell r="CP39">
            <v>263.16191991189697</v>
          </cell>
          <cell r="CQ39">
            <v>314</v>
          </cell>
          <cell r="CR39">
            <v>172</v>
          </cell>
          <cell r="CS39">
            <v>3054</v>
          </cell>
          <cell r="CT39">
            <v>172</v>
          </cell>
          <cell r="CU39">
            <v>17.755813953488371</v>
          </cell>
          <cell r="CV39">
            <v>25</v>
          </cell>
          <cell r="CW39">
            <v>6000</v>
          </cell>
          <cell r="CX39">
            <v>462000</v>
          </cell>
          <cell r="CY39">
            <v>1.2987012987012988E-2</v>
          </cell>
          <cell r="CZ39">
            <v>339000</v>
          </cell>
          <cell r="DA39">
            <v>15812</v>
          </cell>
          <cell r="DB39">
            <v>21.439413103971667</v>
          </cell>
          <cell r="DC39">
            <v>719000</v>
          </cell>
          <cell r="DD39">
            <v>15812</v>
          </cell>
          <cell r="DE39">
            <v>45.471793574500381</v>
          </cell>
          <cell r="DF39">
            <v>290000</v>
          </cell>
          <cell r="DG39">
            <v>15812</v>
          </cell>
          <cell r="DH39">
            <v>18.34050088540349</v>
          </cell>
          <cell r="DI39">
            <v>8605.9</v>
          </cell>
          <cell r="DJ39">
            <v>1.8373441476196564</v>
          </cell>
          <cell r="DK39">
            <v>3.683152583161764E-3</v>
          </cell>
          <cell r="DL39">
            <v>4.8099999999999996</v>
          </cell>
          <cell r="DM39">
            <v>1.68</v>
          </cell>
        </row>
        <row r="40">
          <cell r="B40" t="str">
            <v>Junee Shire Council</v>
          </cell>
          <cell r="C40">
            <v>10</v>
          </cell>
          <cell r="D40">
            <v>604000</v>
          </cell>
          <cell r="E40">
            <v>1770</v>
          </cell>
          <cell r="F40">
            <v>341.24293785310732</v>
          </cell>
          <cell r="G40">
            <v>860000</v>
          </cell>
          <cell r="H40">
            <v>733</v>
          </cell>
          <cell r="I40">
            <v>1173.2605729877216</v>
          </cell>
          <cell r="J40">
            <v>142000</v>
          </cell>
          <cell r="K40">
            <v>163</v>
          </cell>
          <cell r="L40">
            <v>871.16564417177915</v>
          </cell>
          <cell r="M40">
            <v>168000</v>
          </cell>
          <cell r="N40">
            <v>4897000</v>
          </cell>
          <cell r="O40">
            <v>3.430671839901981E-2</v>
          </cell>
          <cell r="P40">
            <v>90000</v>
          </cell>
          <cell r="Q40">
            <v>2185000</v>
          </cell>
          <cell r="R40">
            <v>4.1189931350114416E-2</v>
          </cell>
          <cell r="S40">
            <v>111000</v>
          </cell>
          <cell r="T40">
            <v>2511000</v>
          </cell>
          <cell r="U40">
            <v>4.4205495818399047E-2</v>
          </cell>
          <cell r="V40">
            <v>2275000</v>
          </cell>
          <cell r="W40">
            <v>9010000</v>
          </cell>
          <cell r="X40">
            <v>0.2524972253052164</v>
          </cell>
          <cell r="Y40">
            <v>2622000</v>
          </cell>
          <cell r="Z40">
            <v>9010000</v>
          </cell>
          <cell r="AA40">
            <v>0.29100998890122087</v>
          </cell>
          <cell r="AB40">
            <v>93000</v>
          </cell>
          <cell r="AC40">
            <v>9010000</v>
          </cell>
          <cell r="AD40">
            <v>1.0321864594894561E-2</v>
          </cell>
          <cell r="AE40">
            <v>3661000</v>
          </cell>
          <cell r="AF40">
            <v>9010000</v>
          </cell>
          <cell r="AG40">
            <v>0.4063263041065483</v>
          </cell>
          <cell r="AH40">
            <v>148000</v>
          </cell>
          <cell r="AI40">
            <v>9010000</v>
          </cell>
          <cell r="AJ40">
            <v>1.6426193118756937E-2</v>
          </cell>
          <cell r="AK40">
            <v>211000</v>
          </cell>
          <cell r="AL40">
            <v>9010000</v>
          </cell>
          <cell r="AM40">
            <v>2.3418423973362929E-2</v>
          </cell>
          <cell r="AN40">
            <v>7876000</v>
          </cell>
          <cell r="AO40">
            <v>5914</v>
          </cell>
          <cell r="AP40">
            <v>1331.7551572539737</v>
          </cell>
          <cell r="AQ40">
            <v>2788000</v>
          </cell>
          <cell r="AR40">
            <v>8193000</v>
          </cell>
          <cell r="AS40">
            <v>0.340290491883315</v>
          </cell>
          <cell r="AT40">
            <v>3491000</v>
          </cell>
          <cell r="AU40">
            <v>8193000</v>
          </cell>
          <cell r="AV40">
            <v>0.42609544733308924</v>
          </cell>
          <cell r="AW40">
            <v>150000</v>
          </cell>
          <cell r="AX40">
            <v>8193000</v>
          </cell>
          <cell r="AY40">
            <v>1.830831197363603E-2</v>
          </cell>
          <cell r="AZ40">
            <v>1230000</v>
          </cell>
          <cell r="BA40">
            <v>8193000</v>
          </cell>
          <cell r="BB40">
            <v>0.15012815818381545</v>
          </cell>
          <cell r="BC40">
            <v>534000</v>
          </cell>
          <cell r="BD40">
            <v>8193000</v>
          </cell>
          <cell r="BE40">
            <v>6.5177590626144269E-2</v>
          </cell>
          <cell r="BF40">
            <v>7773000</v>
          </cell>
          <cell r="BG40">
            <v>5914</v>
          </cell>
          <cell r="BH40">
            <v>1314.338856949611</v>
          </cell>
          <cell r="BI40">
            <v>2060000</v>
          </cell>
          <cell r="BJ40">
            <v>1381000</v>
          </cell>
          <cell r="BK40">
            <v>1.4916727009413469</v>
          </cell>
          <cell r="BL40">
            <v>253000</v>
          </cell>
          <cell r="BM40">
            <v>7241000</v>
          </cell>
          <cell r="BN40">
            <v>3.4939925424665098E-2</v>
          </cell>
          <cell r="BO40">
            <v>2465000</v>
          </cell>
          <cell r="BP40">
            <v>1103000</v>
          </cell>
          <cell r="BQ40">
            <v>2.2348141432456936</v>
          </cell>
          <cell r="BR40">
            <v>72</v>
          </cell>
          <cell r="BS40" t="str">
            <v>&lt;=2</v>
          </cell>
          <cell r="BT40" t="str">
            <v>&lt;=2</v>
          </cell>
          <cell r="BU40" t="str">
            <v>On Time</v>
          </cell>
          <cell r="BV40">
            <v>117000</v>
          </cell>
          <cell r="BW40">
            <v>5914</v>
          </cell>
          <cell r="BX40">
            <v>19.783564423402098</v>
          </cell>
          <cell r="BY40">
            <v>30635</v>
          </cell>
          <cell r="BZ40">
            <v>5914</v>
          </cell>
          <cell r="CA40">
            <v>5.1800811633412245</v>
          </cell>
          <cell r="CB40">
            <v>332000</v>
          </cell>
          <cell r="CC40">
            <v>1478</v>
          </cell>
          <cell r="CD40">
            <v>224.6278755074425</v>
          </cell>
          <cell r="CE40">
            <v>106707</v>
          </cell>
          <cell r="CF40">
            <v>1478</v>
          </cell>
          <cell r="CG40">
            <v>72.19688768606224</v>
          </cell>
          <cell r="CH40">
            <v>1214150</v>
          </cell>
          <cell r="CI40">
            <v>5914</v>
          </cell>
          <cell r="CJ40">
            <v>205.30098072370646</v>
          </cell>
          <cell r="CK40">
            <v>2626980</v>
          </cell>
          <cell r="CL40">
            <v>5914</v>
          </cell>
          <cell r="CM40">
            <v>444.19682110246873</v>
          </cell>
          <cell r="CN40" t="str">
            <v>N/A</v>
          </cell>
          <cell r="CO40" t="str">
            <v>N/A</v>
          </cell>
          <cell r="CP40">
            <v>272</v>
          </cell>
          <cell r="CQ40">
            <v>270</v>
          </cell>
          <cell r="CR40">
            <v>110</v>
          </cell>
          <cell r="CS40">
            <v>1966</v>
          </cell>
          <cell r="CT40">
            <v>110</v>
          </cell>
          <cell r="CU40">
            <v>17.872727272727271</v>
          </cell>
          <cell r="CV40">
            <v>5</v>
          </cell>
          <cell r="CW40">
            <v>6000</v>
          </cell>
          <cell r="CX40">
            <v>94000</v>
          </cell>
          <cell r="CY40">
            <v>6.3829787234042548E-2</v>
          </cell>
          <cell r="CZ40">
            <v>171000</v>
          </cell>
          <cell r="DA40">
            <v>5914</v>
          </cell>
          <cell r="DB40">
            <v>28.914440311126143</v>
          </cell>
          <cell r="DC40">
            <v>738000</v>
          </cell>
          <cell r="DD40">
            <v>5914</v>
          </cell>
          <cell r="DE40">
            <v>124.78863713222862</v>
          </cell>
          <cell r="DF40">
            <v>812000</v>
          </cell>
          <cell r="DG40">
            <v>5914</v>
          </cell>
          <cell r="DH40">
            <v>137.3013189042949</v>
          </cell>
          <cell r="DI40">
            <v>2030.6</v>
          </cell>
          <cell r="DJ40">
            <v>2.9124396730030533</v>
          </cell>
          <cell r="DK40">
            <v>-5.7391753155455749E-4</v>
          </cell>
          <cell r="DL40">
            <v>3.75</v>
          </cell>
          <cell r="DM40">
            <v>2.29</v>
          </cell>
        </row>
        <row r="41">
          <cell r="B41" t="str">
            <v>Oberon Council</v>
          </cell>
          <cell r="C41">
            <v>10</v>
          </cell>
          <cell r="D41">
            <v>609000</v>
          </cell>
          <cell r="E41">
            <v>1805</v>
          </cell>
          <cell r="F41">
            <v>337.39612188365652</v>
          </cell>
          <cell r="G41">
            <v>857000</v>
          </cell>
          <cell r="H41">
            <v>794</v>
          </cell>
          <cell r="I41">
            <v>1079.3450881612091</v>
          </cell>
          <cell r="J41">
            <v>95000</v>
          </cell>
          <cell r="K41">
            <v>200</v>
          </cell>
          <cell r="L41">
            <v>475</v>
          </cell>
          <cell r="M41">
            <v>618000</v>
          </cell>
          <cell r="N41">
            <v>5415000</v>
          </cell>
          <cell r="O41">
            <v>0.11412742382271468</v>
          </cell>
          <cell r="P41">
            <v>117000</v>
          </cell>
          <cell r="Q41">
            <v>2452000</v>
          </cell>
          <cell r="R41">
            <v>4.7716150081566065E-2</v>
          </cell>
          <cell r="S41">
            <v>326000</v>
          </cell>
          <cell r="T41">
            <v>2520000</v>
          </cell>
          <cell r="U41">
            <v>0.12936507936507938</v>
          </cell>
          <cell r="V41">
            <v>2569000</v>
          </cell>
          <cell r="W41">
            <v>11582000</v>
          </cell>
          <cell r="X41">
            <v>0.22180970471421171</v>
          </cell>
          <cell r="Y41">
            <v>2846000</v>
          </cell>
          <cell r="Z41">
            <v>11582000</v>
          </cell>
          <cell r="AA41">
            <v>0.24572612674840269</v>
          </cell>
          <cell r="AB41">
            <v>305000</v>
          </cell>
          <cell r="AC41">
            <v>11582000</v>
          </cell>
          <cell r="AD41">
            <v>2.6333966499740978E-2</v>
          </cell>
          <cell r="AE41">
            <v>2285000</v>
          </cell>
          <cell r="AF41">
            <v>11582000</v>
          </cell>
          <cell r="AG41">
            <v>0.19728889656363321</v>
          </cell>
          <cell r="AH41">
            <v>3405000</v>
          </cell>
          <cell r="AI41">
            <v>11582000</v>
          </cell>
          <cell r="AJ41">
            <v>0.29399067518563288</v>
          </cell>
          <cell r="AK41">
            <v>172000</v>
          </cell>
          <cell r="AL41">
            <v>11582000</v>
          </cell>
          <cell r="AM41">
            <v>1.4850630288378519E-2</v>
          </cell>
          <cell r="AN41">
            <v>6768000</v>
          </cell>
          <cell r="AO41">
            <v>5072</v>
          </cell>
          <cell r="AP41">
            <v>1334.384858044164</v>
          </cell>
          <cell r="AQ41">
            <v>2830000</v>
          </cell>
          <cell r="AR41">
            <v>9065000</v>
          </cell>
          <cell r="AS41">
            <v>0.31218974076116934</v>
          </cell>
          <cell r="AT41">
            <v>2710000</v>
          </cell>
          <cell r="AU41">
            <v>9065000</v>
          </cell>
          <cell r="AV41">
            <v>0.29895201323772752</v>
          </cell>
          <cell r="AW41">
            <v>98000</v>
          </cell>
          <cell r="AX41">
            <v>9065000</v>
          </cell>
          <cell r="AY41">
            <v>1.0810810810810811E-2</v>
          </cell>
          <cell r="AZ41">
            <v>2625000</v>
          </cell>
          <cell r="BA41">
            <v>9065000</v>
          </cell>
          <cell r="BB41">
            <v>0.28957528957528955</v>
          </cell>
          <cell r="BC41">
            <v>802000</v>
          </cell>
          <cell r="BD41">
            <v>9065000</v>
          </cell>
          <cell r="BE41">
            <v>8.8472145615002759E-2</v>
          </cell>
          <cell r="BF41">
            <v>7527000</v>
          </cell>
          <cell r="BG41">
            <v>5072</v>
          </cell>
          <cell r="BH41">
            <v>1484.0299684542588</v>
          </cell>
          <cell r="BI41">
            <v>5187000</v>
          </cell>
          <cell r="BJ41">
            <v>975000</v>
          </cell>
          <cell r="BK41">
            <v>5.32</v>
          </cell>
          <cell r="BL41">
            <v>319000</v>
          </cell>
          <cell r="BM41">
            <v>7254000</v>
          </cell>
          <cell r="BN41">
            <v>4.397573752412462E-2</v>
          </cell>
          <cell r="BO41">
            <v>3466000</v>
          </cell>
          <cell r="BP41">
            <v>2363000</v>
          </cell>
          <cell r="BQ41">
            <v>1.4667795175624208</v>
          </cell>
          <cell r="BR41">
            <v>68</v>
          </cell>
          <cell r="BS41" t="str">
            <v>On Time</v>
          </cell>
          <cell r="BT41" t="str">
            <v>On Time</v>
          </cell>
          <cell r="BU41" t="str">
            <v>On Time</v>
          </cell>
          <cell r="BV41">
            <v>174000</v>
          </cell>
          <cell r="BW41">
            <v>5072</v>
          </cell>
          <cell r="BX41">
            <v>34.305993690851736</v>
          </cell>
          <cell r="BY41">
            <v>23348</v>
          </cell>
          <cell r="BZ41">
            <v>5072</v>
          </cell>
          <cell r="CA41">
            <v>4.6033123028391163</v>
          </cell>
          <cell r="CB41">
            <v>139000</v>
          </cell>
          <cell r="CC41">
            <v>999</v>
          </cell>
          <cell r="CD41">
            <v>139.13913913913913</v>
          </cell>
          <cell r="CE41">
            <v>129000</v>
          </cell>
          <cell r="CF41">
            <v>999</v>
          </cell>
          <cell r="CG41">
            <v>129.12912912912913</v>
          </cell>
          <cell r="CH41">
            <v>10000</v>
          </cell>
          <cell r="CI41">
            <v>5072</v>
          </cell>
          <cell r="CJ41" t="str">
            <v>N/A</v>
          </cell>
          <cell r="CK41">
            <v>2500000</v>
          </cell>
          <cell r="CL41">
            <v>5072</v>
          </cell>
          <cell r="CM41">
            <v>492.90220820189273</v>
          </cell>
          <cell r="CN41">
            <v>364.88279522335301</v>
          </cell>
          <cell r="CO41">
            <v>588</v>
          </cell>
          <cell r="CP41">
            <v>274.39262557612699</v>
          </cell>
          <cell r="CQ41">
            <v>225</v>
          </cell>
          <cell r="CR41">
            <v>164</v>
          </cell>
          <cell r="CS41">
            <v>2994</v>
          </cell>
          <cell r="CT41">
            <v>164</v>
          </cell>
          <cell r="CU41">
            <v>18.256097560975611</v>
          </cell>
          <cell r="CV41">
            <v>20</v>
          </cell>
          <cell r="CW41">
            <v>91000</v>
          </cell>
          <cell r="CX41">
            <v>473000</v>
          </cell>
          <cell r="CY41">
            <v>0.19238900634249473</v>
          </cell>
          <cell r="CZ41">
            <v>141000</v>
          </cell>
          <cell r="DA41">
            <v>5072</v>
          </cell>
          <cell r="DB41">
            <v>27.79968454258675</v>
          </cell>
          <cell r="DC41">
            <v>415000</v>
          </cell>
          <cell r="DD41">
            <v>5072</v>
          </cell>
          <cell r="DE41">
            <v>81.821766561514195</v>
          </cell>
          <cell r="DF41">
            <v>66000</v>
          </cell>
          <cell r="DG41">
            <v>5072</v>
          </cell>
          <cell r="DH41">
            <v>13.012618296529968</v>
          </cell>
          <cell r="DI41">
            <v>2908.2</v>
          </cell>
          <cell r="DJ41">
            <v>1.7440341104463244</v>
          </cell>
          <cell r="DK41">
            <v>1.7525398310022533E-2</v>
          </cell>
          <cell r="DL41">
            <v>2.21</v>
          </cell>
          <cell r="DM41">
            <v>3.5</v>
          </cell>
        </row>
        <row r="42">
          <cell r="B42" t="str">
            <v>Coffs Harbour City Council</v>
          </cell>
          <cell r="C42">
            <v>4</v>
          </cell>
          <cell r="D42">
            <v>12519000</v>
          </cell>
          <cell r="E42">
            <v>24090</v>
          </cell>
          <cell r="F42">
            <v>519.67621419676209</v>
          </cell>
          <cell r="G42">
            <v>1011000</v>
          </cell>
          <cell r="H42">
            <v>795</v>
          </cell>
          <cell r="I42">
            <v>1271.6981132075471</v>
          </cell>
          <cell r="J42">
            <v>3944000</v>
          </cell>
          <cell r="K42">
            <v>1504</v>
          </cell>
          <cell r="L42">
            <v>2622.3404255319151</v>
          </cell>
          <cell r="M42">
            <v>3130000</v>
          </cell>
          <cell r="N42">
            <v>50964000</v>
          </cell>
          <cell r="O42">
            <v>6.1415901420610625E-2</v>
          </cell>
          <cell r="P42">
            <v>2383000</v>
          </cell>
          <cell r="Q42">
            <v>35572000</v>
          </cell>
          <cell r="R42">
            <v>6.6990891712582934E-2</v>
          </cell>
          <cell r="S42">
            <v>1722000</v>
          </cell>
          <cell r="T42">
            <v>11287000</v>
          </cell>
          <cell r="U42">
            <v>0.15256489766988571</v>
          </cell>
          <cell r="V42">
            <v>37955000</v>
          </cell>
          <cell r="W42">
            <v>85820000</v>
          </cell>
          <cell r="X42">
            <v>0.44226287578652995</v>
          </cell>
          <cell r="Y42">
            <v>13009000</v>
          </cell>
          <cell r="Z42">
            <v>85820000</v>
          </cell>
          <cell r="AA42">
            <v>0.15158471218830111</v>
          </cell>
          <cell r="AB42">
            <v>6905000</v>
          </cell>
          <cell r="AC42">
            <v>85820000</v>
          </cell>
          <cell r="AD42">
            <v>8.0459100442787229E-2</v>
          </cell>
          <cell r="AE42">
            <v>11992000</v>
          </cell>
          <cell r="AF42">
            <v>85820000</v>
          </cell>
          <cell r="AG42">
            <v>0.13973432766254953</v>
          </cell>
          <cell r="AH42">
            <v>13316000</v>
          </cell>
          <cell r="AI42">
            <v>85820000</v>
          </cell>
          <cell r="AJ42">
            <v>0.15516196690748077</v>
          </cell>
          <cell r="AK42">
            <v>2643000</v>
          </cell>
          <cell r="AL42">
            <v>85820000</v>
          </cell>
          <cell r="AM42">
            <v>3.0797017012351432E-2</v>
          </cell>
          <cell r="AN42">
            <v>68235000</v>
          </cell>
          <cell r="AO42">
            <v>62847</v>
          </cell>
          <cell r="AP42">
            <v>1085.7320158480118</v>
          </cell>
          <cell r="AQ42">
            <v>19778000</v>
          </cell>
          <cell r="AR42">
            <v>66827000</v>
          </cell>
          <cell r="AS42">
            <v>0.29595822047974624</v>
          </cell>
          <cell r="AT42">
            <v>17492000</v>
          </cell>
          <cell r="AU42">
            <v>66827000</v>
          </cell>
          <cell r="AV42">
            <v>0.26175049007137835</v>
          </cell>
          <cell r="AW42">
            <v>6445000</v>
          </cell>
          <cell r="AX42">
            <v>66827000</v>
          </cell>
          <cell r="AY42">
            <v>9.6443054454038044E-2</v>
          </cell>
          <cell r="AZ42">
            <v>17887000</v>
          </cell>
          <cell r="BA42">
            <v>66827000</v>
          </cell>
          <cell r="BB42">
            <v>0.26766127463450401</v>
          </cell>
          <cell r="BC42">
            <v>5225000</v>
          </cell>
          <cell r="BD42">
            <v>66827000</v>
          </cell>
          <cell r="BE42">
            <v>7.8186960360333402E-2</v>
          </cell>
          <cell r="BF42">
            <v>50505000</v>
          </cell>
          <cell r="BG42">
            <v>62847</v>
          </cell>
          <cell r="BH42">
            <v>803.61831113656979</v>
          </cell>
          <cell r="BI42">
            <v>18911000</v>
          </cell>
          <cell r="BJ42">
            <v>7418000</v>
          </cell>
          <cell r="BK42">
            <v>2.5493394445942301</v>
          </cell>
          <cell r="BL42">
            <v>13054000</v>
          </cell>
          <cell r="BM42">
            <v>65931000</v>
          </cell>
          <cell r="BN42">
            <v>0.19799487342828109</v>
          </cell>
          <cell r="BO42">
            <v>36702000</v>
          </cell>
          <cell r="BP42">
            <v>14005000</v>
          </cell>
          <cell r="BQ42">
            <v>2.6206354873259552</v>
          </cell>
          <cell r="BR42">
            <v>423</v>
          </cell>
          <cell r="BS42" t="str">
            <v>On Time</v>
          </cell>
          <cell r="BT42" t="str">
            <v>On Time</v>
          </cell>
          <cell r="BU42" t="str">
            <v>On Time</v>
          </cell>
          <cell r="BV42">
            <v>991000</v>
          </cell>
          <cell r="BW42">
            <v>62847</v>
          </cell>
          <cell r="BX42">
            <v>15.76845354591309</v>
          </cell>
          <cell r="BY42">
            <v>469358</v>
          </cell>
          <cell r="BZ42">
            <v>62847</v>
          </cell>
          <cell r="CA42">
            <v>7.4682641971772714</v>
          </cell>
          <cell r="CB42">
            <v>4356000</v>
          </cell>
          <cell r="CC42">
            <v>21871</v>
          </cell>
          <cell r="CD42">
            <v>199.16784783503269</v>
          </cell>
          <cell r="CE42">
            <v>3593000</v>
          </cell>
          <cell r="CF42">
            <v>29305</v>
          </cell>
          <cell r="CG42">
            <v>122.60706364101689</v>
          </cell>
          <cell r="CH42">
            <v>17779480</v>
          </cell>
          <cell r="CI42">
            <v>62847</v>
          </cell>
          <cell r="CJ42">
            <v>282.90101357264467</v>
          </cell>
          <cell r="CK42">
            <v>11146260</v>
          </cell>
          <cell r="CL42">
            <v>62847</v>
          </cell>
          <cell r="CM42">
            <v>177.35548236192659</v>
          </cell>
          <cell r="CN42">
            <v>334.827655820909</v>
          </cell>
          <cell r="CO42">
            <v>265</v>
          </cell>
          <cell r="CP42">
            <v>575.31999427697201</v>
          </cell>
          <cell r="CQ42">
            <v>460</v>
          </cell>
          <cell r="CR42">
            <v>1855</v>
          </cell>
          <cell r="CS42">
            <v>34235</v>
          </cell>
          <cell r="CT42">
            <v>1855</v>
          </cell>
          <cell r="CU42">
            <v>18.455525606469003</v>
          </cell>
          <cell r="CV42">
            <v>11</v>
          </cell>
          <cell r="CW42">
            <v>17000</v>
          </cell>
          <cell r="CX42">
            <v>2366000</v>
          </cell>
          <cell r="CY42">
            <v>7.1851225697379542E-3</v>
          </cell>
          <cell r="CZ42">
            <v>590000</v>
          </cell>
          <cell r="DA42">
            <v>62847</v>
          </cell>
          <cell r="DB42">
            <v>9.3878784985759065</v>
          </cell>
          <cell r="DC42">
            <v>3494000</v>
          </cell>
          <cell r="DD42">
            <v>62847</v>
          </cell>
          <cell r="DE42">
            <v>55.595334701735965</v>
          </cell>
          <cell r="DF42">
            <v>947000</v>
          </cell>
          <cell r="DG42">
            <v>62847</v>
          </cell>
          <cell r="DH42">
            <v>15.068340573137938</v>
          </cell>
          <cell r="DI42">
            <v>960.9</v>
          </cell>
          <cell r="DJ42">
            <v>65.404308460817987</v>
          </cell>
          <cell r="DK42">
            <v>1.4775279591927815E-2</v>
          </cell>
          <cell r="DL42">
            <v>2.98</v>
          </cell>
          <cell r="DM42">
            <v>4.3099999999999996</v>
          </cell>
        </row>
        <row r="43">
          <cell r="B43" t="str">
            <v>Murray Shire Council</v>
          </cell>
          <cell r="C43">
            <v>10</v>
          </cell>
          <cell r="D43">
            <v>758000</v>
          </cell>
          <cell r="E43">
            <v>2226</v>
          </cell>
          <cell r="F43">
            <v>340.52111410601975</v>
          </cell>
          <cell r="G43">
            <v>1653000</v>
          </cell>
          <cell r="H43">
            <v>1023</v>
          </cell>
          <cell r="I43">
            <v>1615.8357771260996</v>
          </cell>
          <cell r="J43">
            <v>197000</v>
          </cell>
          <cell r="K43">
            <v>361</v>
          </cell>
          <cell r="L43">
            <v>545.70637119113576</v>
          </cell>
          <cell r="M43">
            <v>1562000</v>
          </cell>
          <cell r="N43">
            <v>7299000</v>
          </cell>
          <cell r="O43">
            <v>0.21400191807096863</v>
          </cell>
          <cell r="P43">
            <v>306000</v>
          </cell>
          <cell r="Q43">
            <v>4346000</v>
          </cell>
          <cell r="R43">
            <v>7.0409572020248501E-2</v>
          </cell>
          <cell r="S43">
            <v>1468000</v>
          </cell>
          <cell r="T43">
            <v>1179000</v>
          </cell>
          <cell r="U43">
            <v>1.2451229855810009</v>
          </cell>
          <cell r="V43">
            <v>4652000</v>
          </cell>
          <cell r="W43">
            <v>12785000</v>
          </cell>
          <cell r="X43">
            <v>0.36386390301134142</v>
          </cell>
          <cell r="Y43">
            <v>2647000</v>
          </cell>
          <cell r="Z43">
            <v>12785000</v>
          </cell>
          <cell r="AA43">
            <v>0.20703949941337504</v>
          </cell>
          <cell r="AB43">
            <v>394000</v>
          </cell>
          <cell r="AC43">
            <v>12785000</v>
          </cell>
          <cell r="AD43">
            <v>3.0817364098552992E-2</v>
          </cell>
          <cell r="AE43">
            <v>3990000</v>
          </cell>
          <cell r="AF43">
            <v>12785000</v>
          </cell>
          <cell r="AG43">
            <v>0.31208447399296052</v>
          </cell>
          <cell r="AH43">
            <v>880000</v>
          </cell>
          <cell r="AI43">
            <v>12785000</v>
          </cell>
          <cell r="AJ43">
            <v>6.8830660930778262E-2</v>
          </cell>
          <cell r="AK43">
            <v>222000</v>
          </cell>
          <cell r="AL43">
            <v>12785000</v>
          </cell>
          <cell r="AM43">
            <v>1.7364098552991786E-2</v>
          </cell>
          <cell r="AN43">
            <v>8674000</v>
          </cell>
          <cell r="AO43">
            <v>6322</v>
          </cell>
          <cell r="AP43">
            <v>1372.034166403037</v>
          </cell>
          <cell r="AQ43">
            <v>2920000</v>
          </cell>
          <cell r="AR43">
            <v>9932000</v>
          </cell>
          <cell r="AS43">
            <v>0.29399919452275475</v>
          </cell>
          <cell r="AT43">
            <v>3773000</v>
          </cell>
          <cell r="AU43">
            <v>9932000</v>
          </cell>
          <cell r="AV43">
            <v>0.37988320579943619</v>
          </cell>
          <cell r="AW43">
            <v>512000</v>
          </cell>
          <cell r="AX43">
            <v>9932000</v>
          </cell>
          <cell r="AY43">
            <v>5.1550543697140558E-2</v>
          </cell>
          <cell r="AZ43">
            <v>2213000</v>
          </cell>
          <cell r="BA43">
            <v>9932000</v>
          </cell>
          <cell r="BB43">
            <v>0.22281514297221103</v>
          </cell>
          <cell r="BC43">
            <v>514000</v>
          </cell>
          <cell r="BD43">
            <v>9932000</v>
          </cell>
          <cell r="BE43">
            <v>5.1751913008457509E-2</v>
          </cell>
          <cell r="BF43">
            <v>8020000</v>
          </cell>
          <cell r="BG43">
            <v>6322</v>
          </cell>
          <cell r="BH43">
            <v>1268.585890540968</v>
          </cell>
          <cell r="BI43">
            <v>6131000</v>
          </cell>
          <cell r="BJ43">
            <v>1389000</v>
          </cell>
          <cell r="BK43">
            <v>4.4139668826493876</v>
          </cell>
          <cell r="BL43">
            <v>822000</v>
          </cell>
          <cell r="BM43">
            <v>9924000</v>
          </cell>
          <cell r="BN43">
            <v>8.2829504232164453E-2</v>
          </cell>
          <cell r="BO43">
            <v>3202000</v>
          </cell>
          <cell r="BP43">
            <v>2037000</v>
          </cell>
          <cell r="BQ43">
            <v>1.5719194894452626</v>
          </cell>
          <cell r="BR43">
            <v>69</v>
          </cell>
          <cell r="BS43" t="str">
            <v>On Time</v>
          </cell>
          <cell r="BT43" t="str">
            <v>On Time</v>
          </cell>
          <cell r="BU43" t="str">
            <v>On Time</v>
          </cell>
          <cell r="BV43">
            <v>135000</v>
          </cell>
          <cell r="BW43">
            <v>6322</v>
          </cell>
          <cell r="BX43">
            <v>21.354001898133504</v>
          </cell>
          <cell r="BY43">
            <v>8800</v>
          </cell>
          <cell r="BZ43">
            <v>6322</v>
          </cell>
          <cell r="CA43">
            <v>1.3919645681746282</v>
          </cell>
          <cell r="CB43">
            <v>266000</v>
          </cell>
          <cell r="CC43">
            <v>2063</v>
          </cell>
          <cell r="CD43">
            <v>128.93843916626273</v>
          </cell>
          <cell r="CE43">
            <v>234000</v>
          </cell>
          <cell r="CF43">
            <v>2053</v>
          </cell>
          <cell r="CG43">
            <v>113.97954213346323</v>
          </cell>
          <cell r="CH43">
            <v>118500</v>
          </cell>
          <cell r="CI43">
            <v>6322</v>
          </cell>
          <cell r="CJ43">
            <v>18.744068332806073</v>
          </cell>
          <cell r="CK43">
            <v>2815960</v>
          </cell>
          <cell r="CL43">
            <v>6322</v>
          </cell>
          <cell r="CM43">
            <v>445.42233470420751</v>
          </cell>
          <cell r="CN43">
            <v>471.61913266729903</v>
          </cell>
          <cell r="CO43">
            <v>430</v>
          </cell>
          <cell r="CP43">
            <v>365.376250543715</v>
          </cell>
          <cell r="CQ43">
            <v>346</v>
          </cell>
          <cell r="CR43">
            <v>352</v>
          </cell>
          <cell r="CS43">
            <v>6573</v>
          </cell>
          <cell r="CT43">
            <v>352</v>
          </cell>
          <cell r="CU43">
            <v>18.673295454545453</v>
          </cell>
          <cell r="CV43">
            <v>12</v>
          </cell>
          <cell r="CW43">
            <v>21000</v>
          </cell>
          <cell r="CX43">
            <v>247000</v>
          </cell>
          <cell r="CY43">
            <v>8.5020242914979755E-2</v>
          </cell>
          <cell r="CZ43">
            <v>284000</v>
          </cell>
          <cell r="DA43">
            <v>6322</v>
          </cell>
          <cell r="DB43">
            <v>44.922492881999368</v>
          </cell>
          <cell r="DC43">
            <v>470000</v>
          </cell>
          <cell r="DD43">
            <v>6322</v>
          </cell>
          <cell r="DE43">
            <v>74.343562163872193</v>
          </cell>
          <cell r="DF43">
            <v>388000</v>
          </cell>
          <cell r="DG43">
            <v>6322</v>
          </cell>
          <cell r="DH43">
            <v>61.372983233154066</v>
          </cell>
          <cell r="DI43">
            <v>4344.6000000000004</v>
          </cell>
          <cell r="DJ43">
            <v>1.4551397136675412</v>
          </cell>
          <cell r="DK43">
            <v>2.956285386884705E-2</v>
          </cell>
          <cell r="DL43">
            <v>3.12</v>
          </cell>
          <cell r="DM43">
            <v>1.98</v>
          </cell>
        </row>
        <row r="44">
          <cell r="B44" t="str">
            <v>Mudgee Shire Council</v>
          </cell>
          <cell r="C44">
            <v>11</v>
          </cell>
          <cell r="D44">
            <v>3628000</v>
          </cell>
          <cell r="E44">
            <v>6927</v>
          </cell>
          <cell r="F44">
            <v>523.74765410711711</v>
          </cell>
          <cell r="G44">
            <v>2729000</v>
          </cell>
          <cell r="H44">
            <v>1572</v>
          </cell>
          <cell r="I44">
            <v>1736.0050890585242</v>
          </cell>
          <cell r="J44">
            <v>505000</v>
          </cell>
          <cell r="K44">
            <v>428</v>
          </cell>
          <cell r="L44">
            <v>1179.9065420560748</v>
          </cell>
          <cell r="M44">
            <v>1086000</v>
          </cell>
          <cell r="N44">
            <v>16118000</v>
          </cell>
          <cell r="O44">
            <v>6.7378086611242088E-2</v>
          </cell>
          <cell r="P44">
            <v>1049000</v>
          </cell>
          <cell r="Q44">
            <v>10386000</v>
          </cell>
          <cell r="R44">
            <v>0.10100134796841903</v>
          </cell>
          <cell r="S44">
            <v>346000</v>
          </cell>
          <cell r="T44">
            <v>4337000</v>
          </cell>
          <cell r="U44">
            <v>7.9778648835600652E-2</v>
          </cell>
          <cell r="V44">
            <v>11435000</v>
          </cell>
          <cell r="W44">
            <v>27027000</v>
          </cell>
          <cell r="X44">
            <v>0.42309542309542308</v>
          </cell>
          <cell r="Y44">
            <v>4683000</v>
          </cell>
          <cell r="Z44">
            <v>27027000</v>
          </cell>
          <cell r="AA44">
            <v>0.17327117327117328</v>
          </cell>
          <cell r="AB44">
            <v>617000</v>
          </cell>
          <cell r="AC44">
            <v>27027000</v>
          </cell>
          <cell r="AD44">
            <v>2.282902282902283E-2</v>
          </cell>
          <cell r="AE44">
            <v>6688000</v>
          </cell>
          <cell r="AF44">
            <v>27027000</v>
          </cell>
          <cell r="AG44">
            <v>0.24745624745624745</v>
          </cell>
          <cell r="AH44">
            <v>2835000</v>
          </cell>
          <cell r="AI44">
            <v>27027000</v>
          </cell>
          <cell r="AJ44">
            <v>0.1048951048951049</v>
          </cell>
          <cell r="AK44">
            <v>769000</v>
          </cell>
          <cell r="AL44">
            <v>27027000</v>
          </cell>
          <cell r="AM44">
            <v>2.8453028453028453E-2</v>
          </cell>
          <cell r="AN44">
            <v>22894000</v>
          </cell>
          <cell r="AO44">
            <v>18447</v>
          </cell>
          <cell r="AP44">
            <v>1241.069008510869</v>
          </cell>
          <cell r="AQ44">
            <v>8609000</v>
          </cell>
          <cell r="AR44">
            <v>22963000</v>
          </cell>
          <cell r="AS44">
            <v>0.37490745982667772</v>
          </cell>
          <cell r="AT44">
            <v>5727000</v>
          </cell>
          <cell r="AU44">
            <v>22963000</v>
          </cell>
          <cell r="AV44">
            <v>0.24940121064320864</v>
          </cell>
          <cell r="AW44">
            <v>346000</v>
          </cell>
          <cell r="AX44">
            <v>22963000</v>
          </cell>
          <cell r="AY44">
            <v>1.5067717632713496E-2</v>
          </cell>
          <cell r="AZ44">
            <v>5283000</v>
          </cell>
          <cell r="BA44">
            <v>22963000</v>
          </cell>
          <cell r="BB44">
            <v>0.23006575795845491</v>
          </cell>
          <cell r="BC44">
            <v>2998000</v>
          </cell>
          <cell r="BD44">
            <v>22963000</v>
          </cell>
          <cell r="BE44">
            <v>0.13055785393894526</v>
          </cell>
          <cell r="BF44">
            <v>18866000</v>
          </cell>
          <cell r="BG44">
            <v>18447</v>
          </cell>
          <cell r="BH44">
            <v>1022.713720388139</v>
          </cell>
          <cell r="BI44">
            <v>4940000</v>
          </cell>
          <cell r="BJ44">
            <v>1723000</v>
          </cell>
          <cell r="BK44">
            <v>2.8670922809053976</v>
          </cell>
          <cell r="BL44">
            <v>918000</v>
          </cell>
          <cell r="BM44">
            <v>20493000</v>
          </cell>
          <cell r="BN44">
            <v>4.4795783926218712E-2</v>
          </cell>
          <cell r="BO44">
            <v>5071000</v>
          </cell>
          <cell r="BP44">
            <v>4279000</v>
          </cell>
          <cell r="BQ44">
            <v>1.1850899742930592</v>
          </cell>
          <cell r="BR44">
            <v>188</v>
          </cell>
          <cell r="BS44" t="str">
            <v>&lt;=2</v>
          </cell>
          <cell r="BT44" t="str">
            <v>&lt;=2</v>
          </cell>
          <cell r="BU44" t="str">
            <v>On Time</v>
          </cell>
          <cell r="BV44">
            <v>572000</v>
          </cell>
          <cell r="BW44">
            <v>18447</v>
          </cell>
          <cell r="BX44">
            <v>31.007751937984494</v>
          </cell>
          <cell r="BY44">
            <v>154330</v>
          </cell>
          <cell r="BZ44">
            <v>18447</v>
          </cell>
          <cell r="CA44">
            <v>8.3661299940369709</v>
          </cell>
          <cell r="CB44">
            <v>465000</v>
          </cell>
          <cell r="CC44">
            <v>4318</v>
          </cell>
          <cell r="CD44">
            <v>107.68874478925429</v>
          </cell>
          <cell r="CE44">
            <v>246151</v>
          </cell>
          <cell r="CF44">
            <v>4497</v>
          </cell>
          <cell r="CG44">
            <v>54.736713364465196</v>
          </cell>
          <cell r="CH44">
            <v>2400550</v>
          </cell>
          <cell r="CI44">
            <v>18447</v>
          </cell>
          <cell r="CJ44">
            <v>130.13227082994524</v>
          </cell>
          <cell r="CK44">
            <v>3486000</v>
          </cell>
          <cell r="CL44">
            <v>18447</v>
          </cell>
          <cell r="CM44">
            <v>188.97381688079363</v>
          </cell>
          <cell r="CN44">
            <v>540.92128801431102</v>
          </cell>
          <cell r="CO44">
            <v>421.60142860075098</v>
          </cell>
          <cell r="CP44">
            <v>340.49555320373599</v>
          </cell>
          <cell r="CQ44">
            <v>354.25036259321502</v>
          </cell>
          <cell r="CR44">
            <v>630</v>
          </cell>
          <cell r="CS44">
            <v>12101</v>
          </cell>
          <cell r="CT44">
            <v>630</v>
          </cell>
          <cell r="CU44">
            <v>19.207936507936509</v>
          </cell>
          <cell r="CV44">
            <v>17.2</v>
          </cell>
          <cell r="CW44">
            <v>22000</v>
          </cell>
          <cell r="CX44">
            <v>951000</v>
          </cell>
          <cell r="CY44">
            <v>2.3133543638275498E-2</v>
          </cell>
          <cell r="CZ44">
            <v>367000</v>
          </cell>
          <cell r="DA44">
            <v>18447</v>
          </cell>
          <cell r="DB44">
            <v>19.894833848322222</v>
          </cell>
          <cell r="DC44">
            <v>1246000</v>
          </cell>
          <cell r="DD44">
            <v>18447</v>
          </cell>
          <cell r="DE44">
            <v>67.544858242532655</v>
          </cell>
          <cell r="DF44">
            <v>1994000</v>
          </cell>
          <cell r="DG44">
            <v>18447</v>
          </cell>
          <cell r="DH44">
            <v>108.09345693066624</v>
          </cell>
          <cell r="DI44">
            <v>5540.3</v>
          </cell>
          <cell r="DJ44">
            <v>3.3296030900853744</v>
          </cell>
          <cell r="DK44">
            <v>9.2843779620925826E-3</v>
          </cell>
          <cell r="DL44">
            <v>2.2799999999999998</v>
          </cell>
          <cell r="DM44">
            <v>3.34</v>
          </cell>
        </row>
        <row r="45">
          <cell r="B45" t="str">
            <v>Tamworth City Council</v>
          </cell>
          <cell r="C45">
            <v>4</v>
          </cell>
          <cell r="D45">
            <v>7971000</v>
          </cell>
          <cell r="E45">
            <v>13487</v>
          </cell>
          <cell r="F45">
            <v>591.01356862163561</v>
          </cell>
          <cell r="G45">
            <v>212000</v>
          </cell>
          <cell r="H45">
            <v>149</v>
          </cell>
          <cell r="I45">
            <v>1422.8187919463087</v>
          </cell>
          <cell r="J45">
            <v>2559000</v>
          </cell>
          <cell r="K45">
            <v>1318</v>
          </cell>
          <cell r="L45">
            <v>1941.5781487101669</v>
          </cell>
          <cell r="M45">
            <v>5224000</v>
          </cell>
          <cell r="N45">
            <v>36411000</v>
          </cell>
          <cell r="O45">
            <v>0.14347312625305539</v>
          </cell>
          <cell r="P45">
            <v>1018000</v>
          </cell>
          <cell r="Q45">
            <v>20306000</v>
          </cell>
          <cell r="R45">
            <v>5.013296562592337E-2</v>
          </cell>
          <cell r="S45">
            <v>1369000</v>
          </cell>
          <cell r="T45">
            <v>13718000</v>
          </cell>
          <cell r="U45">
            <v>9.9795888613500514E-2</v>
          </cell>
          <cell r="V45">
            <v>21324000</v>
          </cell>
          <cell r="W45">
            <v>48111000</v>
          </cell>
          <cell r="X45">
            <v>0.4432250420901665</v>
          </cell>
          <cell r="Y45">
            <v>15087000</v>
          </cell>
          <cell r="Z45">
            <v>48111000</v>
          </cell>
          <cell r="AA45">
            <v>0.31358732930099148</v>
          </cell>
          <cell r="AB45">
            <v>1738000</v>
          </cell>
          <cell r="AC45">
            <v>48111000</v>
          </cell>
          <cell r="AD45">
            <v>3.6124794745484398E-2</v>
          </cell>
          <cell r="AE45">
            <v>6069000</v>
          </cell>
          <cell r="AF45">
            <v>48111000</v>
          </cell>
          <cell r="AG45">
            <v>0.12614578786556088</v>
          </cell>
          <cell r="AH45">
            <v>2722000</v>
          </cell>
          <cell r="AI45">
            <v>48111000</v>
          </cell>
          <cell r="AJ45">
            <v>5.6577497869510093E-2</v>
          </cell>
          <cell r="AK45">
            <v>1171000</v>
          </cell>
          <cell r="AL45">
            <v>48111000</v>
          </cell>
          <cell r="AM45">
            <v>2.4339548128286672E-2</v>
          </cell>
          <cell r="AN45">
            <v>31847000</v>
          </cell>
          <cell r="AO45">
            <v>36917</v>
          </cell>
          <cell r="AP45">
            <v>862.6648969309532</v>
          </cell>
          <cell r="AQ45">
            <v>15349000</v>
          </cell>
          <cell r="AR45">
            <v>46554000</v>
          </cell>
          <cell r="AS45">
            <v>0.32970314043906002</v>
          </cell>
          <cell r="AT45">
            <v>13163000</v>
          </cell>
          <cell r="AU45">
            <v>46554000</v>
          </cell>
          <cell r="AV45">
            <v>0.28274691755810455</v>
          </cell>
          <cell r="AW45">
            <v>886000</v>
          </cell>
          <cell r="AX45">
            <v>46554000</v>
          </cell>
          <cell r="AY45">
            <v>1.9031662155776088E-2</v>
          </cell>
          <cell r="AZ45">
            <v>13377000</v>
          </cell>
          <cell r="BA45">
            <v>46554000</v>
          </cell>
          <cell r="BB45">
            <v>0.28734372986209561</v>
          </cell>
          <cell r="BC45">
            <v>3779000</v>
          </cell>
          <cell r="BD45">
            <v>46554000</v>
          </cell>
          <cell r="BE45">
            <v>8.1174549984963693E-2</v>
          </cell>
          <cell r="BF45">
            <v>32651000</v>
          </cell>
          <cell r="BG45">
            <v>36917</v>
          </cell>
          <cell r="BH45">
            <v>884.44348132296773</v>
          </cell>
          <cell r="BI45">
            <v>12624000</v>
          </cell>
          <cell r="BJ45">
            <v>6528000</v>
          </cell>
          <cell r="BK45">
            <v>1.9338235294117647</v>
          </cell>
          <cell r="BL45">
            <v>2424000</v>
          </cell>
          <cell r="BM45">
            <v>43452000</v>
          </cell>
          <cell r="BN45">
            <v>5.5785694559513946E-2</v>
          </cell>
          <cell r="BO45">
            <v>5686000</v>
          </cell>
          <cell r="BP45">
            <v>9215000</v>
          </cell>
          <cell r="BQ45">
            <v>0.61703743895822027</v>
          </cell>
          <cell r="BR45">
            <v>305</v>
          </cell>
          <cell r="BS45" t="str">
            <v>On Time</v>
          </cell>
          <cell r="BT45" t="str">
            <v>On Time</v>
          </cell>
          <cell r="BU45" t="str">
            <v>On Time</v>
          </cell>
          <cell r="BV45">
            <v>1743000</v>
          </cell>
          <cell r="BW45">
            <v>36917</v>
          </cell>
          <cell r="BX45">
            <v>47.214020640897147</v>
          </cell>
          <cell r="BY45">
            <v>243483</v>
          </cell>
          <cell r="BZ45">
            <v>36917</v>
          </cell>
          <cell r="CA45">
            <v>6.5954167456727255</v>
          </cell>
          <cell r="CB45">
            <v>2096000</v>
          </cell>
          <cell r="CC45">
            <v>14134</v>
          </cell>
          <cell r="CD45">
            <v>148.29489175038913</v>
          </cell>
          <cell r="CE45">
            <v>958522</v>
          </cell>
          <cell r="CF45">
            <v>14134</v>
          </cell>
          <cell r="CG45">
            <v>67.816753926701566</v>
          </cell>
          <cell r="CH45">
            <v>8344770</v>
          </cell>
          <cell r="CI45">
            <v>36917</v>
          </cell>
          <cell r="CJ45">
            <v>226.04139014546143</v>
          </cell>
          <cell r="CK45">
            <v>11244730</v>
          </cell>
          <cell r="CL45">
            <v>36917</v>
          </cell>
          <cell r="CM45">
            <v>304.59490207763361</v>
          </cell>
          <cell r="CN45">
            <v>392.366013534746</v>
          </cell>
          <cell r="CO45">
            <v>504</v>
          </cell>
          <cell r="CP45">
            <v>386.80124223602502</v>
          </cell>
          <cell r="CQ45">
            <v>497</v>
          </cell>
          <cell r="CR45">
            <v>834</v>
          </cell>
          <cell r="CS45">
            <v>16131</v>
          </cell>
          <cell r="CT45">
            <v>834</v>
          </cell>
          <cell r="CU45">
            <v>19.341726618705035</v>
          </cell>
          <cell r="CV45">
            <v>14</v>
          </cell>
          <cell r="CW45">
            <v>49000</v>
          </cell>
          <cell r="CX45">
            <v>1268000</v>
          </cell>
          <cell r="CY45">
            <v>3.8643533123028394E-2</v>
          </cell>
          <cell r="CZ45">
            <v>265000</v>
          </cell>
          <cell r="DA45">
            <v>36917</v>
          </cell>
          <cell r="DB45">
            <v>7.1782647560744373</v>
          </cell>
          <cell r="DC45">
            <v>2349000</v>
          </cell>
          <cell r="DD45">
            <v>36917</v>
          </cell>
          <cell r="DE45">
            <v>63.629222309505103</v>
          </cell>
          <cell r="DF45">
            <v>839000</v>
          </cell>
          <cell r="DG45">
            <v>36917</v>
          </cell>
          <cell r="DH45">
            <v>22.726657095646992</v>
          </cell>
          <cell r="DI45">
            <v>185.6</v>
          </cell>
          <cell r="DJ45">
            <v>198.90625</v>
          </cell>
          <cell r="DK45">
            <v>8.1882603207044102E-3</v>
          </cell>
          <cell r="DL45">
            <v>6.23</v>
          </cell>
          <cell r="DM45">
            <v>1.98</v>
          </cell>
        </row>
        <row r="46">
          <cell r="B46" t="str">
            <v>Coonamble Shire Council</v>
          </cell>
          <cell r="C46">
            <v>9</v>
          </cell>
          <cell r="D46">
            <v>326000</v>
          </cell>
          <cell r="E46">
            <v>1574</v>
          </cell>
          <cell r="F46">
            <v>207.11562897077511</v>
          </cell>
          <cell r="G46">
            <v>2536000</v>
          </cell>
          <cell r="H46">
            <v>754</v>
          </cell>
          <cell r="I46">
            <v>3363.3952254641908</v>
          </cell>
          <cell r="J46">
            <v>68000</v>
          </cell>
          <cell r="K46">
            <v>193</v>
          </cell>
          <cell r="L46">
            <v>352.33160621761658</v>
          </cell>
          <cell r="M46">
            <v>1317000</v>
          </cell>
          <cell r="N46">
            <v>7234000</v>
          </cell>
          <cell r="O46">
            <v>0.18205695327619575</v>
          </cell>
          <cell r="P46">
            <v>117000</v>
          </cell>
          <cell r="Q46">
            <v>3829000</v>
          </cell>
          <cell r="R46">
            <v>3.0556281013319406E-2</v>
          </cell>
          <cell r="S46">
            <v>-1565000</v>
          </cell>
          <cell r="T46">
            <v>4853000</v>
          </cell>
          <cell r="U46">
            <v>-0.32248093962497426</v>
          </cell>
          <cell r="V46">
            <v>3946000</v>
          </cell>
          <cell r="W46">
            <v>11146000</v>
          </cell>
          <cell r="X46">
            <v>0.35402835097792928</v>
          </cell>
          <cell r="Y46">
            <v>3288000</v>
          </cell>
          <cell r="Z46">
            <v>11146000</v>
          </cell>
          <cell r="AA46">
            <v>0.29499371972007893</v>
          </cell>
          <cell r="AB46">
            <v>564000</v>
          </cell>
          <cell r="AC46">
            <v>11146000</v>
          </cell>
          <cell r="AD46">
            <v>5.0601112506728871E-2</v>
          </cell>
          <cell r="AE46">
            <v>3022000</v>
          </cell>
          <cell r="AF46">
            <v>11146000</v>
          </cell>
          <cell r="AG46">
            <v>0.27112865602009689</v>
          </cell>
          <cell r="AH46">
            <v>82000</v>
          </cell>
          <cell r="AI46">
            <v>11146000</v>
          </cell>
          <cell r="AJ46">
            <v>7.356899336084694E-3</v>
          </cell>
          <cell r="AK46">
            <v>244000</v>
          </cell>
          <cell r="AL46">
            <v>11146000</v>
          </cell>
          <cell r="AM46">
            <v>2.1891261439081284E-2</v>
          </cell>
          <cell r="AN46">
            <v>11111000</v>
          </cell>
          <cell r="AO46">
            <v>4796</v>
          </cell>
          <cell r="AP46">
            <v>2316.722268557131</v>
          </cell>
          <cell r="AQ46">
            <v>4614000</v>
          </cell>
          <cell r="AR46">
            <v>11656000</v>
          </cell>
          <cell r="AS46">
            <v>0.39584763212079616</v>
          </cell>
          <cell r="AT46">
            <v>3102000</v>
          </cell>
          <cell r="AU46">
            <v>11656000</v>
          </cell>
          <cell r="AV46">
            <v>0.2661290322580645</v>
          </cell>
          <cell r="AW46">
            <v>48000</v>
          </cell>
          <cell r="AX46">
            <v>11656000</v>
          </cell>
          <cell r="AY46">
            <v>4.1180507892930682E-3</v>
          </cell>
          <cell r="AZ46">
            <v>2990000</v>
          </cell>
          <cell r="BA46">
            <v>11656000</v>
          </cell>
          <cell r="BB46">
            <v>0.25652024708304738</v>
          </cell>
          <cell r="BC46">
            <v>902000</v>
          </cell>
          <cell r="BD46">
            <v>11656000</v>
          </cell>
          <cell r="BE46">
            <v>7.7385037748798902E-2</v>
          </cell>
          <cell r="BF46">
            <v>10679000</v>
          </cell>
          <cell r="BG46">
            <v>4796</v>
          </cell>
          <cell r="BH46">
            <v>2226.6472060050041</v>
          </cell>
          <cell r="BI46">
            <v>7428000</v>
          </cell>
          <cell r="BJ46">
            <v>1080000</v>
          </cell>
          <cell r="BK46">
            <v>6.8777777777777782</v>
          </cell>
          <cell r="BL46">
            <v>188000</v>
          </cell>
          <cell r="BM46">
            <v>10371000</v>
          </cell>
          <cell r="BN46">
            <v>1.812747083212805E-2</v>
          </cell>
          <cell r="BO46">
            <v>630000</v>
          </cell>
          <cell r="BP46">
            <v>2541000</v>
          </cell>
          <cell r="BQ46">
            <v>0.24793388429752067</v>
          </cell>
          <cell r="BR46">
            <v>95</v>
          </cell>
          <cell r="BS46" t="str">
            <v>Not Received</v>
          </cell>
          <cell r="BT46" t="str">
            <v>Not Received</v>
          </cell>
          <cell r="BU46" t="str">
            <v>On Time</v>
          </cell>
          <cell r="BV46">
            <v>203000</v>
          </cell>
          <cell r="BW46">
            <v>4796</v>
          </cell>
          <cell r="BX46">
            <v>42.326939115929939</v>
          </cell>
          <cell r="BY46">
            <v>24250</v>
          </cell>
          <cell r="BZ46">
            <v>4796</v>
          </cell>
          <cell r="CA46">
            <v>5.0562969140950793</v>
          </cell>
          <cell r="CB46">
            <v>278000</v>
          </cell>
          <cell r="CC46">
            <v>1562</v>
          </cell>
          <cell r="CD46">
            <v>177.97695262483995</v>
          </cell>
          <cell r="CE46">
            <v>92714</v>
          </cell>
          <cell r="CF46">
            <v>1386</v>
          </cell>
          <cell r="CG46">
            <v>66.893217893217894</v>
          </cell>
          <cell r="CH46">
            <v>890000</v>
          </cell>
          <cell r="CI46">
            <v>4796</v>
          </cell>
          <cell r="CJ46">
            <v>185.57130942452042</v>
          </cell>
          <cell r="CK46">
            <v>4000000</v>
          </cell>
          <cell r="CL46">
            <v>4796</v>
          </cell>
          <cell r="CM46">
            <v>834.02835696413683</v>
          </cell>
          <cell r="CN46">
            <v>374.744134781924</v>
          </cell>
          <cell r="CO46">
            <v>302</v>
          </cell>
          <cell r="CP46">
            <v>281.86993272382301</v>
          </cell>
          <cell r="CQ46">
            <v>396.35354736424898</v>
          </cell>
          <cell r="CR46">
            <v>49</v>
          </cell>
          <cell r="CS46">
            <v>976</v>
          </cell>
          <cell r="CT46">
            <v>49</v>
          </cell>
          <cell r="CU46">
            <v>19.918367346938776</v>
          </cell>
          <cell r="CV46">
            <v>18.5</v>
          </cell>
          <cell r="CW46">
            <v>0</v>
          </cell>
          <cell r="CX46">
            <v>17000</v>
          </cell>
          <cell r="CY46">
            <v>0</v>
          </cell>
          <cell r="CZ46">
            <v>164000</v>
          </cell>
          <cell r="DA46">
            <v>4796</v>
          </cell>
          <cell r="DB46">
            <v>34.195162635529606</v>
          </cell>
          <cell r="DC46">
            <v>628000</v>
          </cell>
          <cell r="DD46">
            <v>4796</v>
          </cell>
          <cell r="DE46">
            <v>130.94245204336949</v>
          </cell>
          <cell r="DF46">
            <v>407000</v>
          </cell>
          <cell r="DG46">
            <v>4796</v>
          </cell>
          <cell r="DH46">
            <v>84.862385321100916</v>
          </cell>
          <cell r="DI46">
            <v>9926.2000000000007</v>
          </cell>
          <cell r="DJ46">
            <v>0.48316576333340044</v>
          </cell>
          <cell r="DK46">
            <v>-7.939127987873551E-3</v>
          </cell>
          <cell r="DL46">
            <v>20.92</v>
          </cell>
          <cell r="DM46">
            <v>1.64</v>
          </cell>
        </row>
        <row r="47">
          <cell r="B47" t="str">
            <v>Harden Shire Council</v>
          </cell>
          <cell r="C47">
            <v>9</v>
          </cell>
          <cell r="D47">
            <v>323000</v>
          </cell>
          <cell r="E47">
            <v>1166</v>
          </cell>
          <cell r="F47">
            <v>277.01543739279589</v>
          </cell>
          <cell r="G47">
            <v>1275000</v>
          </cell>
          <cell r="H47">
            <v>889</v>
          </cell>
          <cell r="I47">
            <v>1434.1957255343082</v>
          </cell>
          <cell r="J47">
            <v>95000</v>
          </cell>
          <cell r="K47">
            <v>187</v>
          </cell>
          <cell r="L47">
            <v>508.02139037433153</v>
          </cell>
          <cell r="M47">
            <v>449000</v>
          </cell>
          <cell r="N47">
            <v>4944000</v>
          </cell>
          <cell r="O47">
            <v>9.0817152103559867E-2</v>
          </cell>
          <cell r="P47">
            <v>127000</v>
          </cell>
          <cell r="Q47">
            <v>2568000</v>
          </cell>
          <cell r="R47">
            <v>4.9454828660436136E-2</v>
          </cell>
          <cell r="S47">
            <v>860000</v>
          </cell>
          <cell r="T47">
            <v>1389000</v>
          </cell>
          <cell r="U47">
            <v>0.61915046796256301</v>
          </cell>
          <cell r="V47">
            <v>2695000</v>
          </cell>
          <cell r="W47">
            <v>8797000</v>
          </cell>
          <cell r="X47">
            <v>0.30635443901330001</v>
          </cell>
          <cell r="Y47">
            <v>2249000</v>
          </cell>
          <cell r="Z47">
            <v>8797000</v>
          </cell>
          <cell r="AA47">
            <v>0.2556553370467205</v>
          </cell>
          <cell r="AB47">
            <v>139000</v>
          </cell>
          <cell r="AC47">
            <v>8797000</v>
          </cell>
          <cell r="AD47">
            <v>1.5800841195862225E-2</v>
          </cell>
          <cell r="AE47">
            <v>1973000</v>
          </cell>
          <cell r="AF47">
            <v>8797000</v>
          </cell>
          <cell r="AG47">
            <v>0.22428100488803002</v>
          </cell>
          <cell r="AH47">
            <v>1580000</v>
          </cell>
          <cell r="AI47">
            <v>8797000</v>
          </cell>
          <cell r="AJ47">
            <v>0.17960668409685121</v>
          </cell>
          <cell r="AK47">
            <v>161000</v>
          </cell>
          <cell r="AL47">
            <v>8797000</v>
          </cell>
          <cell r="AM47">
            <v>1.8301693759236102E-2</v>
          </cell>
          <cell r="AN47">
            <v>6702000</v>
          </cell>
          <cell r="AO47">
            <v>3827</v>
          </cell>
          <cell r="AP47">
            <v>1751.2411810817873</v>
          </cell>
          <cell r="AQ47">
            <v>2678000</v>
          </cell>
          <cell r="AR47">
            <v>8965000</v>
          </cell>
          <cell r="AS47">
            <v>0.29871723368655884</v>
          </cell>
          <cell r="AT47">
            <v>2659000</v>
          </cell>
          <cell r="AU47">
            <v>8965000</v>
          </cell>
          <cell r="AV47">
            <v>0.29659788064696041</v>
          </cell>
          <cell r="AW47">
            <v>119000</v>
          </cell>
          <cell r="AX47">
            <v>8965000</v>
          </cell>
          <cell r="AY47">
            <v>1.3273842721695482E-2</v>
          </cell>
          <cell r="AZ47">
            <v>1754000</v>
          </cell>
          <cell r="BA47">
            <v>8965000</v>
          </cell>
          <cell r="BB47">
            <v>0.19564974902398216</v>
          </cell>
          <cell r="BC47">
            <v>1755000</v>
          </cell>
          <cell r="BD47">
            <v>8965000</v>
          </cell>
          <cell r="BE47">
            <v>0.19576129392080313</v>
          </cell>
          <cell r="BF47">
            <v>7255000</v>
          </cell>
          <cell r="BG47">
            <v>3827</v>
          </cell>
          <cell r="BH47">
            <v>1895.7407891298667</v>
          </cell>
          <cell r="BI47">
            <v>1988000</v>
          </cell>
          <cell r="BJ47">
            <v>1087000</v>
          </cell>
          <cell r="BK47">
            <v>1.828886844526219</v>
          </cell>
          <cell r="BL47">
            <v>299000</v>
          </cell>
          <cell r="BM47">
            <v>7148000</v>
          </cell>
          <cell r="BN47">
            <v>4.1829882484611079E-2</v>
          </cell>
          <cell r="BO47">
            <v>1787000</v>
          </cell>
          <cell r="BP47">
            <v>1385000</v>
          </cell>
          <cell r="BQ47">
            <v>1.2902527075812273</v>
          </cell>
          <cell r="BR47">
            <v>57</v>
          </cell>
          <cell r="BS47" t="str">
            <v>Not Received</v>
          </cell>
          <cell r="BT47" t="str">
            <v>Not Received</v>
          </cell>
          <cell r="BU47" t="str">
            <v>&lt;=2</v>
          </cell>
          <cell r="BV47">
            <v>73000</v>
          </cell>
          <cell r="BW47">
            <v>3827</v>
          </cell>
          <cell r="BX47">
            <v>19.074993467467991</v>
          </cell>
          <cell r="BY47">
            <v>11945</v>
          </cell>
          <cell r="BZ47">
            <v>3827</v>
          </cell>
          <cell r="CA47">
            <v>3.1212437940945912</v>
          </cell>
          <cell r="CB47">
            <v>112000</v>
          </cell>
          <cell r="CC47">
            <v>891</v>
          </cell>
          <cell r="CD47">
            <v>125.70145903479236</v>
          </cell>
          <cell r="CE47">
            <v>193040</v>
          </cell>
          <cell r="CF47">
            <v>891</v>
          </cell>
          <cell r="CG47">
            <v>216.65544332210999</v>
          </cell>
          <cell r="CH47">
            <v>140650</v>
          </cell>
          <cell r="CI47">
            <v>3827</v>
          </cell>
          <cell r="CJ47">
            <v>36.752025084922913</v>
          </cell>
          <cell r="CK47">
            <v>696450</v>
          </cell>
          <cell r="CL47">
            <v>3827</v>
          </cell>
          <cell r="CM47">
            <v>181.98327671805592</v>
          </cell>
          <cell r="CN47">
            <v>997.42690058479502</v>
          </cell>
          <cell r="CO47">
            <v>1083</v>
          </cell>
          <cell r="CP47">
            <v>260.18174056229799</v>
          </cell>
          <cell r="CQ47">
            <v>340.85117227319103</v>
          </cell>
          <cell r="CR47">
            <v>80</v>
          </cell>
          <cell r="CS47">
            <v>1600</v>
          </cell>
          <cell r="CT47">
            <v>80</v>
          </cell>
          <cell r="CU47">
            <v>20</v>
          </cell>
          <cell r="CV47">
            <v>10</v>
          </cell>
          <cell r="CW47">
            <v>0</v>
          </cell>
          <cell r="CX47">
            <v>57000</v>
          </cell>
          <cell r="CY47">
            <v>0</v>
          </cell>
          <cell r="CZ47">
            <v>115000</v>
          </cell>
          <cell r="DA47">
            <v>3827</v>
          </cell>
          <cell r="DB47">
            <v>30.04964724327149</v>
          </cell>
          <cell r="DC47">
            <v>267000</v>
          </cell>
          <cell r="DD47">
            <v>3827</v>
          </cell>
          <cell r="DE47">
            <v>69.767441860465112</v>
          </cell>
          <cell r="DF47">
            <v>8000</v>
          </cell>
          <cell r="DG47">
            <v>3827</v>
          </cell>
          <cell r="DH47">
            <v>2.090410243010191</v>
          </cell>
          <cell r="DI47">
            <v>1869</v>
          </cell>
          <cell r="DJ47">
            <v>2.0476190476190474</v>
          </cell>
          <cell r="DK47">
            <v>-4.8413460946024056E-3</v>
          </cell>
          <cell r="DL47">
            <v>2.91</v>
          </cell>
          <cell r="DM47">
            <v>1.9</v>
          </cell>
        </row>
        <row r="48">
          <cell r="B48" t="str">
            <v>Deniliquin Council</v>
          </cell>
          <cell r="C48">
            <v>4</v>
          </cell>
          <cell r="D48">
            <v>1780000</v>
          </cell>
          <cell r="E48">
            <v>3122</v>
          </cell>
          <cell r="F48">
            <v>570.14734144778993</v>
          </cell>
          <cell r="G48">
            <v>138000</v>
          </cell>
          <cell r="H48">
            <v>115</v>
          </cell>
          <cell r="I48">
            <v>1200</v>
          </cell>
          <cell r="J48">
            <v>690000</v>
          </cell>
          <cell r="K48">
            <v>419</v>
          </cell>
          <cell r="L48">
            <v>1646.7780429594272</v>
          </cell>
          <cell r="M48">
            <v>480000</v>
          </cell>
          <cell r="N48">
            <v>8199000</v>
          </cell>
          <cell r="O48">
            <v>5.8543724844493231E-2</v>
          </cell>
          <cell r="P48">
            <v>229000</v>
          </cell>
          <cell r="Q48">
            <v>5799000</v>
          </cell>
          <cell r="R48">
            <v>3.9489567166752886E-2</v>
          </cell>
          <cell r="S48">
            <v>840000</v>
          </cell>
          <cell r="T48">
            <v>1331000</v>
          </cell>
          <cell r="U48">
            <v>0.63110443275732531</v>
          </cell>
          <cell r="V48">
            <v>6028000</v>
          </cell>
          <cell r="W48">
            <v>11344000</v>
          </cell>
          <cell r="X48">
            <v>0.53138222849083216</v>
          </cell>
          <cell r="Y48">
            <v>2171000</v>
          </cell>
          <cell r="Z48">
            <v>11344000</v>
          </cell>
          <cell r="AA48">
            <v>0.19137870239774329</v>
          </cell>
          <cell r="AB48">
            <v>362000</v>
          </cell>
          <cell r="AC48">
            <v>11344000</v>
          </cell>
          <cell r="AD48">
            <v>3.1911142454160789E-2</v>
          </cell>
          <cell r="AE48">
            <v>2560000</v>
          </cell>
          <cell r="AF48">
            <v>11344000</v>
          </cell>
          <cell r="AG48">
            <v>0.22566995768688294</v>
          </cell>
          <cell r="AH48">
            <v>52000</v>
          </cell>
          <cell r="AI48">
            <v>11344000</v>
          </cell>
          <cell r="AJ48">
            <v>4.5839210155148094E-3</v>
          </cell>
          <cell r="AK48">
            <v>171000</v>
          </cell>
          <cell r="AL48">
            <v>11344000</v>
          </cell>
          <cell r="AM48">
            <v>1.5074047954866009E-2</v>
          </cell>
          <cell r="AN48">
            <v>7125000</v>
          </cell>
          <cell r="AO48">
            <v>8314</v>
          </cell>
          <cell r="AP48">
            <v>856.98821265335573</v>
          </cell>
          <cell r="AQ48">
            <v>2276000</v>
          </cell>
          <cell r="AR48">
            <v>9577000</v>
          </cell>
          <cell r="AS48">
            <v>0.23765270961679022</v>
          </cell>
          <cell r="AT48">
            <v>3277000</v>
          </cell>
          <cell r="AU48">
            <v>9577000</v>
          </cell>
          <cell r="AV48">
            <v>0.34217395844210086</v>
          </cell>
          <cell r="AW48">
            <v>314000</v>
          </cell>
          <cell r="AX48">
            <v>9577000</v>
          </cell>
          <cell r="AY48">
            <v>3.2786885245901641E-2</v>
          </cell>
          <cell r="AZ48">
            <v>2679000</v>
          </cell>
          <cell r="BA48">
            <v>9577000</v>
          </cell>
          <cell r="BB48">
            <v>0.27973269291009711</v>
          </cell>
          <cell r="BC48">
            <v>1031000</v>
          </cell>
          <cell r="BD48">
            <v>9577000</v>
          </cell>
          <cell r="BE48">
            <v>0.10765375378511016</v>
          </cell>
          <cell r="BF48">
            <v>6974000</v>
          </cell>
          <cell r="BG48">
            <v>8314</v>
          </cell>
          <cell r="BH48">
            <v>838.82607649747411</v>
          </cell>
          <cell r="BI48">
            <v>3580000</v>
          </cell>
          <cell r="BJ48">
            <v>1585000</v>
          </cell>
          <cell r="BK48">
            <v>2.2586750788643535</v>
          </cell>
          <cell r="BL48">
            <v>693000</v>
          </cell>
          <cell r="BM48">
            <v>10262000</v>
          </cell>
          <cell r="BN48">
            <v>6.7530695770804908E-2</v>
          </cell>
          <cell r="BO48">
            <v>1853000</v>
          </cell>
          <cell r="BP48">
            <v>1825000</v>
          </cell>
          <cell r="BQ48">
            <v>1.0153424657534247</v>
          </cell>
          <cell r="BR48">
            <v>56</v>
          </cell>
          <cell r="BS48" t="str">
            <v>&lt;=2</v>
          </cell>
          <cell r="BT48" t="str">
            <v>On Time</v>
          </cell>
          <cell r="BU48" t="str">
            <v>On Time</v>
          </cell>
          <cell r="BV48">
            <v>259000</v>
          </cell>
          <cell r="BW48">
            <v>8314</v>
          </cell>
          <cell r="BX48">
            <v>31.152273273995672</v>
          </cell>
          <cell r="BY48">
            <v>82527</v>
          </cell>
          <cell r="BZ48">
            <v>8314</v>
          </cell>
          <cell r="CA48">
            <v>9.9262689439499638</v>
          </cell>
          <cell r="CB48">
            <v>627000</v>
          </cell>
          <cell r="CC48">
            <v>2906</v>
          </cell>
          <cell r="CD48">
            <v>215.7604955264969</v>
          </cell>
          <cell r="CE48">
            <v>356097</v>
          </cell>
          <cell r="CF48">
            <v>2816</v>
          </cell>
          <cell r="CG48">
            <v>126.45490056818181</v>
          </cell>
          <cell r="CH48">
            <v>480000</v>
          </cell>
          <cell r="CI48">
            <v>8314</v>
          </cell>
          <cell r="CJ48" t="str">
            <v>N/A</v>
          </cell>
          <cell r="CK48">
            <v>2172000</v>
          </cell>
          <cell r="CL48">
            <v>8314</v>
          </cell>
          <cell r="CM48">
            <v>261.24609093095984</v>
          </cell>
          <cell r="CN48">
            <v>663</v>
          </cell>
          <cell r="CO48">
            <v>429</v>
          </cell>
          <cell r="CP48">
            <v>383.45864661654099</v>
          </cell>
          <cell r="CQ48">
            <v>423.69987982082398</v>
          </cell>
          <cell r="CR48">
            <v>98</v>
          </cell>
          <cell r="CS48">
            <v>1982</v>
          </cell>
          <cell r="CT48">
            <v>98</v>
          </cell>
          <cell r="CU48">
            <v>20.224489795918366</v>
          </cell>
          <cell r="CV48">
            <v>14</v>
          </cell>
          <cell r="CW48">
            <v>0</v>
          </cell>
          <cell r="CX48">
            <v>106000</v>
          </cell>
          <cell r="CY48">
            <v>0</v>
          </cell>
          <cell r="CZ48">
            <v>224000</v>
          </cell>
          <cell r="DA48">
            <v>8314</v>
          </cell>
          <cell r="DB48">
            <v>26.942506615347607</v>
          </cell>
          <cell r="DC48">
            <v>650000</v>
          </cell>
          <cell r="DD48">
            <v>8314</v>
          </cell>
          <cell r="DE48">
            <v>78.181380803464037</v>
          </cell>
          <cell r="DF48">
            <v>9000</v>
          </cell>
          <cell r="DG48">
            <v>8314</v>
          </cell>
          <cell r="DH48">
            <v>1.0825114265095019</v>
          </cell>
          <cell r="DI48">
            <v>129.9</v>
          </cell>
          <cell r="DJ48">
            <v>64.003079291762887</v>
          </cell>
          <cell r="DK48">
            <v>1.3041002596931861E-3</v>
          </cell>
          <cell r="DL48">
            <v>2.69</v>
          </cell>
          <cell r="DM48">
            <v>2.23</v>
          </cell>
        </row>
        <row r="49">
          <cell r="B49" t="str">
            <v>Guyra Shire Council</v>
          </cell>
          <cell r="C49">
            <v>9</v>
          </cell>
          <cell r="D49">
            <v>311000</v>
          </cell>
          <cell r="E49">
            <v>1254</v>
          </cell>
          <cell r="F49">
            <v>248.00637958532695</v>
          </cell>
          <cell r="G49">
            <v>1097000</v>
          </cell>
          <cell r="H49">
            <v>862</v>
          </cell>
          <cell r="I49">
            <v>1272.6218097447795</v>
          </cell>
          <cell r="J49">
            <v>47000</v>
          </cell>
          <cell r="K49">
            <v>148</v>
          </cell>
          <cell r="L49">
            <v>317.56756756756755</v>
          </cell>
          <cell r="M49">
            <v>222000</v>
          </cell>
          <cell r="N49">
            <v>3124000</v>
          </cell>
          <cell r="O49">
            <v>7.1062740076824588E-2</v>
          </cell>
          <cell r="P49">
            <v>85000</v>
          </cell>
          <cell r="Q49">
            <v>2202000</v>
          </cell>
          <cell r="R49">
            <v>3.860127157129882E-2</v>
          </cell>
          <cell r="S49">
            <v>386000</v>
          </cell>
          <cell r="T49">
            <v>451000</v>
          </cell>
          <cell r="U49">
            <v>0.85587583148558755</v>
          </cell>
          <cell r="V49">
            <v>2287000</v>
          </cell>
          <cell r="W49">
            <v>9366000</v>
          </cell>
          <cell r="X49">
            <v>0.24418108050395046</v>
          </cell>
          <cell r="Y49">
            <v>837000</v>
          </cell>
          <cell r="Z49">
            <v>9366000</v>
          </cell>
          <cell r="AA49">
            <v>8.9365791159513139E-2</v>
          </cell>
          <cell r="AB49">
            <v>254000</v>
          </cell>
          <cell r="AC49">
            <v>9366000</v>
          </cell>
          <cell r="AD49">
            <v>2.7119367926542813E-2</v>
          </cell>
          <cell r="AE49">
            <v>4974000</v>
          </cell>
          <cell r="AF49">
            <v>9366000</v>
          </cell>
          <cell r="AG49">
            <v>0.53106982703395256</v>
          </cell>
          <cell r="AH49">
            <v>589000</v>
          </cell>
          <cell r="AI49">
            <v>9366000</v>
          </cell>
          <cell r="AJ49">
            <v>6.28870382233611E-2</v>
          </cell>
          <cell r="AK49">
            <v>425000</v>
          </cell>
          <cell r="AL49">
            <v>9366000</v>
          </cell>
          <cell r="AM49">
            <v>4.5376895152679904E-2</v>
          </cell>
          <cell r="AN49">
            <v>6288000</v>
          </cell>
          <cell r="AO49">
            <v>4484</v>
          </cell>
          <cell r="AP49">
            <v>1402.3193577163247</v>
          </cell>
          <cell r="AQ49">
            <v>2300000</v>
          </cell>
          <cell r="AR49">
            <v>8699000</v>
          </cell>
          <cell r="AS49">
            <v>0.26439820669042419</v>
          </cell>
          <cell r="AT49">
            <v>2182000</v>
          </cell>
          <cell r="AU49">
            <v>8699000</v>
          </cell>
          <cell r="AV49">
            <v>0.25083342912978501</v>
          </cell>
          <cell r="AW49">
            <v>140000</v>
          </cell>
          <cell r="AX49">
            <v>8699000</v>
          </cell>
          <cell r="AY49">
            <v>1.609380388550408E-2</v>
          </cell>
          <cell r="AZ49">
            <v>2929000</v>
          </cell>
          <cell r="BA49">
            <v>8699000</v>
          </cell>
          <cell r="BB49">
            <v>0.33670536843315324</v>
          </cell>
          <cell r="BC49">
            <v>1148000</v>
          </cell>
          <cell r="BD49">
            <v>8699000</v>
          </cell>
          <cell r="BE49">
            <v>0.13196919186113346</v>
          </cell>
          <cell r="BF49">
            <v>7820000</v>
          </cell>
          <cell r="BG49">
            <v>4484</v>
          </cell>
          <cell r="BH49">
            <v>1743.978590544157</v>
          </cell>
          <cell r="BI49">
            <v>3513000</v>
          </cell>
          <cell r="BJ49">
            <v>618000</v>
          </cell>
          <cell r="BK49">
            <v>5.6844660194174761</v>
          </cell>
          <cell r="BL49">
            <v>1751000</v>
          </cell>
          <cell r="BM49">
            <v>5273000</v>
          </cell>
          <cell r="BN49">
            <v>0.3320690309121942</v>
          </cell>
          <cell r="BO49">
            <v>4539000</v>
          </cell>
          <cell r="BP49">
            <v>2646000</v>
          </cell>
          <cell r="BQ49">
            <v>1.7154195011337869</v>
          </cell>
          <cell r="BR49">
            <v>49</v>
          </cell>
          <cell r="BS49" t="str">
            <v>On Time</v>
          </cell>
          <cell r="BT49" t="str">
            <v>&lt;=16</v>
          </cell>
          <cell r="BU49" t="str">
            <v>On Time</v>
          </cell>
          <cell r="BV49">
            <v>104000</v>
          </cell>
          <cell r="BW49">
            <v>4484</v>
          </cell>
          <cell r="BX49">
            <v>23.193577163247102</v>
          </cell>
          <cell r="BY49">
            <v>13618</v>
          </cell>
          <cell r="BZ49">
            <v>4484</v>
          </cell>
          <cell r="CA49">
            <v>3.0370205173951828</v>
          </cell>
          <cell r="CB49">
            <v>215000</v>
          </cell>
          <cell r="CC49">
            <v>1165</v>
          </cell>
          <cell r="CD49">
            <v>184.54935622317598</v>
          </cell>
          <cell r="CE49">
            <v>83617</v>
          </cell>
          <cell r="CF49">
            <v>1165</v>
          </cell>
          <cell r="CG49">
            <v>71.774248927038627</v>
          </cell>
          <cell r="CH49">
            <v>615000</v>
          </cell>
          <cell r="CI49">
            <v>4484</v>
          </cell>
          <cell r="CJ49">
            <v>137.1543264942016</v>
          </cell>
          <cell r="CK49">
            <v>650000</v>
          </cell>
          <cell r="CL49">
            <v>4484</v>
          </cell>
          <cell r="CM49">
            <v>144.95985727029438</v>
          </cell>
          <cell r="CN49">
            <v>378.90779580530301</v>
          </cell>
          <cell r="CO49">
            <v>402</v>
          </cell>
          <cell r="CP49">
            <v>519.27739110033599</v>
          </cell>
          <cell r="CQ49">
            <v>414</v>
          </cell>
          <cell r="CR49">
            <v>61</v>
          </cell>
          <cell r="CS49">
            <v>1236</v>
          </cell>
          <cell r="CT49">
            <v>61</v>
          </cell>
          <cell r="CU49">
            <v>20.262295081967213</v>
          </cell>
          <cell r="CV49">
            <v>14</v>
          </cell>
          <cell r="CW49">
            <v>0</v>
          </cell>
          <cell r="CX49">
            <v>63000</v>
          </cell>
          <cell r="CY49">
            <v>0</v>
          </cell>
          <cell r="CZ49">
            <v>102000</v>
          </cell>
          <cell r="DA49">
            <v>4484</v>
          </cell>
          <cell r="DB49">
            <v>22.747546833184657</v>
          </cell>
          <cell r="DC49">
            <v>117000</v>
          </cell>
          <cell r="DD49">
            <v>4484</v>
          </cell>
          <cell r="DE49">
            <v>26.092774308652988</v>
          </cell>
          <cell r="DF49">
            <v>784000</v>
          </cell>
          <cell r="DG49">
            <v>4484</v>
          </cell>
          <cell r="DH49">
            <v>174.84388938447813</v>
          </cell>
          <cell r="DI49">
            <v>4394.7</v>
          </cell>
          <cell r="DJ49">
            <v>1.0203199308257676</v>
          </cell>
          <cell r="DK49">
            <v>3.424737731033467E-3</v>
          </cell>
          <cell r="DL49">
            <v>9.59</v>
          </cell>
          <cell r="DM49">
            <v>0.79</v>
          </cell>
        </row>
        <row r="50">
          <cell r="B50" t="str">
            <v>Parkes Shire Council</v>
          </cell>
          <cell r="C50">
            <v>11</v>
          </cell>
          <cell r="D50">
            <v>2016000</v>
          </cell>
          <cell r="E50">
            <v>5463</v>
          </cell>
          <cell r="F50">
            <v>369.02800658978583</v>
          </cell>
          <cell r="G50">
            <v>1564000</v>
          </cell>
          <cell r="H50">
            <v>1374</v>
          </cell>
          <cell r="I50">
            <v>1138.2823871906842</v>
          </cell>
          <cell r="J50">
            <v>884000</v>
          </cell>
          <cell r="K50">
            <v>579</v>
          </cell>
          <cell r="L50">
            <v>1526.7702936096719</v>
          </cell>
          <cell r="M50">
            <v>1866000</v>
          </cell>
          <cell r="N50">
            <v>14782000</v>
          </cell>
          <cell r="O50">
            <v>0.12623460966039779</v>
          </cell>
          <cell r="P50">
            <v>-44000</v>
          </cell>
          <cell r="Q50">
            <v>8362000</v>
          </cell>
          <cell r="R50">
            <v>-5.2618990672088015E-3</v>
          </cell>
          <cell r="S50">
            <v>306000</v>
          </cell>
          <cell r="T50">
            <v>6158000</v>
          </cell>
          <cell r="U50">
            <v>4.9691458265670674E-2</v>
          </cell>
          <cell r="V50">
            <v>8318000</v>
          </cell>
          <cell r="W50">
            <v>23573000</v>
          </cell>
          <cell r="X50">
            <v>0.35286132439655538</v>
          </cell>
          <cell r="Y50">
            <v>6464000</v>
          </cell>
          <cell r="Z50">
            <v>23573000</v>
          </cell>
          <cell r="AA50">
            <v>0.27421202222882113</v>
          </cell>
          <cell r="AB50">
            <v>1275000</v>
          </cell>
          <cell r="AC50">
            <v>23573000</v>
          </cell>
          <cell r="AD50">
            <v>5.4087303270691042E-2</v>
          </cell>
          <cell r="AE50">
            <v>6350000</v>
          </cell>
          <cell r="AF50">
            <v>23573000</v>
          </cell>
          <cell r="AG50">
            <v>0.26937598099520638</v>
          </cell>
          <cell r="AH50">
            <v>923000</v>
          </cell>
          <cell r="AI50">
            <v>23573000</v>
          </cell>
          <cell r="AJ50">
            <v>3.9154965426547318E-2</v>
          </cell>
          <cell r="AK50">
            <v>243000</v>
          </cell>
          <cell r="AL50">
            <v>23573000</v>
          </cell>
          <cell r="AM50">
            <v>1.0308403682178764E-2</v>
          </cell>
          <cell r="AN50">
            <v>15818000</v>
          </cell>
          <cell r="AO50">
            <v>15086</v>
          </cell>
          <cell r="AP50">
            <v>1048.5218082990853</v>
          </cell>
          <cell r="AQ50">
            <v>6801000</v>
          </cell>
          <cell r="AR50">
            <v>20842000</v>
          </cell>
          <cell r="AS50">
            <v>0.32631225410229342</v>
          </cell>
          <cell r="AT50">
            <v>6613000</v>
          </cell>
          <cell r="AU50">
            <v>20842000</v>
          </cell>
          <cell r="AV50">
            <v>0.3172920065252855</v>
          </cell>
          <cell r="AW50">
            <v>0</v>
          </cell>
          <cell r="AX50">
            <v>20842000</v>
          </cell>
          <cell r="AY50">
            <v>0</v>
          </cell>
          <cell r="AZ50">
            <v>5723000</v>
          </cell>
          <cell r="BA50">
            <v>20842000</v>
          </cell>
          <cell r="BB50">
            <v>0.27458977065540735</v>
          </cell>
          <cell r="BC50">
            <v>1705000</v>
          </cell>
          <cell r="BD50">
            <v>20842000</v>
          </cell>
          <cell r="BE50">
            <v>8.1805968717013719E-2</v>
          </cell>
          <cell r="BF50">
            <v>16655000</v>
          </cell>
          <cell r="BG50">
            <v>15086</v>
          </cell>
          <cell r="BH50">
            <v>1104.0037120509082</v>
          </cell>
          <cell r="BI50">
            <v>9580000</v>
          </cell>
          <cell r="BJ50">
            <v>2111000</v>
          </cell>
          <cell r="BK50">
            <v>4.5381335859782093</v>
          </cell>
          <cell r="BL50">
            <v>0</v>
          </cell>
          <cell r="BM50">
            <v>19859000</v>
          </cell>
          <cell r="BN50">
            <v>0</v>
          </cell>
          <cell r="BO50">
            <v>4437000</v>
          </cell>
          <cell r="BP50">
            <v>4543000</v>
          </cell>
          <cell r="BQ50">
            <v>0.97666740039621391</v>
          </cell>
          <cell r="BR50">
            <v>143</v>
          </cell>
          <cell r="BS50" t="str">
            <v>On Time</v>
          </cell>
          <cell r="BT50" t="str">
            <v>On Time</v>
          </cell>
          <cell r="BU50" t="str">
            <v>On Time</v>
          </cell>
          <cell r="BV50">
            <v>367000</v>
          </cell>
          <cell r="BW50">
            <v>15086</v>
          </cell>
          <cell r="BX50">
            <v>24.327190772902028</v>
          </cell>
          <cell r="BY50">
            <v>86757</v>
          </cell>
          <cell r="BZ50">
            <v>15086</v>
          </cell>
          <cell r="CA50">
            <v>5.7508285827919927</v>
          </cell>
          <cell r="CB50">
            <v>546000</v>
          </cell>
          <cell r="CC50">
            <v>4540</v>
          </cell>
          <cell r="CD50">
            <v>120.26431718061674</v>
          </cell>
          <cell r="CE50">
            <v>430208</v>
          </cell>
          <cell r="CF50">
            <v>4859</v>
          </cell>
          <cell r="CG50">
            <v>88.538382383206425</v>
          </cell>
          <cell r="CH50">
            <v>217150</v>
          </cell>
          <cell r="CI50">
            <v>15086</v>
          </cell>
          <cell r="CJ50">
            <v>14.394140262495029</v>
          </cell>
          <cell r="CK50">
            <v>9119694</v>
          </cell>
          <cell r="CL50">
            <v>15086</v>
          </cell>
          <cell r="CM50">
            <v>604.51372133103541</v>
          </cell>
          <cell r="CN50">
            <v>493.36539317837702</v>
          </cell>
          <cell r="CO50">
            <v>611</v>
          </cell>
          <cell r="CP50">
            <v>208.60527547225601</v>
          </cell>
          <cell r="CQ50">
            <v>221.764869114791</v>
          </cell>
          <cell r="CR50">
            <v>233</v>
          </cell>
          <cell r="CS50">
            <v>4726</v>
          </cell>
          <cell r="CT50">
            <v>233</v>
          </cell>
          <cell r="CU50">
            <v>20.283261802575108</v>
          </cell>
          <cell r="CV50">
            <v>24</v>
          </cell>
          <cell r="CW50">
            <v>0</v>
          </cell>
          <cell r="CX50">
            <v>91000</v>
          </cell>
          <cell r="CY50">
            <v>0</v>
          </cell>
          <cell r="CZ50">
            <v>533000</v>
          </cell>
          <cell r="DA50">
            <v>15086</v>
          </cell>
          <cell r="DB50">
            <v>35.33077025056344</v>
          </cell>
          <cell r="DC50">
            <v>1086000</v>
          </cell>
          <cell r="DD50">
            <v>15086</v>
          </cell>
          <cell r="DE50">
            <v>71.987272968314997</v>
          </cell>
          <cell r="DF50">
            <v>1149000</v>
          </cell>
          <cell r="DG50">
            <v>15086</v>
          </cell>
          <cell r="DH50">
            <v>76.163330239957574</v>
          </cell>
          <cell r="DI50">
            <v>5958</v>
          </cell>
          <cell r="DJ50">
            <v>2.532057737495804</v>
          </cell>
          <cell r="DK50">
            <v>-2.5392057771920218E-3</v>
          </cell>
          <cell r="DL50">
            <v>5.34</v>
          </cell>
          <cell r="DM50">
            <v>1.85</v>
          </cell>
        </row>
        <row r="51">
          <cell r="B51" t="str">
            <v>Forbes Shire Council</v>
          </cell>
          <cell r="C51">
            <v>11</v>
          </cell>
          <cell r="D51">
            <v>1352000</v>
          </cell>
          <cell r="E51">
            <v>3099</v>
          </cell>
          <cell r="F51">
            <v>436.26976444014196</v>
          </cell>
          <cell r="G51">
            <v>2073000</v>
          </cell>
          <cell r="H51">
            <v>1275</v>
          </cell>
          <cell r="I51">
            <v>1625.8823529411766</v>
          </cell>
          <cell r="J51">
            <v>682000</v>
          </cell>
          <cell r="K51">
            <v>379</v>
          </cell>
          <cell r="L51">
            <v>1799.4722955145119</v>
          </cell>
          <cell r="M51">
            <v>817000</v>
          </cell>
          <cell r="N51">
            <v>11737000</v>
          </cell>
          <cell r="O51">
            <v>6.9608929027860617E-2</v>
          </cell>
          <cell r="P51">
            <v>7000</v>
          </cell>
          <cell r="Q51">
            <v>6798000</v>
          </cell>
          <cell r="R51">
            <v>1.0297146219476316E-3</v>
          </cell>
          <cell r="S51">
            <v>1323000</v>
          </cell>
          <cell r="T51">
            <v>3609000</v>
          </cell>
          <cell r="U51">
            <v>0.36658354114713215</v>
          </cell>
          <cell r="V51">
            <v>6805000</v>
          </cell>
          <cell r="W51">
            <v>18414000</v>
          </cell>
          <cell r="X51">
            <v>0.36955577278157925</v>
          </cell>
          <cell r="Y51">
            <v>4932000</v>
          </cell>
          <cell r="Z51">
            <v>18414000</v>
          </cell>
          <cell r="AA51">
            <v>0.26783968719452589</v>
          </cell>
          <cell r="AB51">
            <v>542000</v>
          </cell>
          <cell r="AC51">
            <v>18414000</v>
          </cell>
          <cell r="AD51">
            <v>2.9434126208319755E-2</v>
          </cell>
          <cell r="AE51">
            <v>4404000</v>
          </cell>
          <cell r="AF51">
            <v>18414000</v>
          </cell>
          <cell r="AG51">
            <v>0.23916585206907787</v>
          </cell>
          <cell r="AH51">
            <v>1328000</v>
          </cell>
          <cell r="AI51">
            <v>18414000</v>
          </cell>
          <cell r="AJ51">
            <v>7.2119039860975342E-2</v>
          </cell>
          <cell r="AK51">
            <v>403000</v>
          </cell>
          <cell r="AL51">
            <v>18414000</v>
          </cell>
          <cell r="AM51">
            <v>2.1885521885521887E-2</v>
          </cell>
          <cell r="AN51">
            <v>14427000</v>
          </cell>
          <cell r="AO51">
            <v>10145</v>
          </cell>
          <cell r="AP51">
            <v>1422.0798422868409</v>
          </cell>
          <cell r="AQ51">
            <v>5844000</v>
          </cell>
          <cell r="AR51">
            <v>16671000</v>
          </cell>
          <cell r="AS51">
            <v>0.35054885729710278</v>
          </cell>
          <cell r="AT51">
            <v>5282000</v>
          </cell>
          <cell r="AU51">
            <v>16671000</v>
          </cell>
          <cell r="AV51">
            <v>0.31683762221822326</v>
          </cell>
          <cell r="AW51">
            <v>567000</v>
          </cell>
          <cell r="AX51">
            <v>16671000</v>
          </cell>
          <cell r="AY51">
            <v>3.401115709915422E-2</v>
          </cell>
          <cell r="AZ51">
            <v>4304000</v>
          </cell>
          <cell r="BA51">
            <v>16671000</v>
          </cell>
          <cell r="BB51">
            <v>0.25817287505248637</v>
          </cell>
          <cell r="BC51">
            <v>674000</v>
          </cell>
          <cell r="BD51">
            <v>16671000</v>
          </cell>
          <cell r="BE51">
            <v>4.0429488333033413E-2</v>
          </cell>
          <cell r="BF51">
            <v>14147000</v>
          </cell>
          <cell r="BG51">
            <v>10145</v>
          </cell>
          <cell r="BH51">
            <v>1394.4800394282897</v>
          </cell>
          <cell r="BI51">
            <v>9161000</v>
          </cell>
          <cell r="BJ51">
            <v>2856000</v>
          </cell>
          <cell r="BK51">
            <v>3.2076330532212887</v>
          </cell>
          <cell r="BL51">
            <v>1027000</v>
          </cell>
          <cell r="BM51">
            <v>16349000</v>
          </cell>
          <cell r="BN51">
            <v>6.2817297694048563E-2</v>
          </cell>
          <cell r="BO51">
            <v>3640000</v>
          </cell>
          <cell r="BP51">
            <v>3592000</v>
          </cell>
          <cell r="BQ51">
            <v>1.0133630289532294</v>
          </cell>
          <cell r="BR51">
            <v>103</v>
          </cell>
          <cell r="BS51" t="str">
            <v>&lt;=2</v>
          </cell>
          <cell r="BT51" t="str">
            <v>&lt;=2</v>
          </cell>
          <cell r="BU51" t="str">
            <v>&lt;=2</v>
          </cell>
          <cell r="BV51">
            <v>169000</v>
          </cell>
          <cell r="BW51">
            <v>10145</v>
          </cell>
          <cell r="BX51">
            <v>16.658452439625432</v>
          </cell>
          <cell r="BY51">
            <v>60201</v>
          </cell>
          <cell r="BZ51">
            <v>10145</v>
          </cell>
          <cell r="CA51">
            <v>5.9340561853129623</v>
          </cell>
          <cell r="CB51">
            <v>212000</v>
          </cell>
          <cell r="CC51">
            <v>2815</v>
          </cell>
          <cell r="CD51">
            <v>75.310834813499113</v>
          </cell>
          <cell r="CE51">
            <v>218751</v>
          </cell>
          <cell r="CF51">
            <v>3024</v>
          </cell>
          <cell r="CG51">
            <v>72.338293650793645</v>
          </cell>
          <cell r="CH51">
            <v>1358000</v>
          </cell>
          <cell r="CI51">
            <v>10145</v>
          </cell>
          <cell r="CJ51">
            <v>133.8590438639724</v>
          </cell>
          <cell r="CK51">
            <v>4879905</v>
          </cell>
          <cell r="CL51">
            <v>10145</v>
          </cell>
          <cell r="CM51">
            <v>481.01577131591915</v>
          </cell>
          <cell r="CN51">
            <v>475.93300222224298</v>
          </cell>
          <cell r="CO51">
            <v>366</v>
          </cell>
          <cell r="CP51">
            <v>383.54203935599298</v>
          </cell>
          <cell r="CQ51">
            <v>285.11190398961998</v>
          </cell>
          <cell r="CR51">
            <v>209</v>
          </cell>
          <cell r="CS51">
            <v>4389</v>
          </cell>
          <cell r="CT51">
            <v>209</v>
          </cell>
          <cell r="CU51">
            <v>21</v>
          </cell>
          <cell r="CV51">
            <v>22</v>
          </cell>
          <cell r="CW51">
            <v>0</v>
          </cell>
          <cell r="CX51">
            <v>197000</v>
          </cell>
          <cell r="CY51">
            <v>0</v>
          </cell>
          <cell r="CZ51">
            <v>557000</v>
          </cell>
          <cell r="DA51">
            <v>10145</v>
          </cell>
          <cell r="DB51">
            <v>54.903893543617542</v>
          </cell>
          <cell r="DC51">
            <v>649000</v>
          </cell>
          <cell r="DD51">
            <v>10145</v>
          </cell>
          <cell r="DE51">
            <v>63.972400197141447</v>
          </cell>
          <cell r="DF51">
            <v>18000</v>
          </cell>
          <cell r="DG51">
            <v>10145</v>
          </cell>
          <cell r="DH51">
            <v>1.7742730409068506</v>
          </cell>
          <cell r="DI51">
            <v>4719.8999999999996</v>
          </cell>
          <cell r="DJ51">
            <v>2.1494099451259561</v>
          </cell>
          <cell r="DK51">
            <v>-3.8775962710476675E-3</v>
          </cell>
          <cell r="DL51">
            <v>5.14</v>
          </cell>
          <cell r="DM51">
            <v>1.34</v>
          </cell>
        </row>
        <row r="52">
          <cell r="B52" t="str">
            <v>Weddin Shire Council</v>
          </cell>
          <cell r="C52">
            <v>9</v>
          </cell>
          <cell r="D52">
            <v>297000</v>
          </cell>
          <cell r="E52">
            <v>1202</v>
          </cell>
          <cell r="F52">
            <v>247.08818635607321</v>
          </cell>
          <cell r="G52">
            <v>856000</v>
          </cell>
          <cell r="H52">
            <v>1074</v>
          </cell>
          <cell r="I52">
            <v>797.02048417132221</v>
          </cell>
          <cell r="J52">
            <v>95000</v>
          </cell>
          <cell r="K52">
            <v>131</v>
          </cell>
          <cell r="L52">
            <v>725.19083969465646</v>
          </cell>
          <cell r="M52">
            <v>124000</v>
          </cell>
          <cell r="N52">
            <v>2095000</v>
          </cell>
          <cell r="O52">
            <v>5.9188544152744632E-2</v>
          </cell>
          <cell r="P52">
            <v>67000</v>
          </cell>
          <cell r="Q52">
            <v>1448000</v>
          </cell>
          <cell r="R52">
            <v>4.6270718232044199E-2</v>
          </cell>
          <cell r="S52">
            <v>-815000</v>
          </cell>
          <cell r="T52">
            <v>1395000</v>
          </cell>
          <cell r="U52">
            <v>-0.58422939068100355</v>
          </cell>
          <cell r="V52">
            <v>1515000</v>
          </cell>
          <cell r="W52">
            <v>7365000</v>
          </cell>
          <cell r="X52">
            <v>0.20570264765784113</v>
          </cell>
          <cell r="Y52">
            <v>580000</v>
          </cell>
          <cell r="Z52">
            <v>7365000</v>
          </cell>
          <cell r="AA52">
            <v>7.8750848608282423E-2</v>
          </cell>
          <cell r="AB52">
            <v>235000</v>
          </cell>
          <cell r="AC52">
            <v>7365000</v>
          </cell>
          <cell r="AD52">
            <v>3.1907671418873046E-2</v>
          </cell>
          <cell r="AE52">
            <v>2559000</v>
          </cell>
          <cell r="AF52">
            <v>7365000</v>
          </cell>
          <cell r="AG52">
            <v>0.34745417515274951</v>
          </cell>
          <cell r="AH52">
            <v>2458000</v>
          </cell>
          <cell r="AI52">
            <v>7365000</v>
          </cell>
          <cell r="AJ52">
            <v>0.3337406653088934</v>
          </cell>
          <cell r="AK52">
            <v>18000</v>
          </cell>
          <cell r="AL52">
            <v>7365000</v>
          </cell>
          <cell r="AM52">
            <v>2.443991853360489E-3</v>
          </cell>
          <cell r="AN52">
            <v>6535000</v>
          </cell>
          <cell r="AO52">
            <v>3845</v>
          </cell>
          <cell r="AP52">
            <v>1699.6098829648895</v>
          </cell>
          <cell r="AQ52">
            <v>2562000</v>
          </cell>
          <cell r="AR52">
            <v>7234000</v>
          </cell>
          <cell r="AS52">
            <v>0.3541609068288637</v>
          </cell>
          <cell r="AT52">
            <v>2030000</v>
          </cell>
          <cell r="AU52">
            <v>7234000</v>
          </cell>
          <cell r="AV52">
            <v>0.28061929776057504</v>
          </cell>
          <cell r="AW52">
            <v>0</v>
          </cell>
          <cell r="AX52">
            <v>7234000</v>
          </cell>
          <cell r="AY52">
            <v>0</v>
          </cell>
          <cell r="AZ52">
            <v>2198000</v>
          </cell>
          <cell r="BA52">
            <v>7234000</v>
          </cell>
          <cell r="BB52">
            <v>0.30384296378213987</v>
          </cell>
          <cell r="BC52">
            <v>444000</v>
          </cell>
          <cell r="BD52">
            <v>7234000</v>
          </cell>
          <cell r="BE52">
            <v>6.1376831628421342E-2</v>
          </cell>
          <cell r="BF52">
            <v>6984000</v>
          </cell>
          <cell r="BG52">
            <v>3845</v>
          </cell>
          <cell r="BH52">
            <v>1816.3849154746424</v>
          </cell>
          <cell r="BI52">
            <v>5163000</v>
          </cell>
          <cell r="BJ52">
            <v>752000</v>
          </cell>
          <cell r="BK52">
            <v>6.8656914893617023</v>
          </cell>
          <cell r="BL52">
            <v>0</v>
          </cell>
          <cell r="BM52">
            <v>4005000</v>
          </cell>
          <cell r="BN52">
            <v>0</v>
          </cell>
          <cell r="BO52">
            <v>1696000</v>
          </cell>
          <cell r="BP52">
            <v>2067000</v>
          </cell>
          <cell r="BQ52">
            <v>0.82051282051282048</v>
          </cell>
          <cell r="BR52">
            <v>53</v>
          </cell>
          <cell r="BS52" t="str">
            <v>&lt;=2</v>
          </cell>
          <cell r="BT52" t="str">
            <v>&lt;=2</v>
          </cell>
          <cell r="BU52" t="str">
            <v>On Time</v>
          </cell>
          <cell r="BV52">
            <v>115000</v>
          </cell>
          <cell r="BW52">
            <v>3845</v>
          </cell>
          <cell r="BX52">
            <v>29.908972691807541</v>
          </cell>
          <cell r="BY52">
            <v>26324</v>
          </cell>
          <cell r="BZ52">
            <v>3845</v>
          </cell>
          <cell r="CA52">
            <v>6.8462938881664499</v>
          </cell>
          <cell r="CB52">
            <v>136000</v>
          </cell>
          <cell r="CC52">
            <v>963</v>
          </cell>
          <cell r="CD52">
            <v>141.22533748701974</v>
          </cell>
          <cell r="CE52">
            <v>127000</v>
          </cell>
          <cell r="CF52">
            <v>967</v>
          </cell>
          <cell r="CG52">
            <v>131.3340227507756</v>
          </cell>
          <cell r="CH52">
            <v>630000</v>
          </cell>
          <cell r="CI52">
            <v>3845</v>
          </cell>
          <cell r="CJ52">
            <v>163.84915474642392</v>
          </cell>
          <cell r="CK52">
            <v>600000</v>
          </cell>
          <cell r="CL52">
            <v>3845</v>
          </cell>
          <cell r="CM52">
            <v>156.04681404421328</v>
          </cell>
          <cell r="CN52" t="str">
            <v>N/A</v>
          </cell>
          <cell r="CO52" t="str">
            <v>N/A</v>
          </cell>
          <cell r="CP52">
            <v>122</v>
          </cell>
          <cell r="CQ52">
            <v>281</v>
          </cell>
          <cell r="CR52">
            <v>80</v>
          </cell>
          <cell r="CS52">
            <v>1713</v>
          </cell>
          <cell r="CT52">
            <v>80</v>
          </cell>
          <cell r="CU52">
            <v>21.412500000000001</v>
          </cell>
          <cell r="CV52">
            <v>9</v>
          </cell>
          <cell r="CW52">
            <v>0</v>
          </cell>
          <cell r="CX52">
            <v>56000</v>
          </cell>
          <cell r="CY52">
            <v>0</v>
          </cell>
          <cell r="CZ52">
            <v>211000</v>
          </cell>
          <cell r="DA52">
            <v>3845</v>
          </cell>
          <cell r="DB52">
            <v>54.876462938881666</v>
          </cell>
          <cell r="DC52">
            <v>399000</v>
          </cell>
          <cell r="DD52">
            <v>3845</v>
          </cell>
          <cell r="DE52">
            <v>103.77113133940182</v>
          </cell>
          <cell r="DF52">
            <v>1000</v>
          </cell>
          <cell r="DG52">
            <v>3845</v>
          </cell>
          <cell r="DH52">
            <v>0.26007802340702213</v>
          </cell>
          <cell r="DI52">
            <v>3409.7</v>
          </cell>
          <cell r="DJ52">
            <v>1.1276651904859665</v>
          </cell>
          <cell r="DK52">
            <v>-1.7592078766639485E-3</v>
          </cell>
          <cell r="DL52">
            <v>0.88</v>
          </cell>
          <cell r="DM52">
            <v>1.6</v>
          </cell>
        </row>
        <row r="53">
          <cell r="B53" t="str">
            <v>Evans Shire Council</v>
          </cell>
          <cell r="C53">
            <v>10</v>
          </cell>
          <cell r="D53">
            <v>548000</v>
          </cell>
          <cell r="E53">
            <v>1872</v>
          </cell>
          <cell r="F53">
            <v>292.73504273504273</v>
          </cell>
          <cell r="G53">
            <v>1267000</v>
          </cell>
          <cell r="H53">
            <v>1470</v>
          </cell>
          <cell r="I53">
            <v>861.90476190476193</v>
          </cell>
          <cell r="J53">
            <v>22000</v>
          </cell>
          <cell r="K53">
            <v>72</v>
          </cell>
          <cell r="L53">
            <v>305.55555555555554</v>
          </cell>
          <cell r="M53">
            <v>225000</v>
          </cell>
          <cell r="N53">
            <v>4562000</v>
          </cell>
          <cell r="O53">
            <v>4.9320473476545376E-2</v>
          </cell>
          <cell r="P53">
            <v>156000</v>
          </cell>
          <cell r="Q53">
            <v>1778000</v>
          </cell>
          <cell r="R53">
            <v>8.7739032620922391E-2</v>
          </cell>
          <cell r="S53">
            <v>324000</v>
          </cell>
          <cell r="T53">
            <v>2304000</v>
          </cell>
          <cell r="U53">
            <v>0.140625</v>
          </cell>
          <cell r="V53">
            <v>1934000</v>
          </cell>
          <cell r="W53">
            <v>8342000</v>
          </cell>
          <cell r="X53">
            <v>0.23183888755694079</v>
          </cell>
          <cell r="Y53">
            <v>2628000</v>
          </cell>
          <cell r="Z53">
            <v>8342000</v>
          </cell>
          <cell r="AA53">
            <v>0.31503236633900744</v>
          </cell>
          <cell r="AB53">
            <v>64000</v>
          </cell>
          <cell r="AC53">
            <v>8342000</v>
          </cell>
          <cell r="AD53">
            <v>7.6720210980580194E-3</v>
          </cell>
          <cell r="AE53">
            <v>2007000</v>
          </cell>
          <cell r="AF53">
            <v>8342000</v>
          </cell>
          <cell r="AG53">
            <v>0.24058978662191322</v>
          </cell>
          <cell r="AH53">
            <v>1673000</v>
          </cell>
          <cell r="AI53">
            <v>8342000</v>
          </cell>
          <cell r="AJ53">
            <v>0.20055142651642291</v>
          </cell>
          <cell r="AK53">
            <v>36000</v>
          </cell>
          <cell r="AL53">
            <v>8342000</v>
          </cell>
          <cell r="AM53">
            <v>4.315511867657636E-3</v>
          </cell>
          <cell r="AN53">
            <v>7106000</v>
          </cell>
          <cell r="AO53">
            <v>5404</v>
          </cell>
          <cell r="AP53">
            <v>1314.9518874907476</v>
          </cell>
          <cell r="AQ53">
            <v>2334000</v>
          </cell>
          <cell r="AR53">
            <v>6812000</v>
          </cell>
          <cell r="AS53">
            <v>0.34263065179095714</v>
          </cell>
          <cell r="AT53">
            <v>2010000</v>
          </cell>
          <cell r="AU53">
            <v>6812000</v>
          </cell>
          <cell r="AV53">
            <v>0.29506752789195539</v>
          </cell>
          <cell r="AW53">
            <v>10000</v>
          </cell>
          <cell r="AX53">
            <v>6812000</v>
          </cell>
          <cell r="AY53">
            <v>1.467997651203758E-3</v>
          </cell>
          <cell r="AZ53">
            <v>1690000</v>
          </cell>
          <cell r="BA53">
            <v>6812000</v>
          </cell>
          <cell r="BB53">
            <v>0.24809160305343511</v>
          </cell>
          <cell r="BC53">
            <v>768000</v>
          </cell>
          <cell r="BD53">
            <v>6812000</v>
          </cell>
          <cell r="BE53">
            <v>0.11274221961244862</v>
          </cell>
          <cell r="BF53">
            <v>6792000</v>
          </cell>
          <cell r="BG53">
            <v>5404</v>
          </cell>
          <cell r="BH53">
            <v>1256.8467801628424</v>
          </cell>
          <cell r="BI53">
            <v>1894000</v>
          </cell>
          <cell r="BJ53">
            <v>1240000</v>
          </cell>
          <cell r="BK53">
            <v>1.5274193548387096</v>
          </cell>
          <cell r="BL53">
            <v>110000</v>
          </cell>
          <cell r="BM53">
            <v>6198000</v>
          </cell>
          <cell r="BN53">
            <v>1.7747660535656663E-2</v>
          </cell>
          <cell r="BO53">
            <v>1865000</v>
          </cell>
          <cell r="BP53">
            <v>1690000</v>
          </cell>
          <cell r="BQ53">
            <v>1.1035502958579881</v>
          </cell>
          <cell r="BR53">
            <v>44</v>
          </cell>
          <cell r="BS53" t="str">
            <v>&lt;=8</v>
          </cell>
          <cell r="BT53" t="str">
            <v>Not Received</v>
          </cell>
          <cell r="BU53" t="str">
            <v>On Time</v>
          </cell>
          <cell r="BV53">
            <v>62000</v>
          </cell>
          <cell r="BW53">
            <v>5404</v>
          </cell>
          <cell r="BX53">
            <v>11.472982975573649</v>
          </cell>
          <cell r="BY53">
            <v>29211</v>
          </cell>
          <cell r="BZ53">
            <v>5404</v>
          </cell>
          <cell r="CA53">
            <v>5.4054404145077717</v>
          </cell>
          <cell r="CB53">
            <v>0</v>
          </cell>
          <cell r="CC53">
            <v>0</v>
          </cell>
          <cell r="CD53" t="str">
            <v>N/A</v>
          </cell>
          <cell r="CE53">
            <v>0</v>
          </cell>
          <cell r="CF53">
            <v>0</v>
          </cell>
          <cell r="CG53" t="str">
            <v>N/A</v>
          </cell>
          <cell r="CH53">
            <v>50</v>
          </cell>
          <cell r="CI53">
            <v>5404</v>
          </cell>
          <cell r="CJ53">
            <v>9.2524056254626209E-3</v>
          </cell>
          <cell r="CK53">
            <v>0</v>
          </cell>
          <cell r="CL53">
            <v>5404</v>
          </cell>
          <cell r="CM53" t="str">
            <v>N/A</v>
          </cell>
          <cell r="CN53" t="str">
            <v>N/A</v>
          </cell>
          <cell r="CO53" t="str">
            <v>N/A</v>
          </cell>
          <cell r="CP53" t="str">
            <v>N/A</v>
          </cell>
          <cell r="CQ53" t="str">
            <v>N/A</v>
          </cell>
          <cell r="CR53">
            <v>159</v>
          </cell>
          <cell r="CS53">
            <v>3438</v>
          </cell>
          <cell r="CT53">
            <v>159</v>
          </cell>
          <cell r="CU53">
            <v>21.622641509433961</v>
          </cell>
          <cell r="CV53">
            <v>18</v>
          </cell>
          <cell r="CW53">
            <v>58000</v>
          </cell>
          <cell r="CX53">
            <v>322000</v>
          </cell>
          <cell r="CY53">
            <v>0.18012422360248448</v>
          </cell>
          <cell r="CZ53">
            <v>121000</v>
          </cell>
          <cell r="DA53">
            <v>5404</v>
          </cell>
          <cell r="DB53">
            <v>22.39082161361954</v>
          </cell>
          <cell r="DC53">
            <v>28000</v>
          </cell>
          <cell r="DD53">
            <v>5404</v>
          </cell>
          <cell r="DE53">
            <v>5.1813471502590671</v>
          </cell>
          <cell r="DF53">
            <v>0</v>
          </cell>
          <cell r="DG53">
            <v>5404</v>
          </cell>
          <cell r="DH53">
            <v>0</v>
          </cell>
          <cell r="DI53">
            <v>4309.8999999999996</v>
          </cell>
          <cell r="DJ53">
            <v>1.2538573980834824</v>
          </cell>
          <cell r="DK53">
            <v>5.6841092176667107E-3</v>
          </cell>
          <cell r="DL53">
            <v>1.2</v>
          </cell>
          <cell r="DM53">
            <v>2.79</v>
          </cell>
        </row>
        <row r="54">
          <cell r="B54" t="str">
            <v>Lismore City Council</v>
          </cell>
          <cell r="C54">
            <v>4</v>
          </cell>
          <cell r="D54">
            <v>9830000</v>
          </cell>
          <cell r="E54">
            <v>13778</v>
          </cell>
          <cell r="F54">
            <v>713.45623457686168</v>
          </cell>
          <cell r="G54">
            <v>2820000</v>
          </cell>
          <cell r="H54">
            <v>1930</v>
          </cell>
          <cell r="I54">
            <v>1461.1398963730569</v>
          </cell>
          <cell r="J54">
            <v>3250000</v>
          </cell>
          <cell r="K54">
            <v>1190</v>
          </cell>
          <cell r="L54">
            <v>2731.09243697479</v>
          </cell>
          <cell r="M54">
            <v>2226000</v>
          </cell>
          <cell r="N54">
            <v>34296000</v>
          </cell>
          <cell r="O54">
            <v>6.4905528341497556E-2</v>
          </cell>
          <cell r="P54">
            <v>1472000</v>
          </cell>
          <cell r="Q54">
            <v>22097000</v>
          </cell>
          <cell r="R54">
            <v>6.6615377653075084E-2</v>
          </cell>
          <cell r="S54">
            <v>1405000</v>
          </cell>
          <cell r="T54">
            <v>9322000</v>
          </cell>
          <cell r="U54">
            <v>0.15071872988629051</v>
          </cell>
          <cell r="V54">
            <v>23569000</v>
          </cell>
          <cell r="W54">
            <v>49197000</v>
          </cell>
          <cell r="X54">
            <v>0.47907392727198811</v>
          </cell>
          <cell r="Y54">
            <v>10727000</v>
          </cell>
          <cell r="Z54">
            <v>49197000</v>
          </cell>
          <cell r="AA54">
            <v>0.21804175051324268</v>
          </cell>
          <cell r="AB54">
            <v>1630000</v>
          </cell>
          <cell r="AC54">
            <v>49197000</v>
          </cell>
          <cell r="AD54">
            <v>3.3132101550907574E-2</v>
          </cell>
          <cell r="AE54">
            <v>7809000</v>
          </cell>
          <cell r="AF54">
            <v>49197000</v>
          </cell>
          <cell r="AG54">
            <v>0.15872919080431733</v>
          </cell>
          <cell r="AH54">
            <v>5067000</v>
          </cell>
          <cell r="AI54">
            <v>49197000</v>
          </cell>
          <cell r="AJ54">
            <v>0.10299408500518324</v>
          </cell>
          <cell r="AK54">
            <v>395000</v>
          </cell>
          <cell r="AL54">
            <v>49197000</v>
          </cell>
          <cell r="AM54">
            <v>8.0289448543610382E-3</v>
          </cell>
          <cell r="AN54">
            <v>35402000</v>
          </cell>
          <cell r="AO54">
            <v>43030</v>
          </cell>
          <cell r="AP54">
            <v>822.72832907273994</v>
          </cell>
          <cell r="AQ54">
            <v>14028000</v>
          </cell>
          <cell r="AR54">
            <v>43330000</v>
          </cell>
          <cell r="AS54">
            <v>0.32374798061389337</v>
          </cell>
          <cell r="AT54">
            <v>16188000</v>
          </cell>
          <cell r="AU54">
            <v>43330000</v>
          </cell>
          <cell r="AV54">
            <v>0.37359796907454418</v>
          </cell>
          <cell r="AW54">
            <v>486000</v>
          </cell>
          <cell r="AX54">
            <v>43330000</v>
          </cell>
          <cell r="AY54">
            <v>1.1216247403646434E-2</v>
          </cell>
          <cell r="AZ54">
            <v>8892000</v>
          </cell>
          <cell r="BA54">
            <v>43330000</v>
          </cell>
          <cell r="BB54">
            <v>0.2052157858296792</v>
          </cell>
          <cell r="BC54">
            <v>3736000</v>
          </cell>
          <cell r="BD54">
            <v>43330000</v>
          </cell>
          <cell r="BE54">
            <v>8.622201707823679E-2</v>
          </cell>
          <cell r="BF54">
            <v>35145000</v>
          </cell>
          <cell r="BG54">
            <v>43030</v>
          </cell>
          <cell r="BH54">
            <v>816.75575180106898</v>
          </cell>
          <cell r="BI54">
            <v>18016000</v>
          </cell>
          <cell r="BJ54">
            <v>5996000</v>
          </cell>
          <cell r="BK54">
            <v>3.0046697798532356</v>
          </cell>
          <cell r="BL54">
            <v>1822000</v>
          </cell>
          <cell r="BM54">
            <v>41891000</v>
          </cell>
          <cell r="BN54">
            <v>4.3493829223460886E-2</v>
          </cell>
          <cell r="BO54">
            <v>10249000</v>
          </cell>
          <cell r="BP54">
            <v>6808000</v>
          </cell>
          <cell r="BQ54">
            <v>1.5054347826086956</v>
          </cell>
          <cell r="BR54">
            <v>273</v>
          </cell>
          <cell r="BS54" t="str">
            <v>&lt;=2</v>
          </cell>
          <cell r="BT54" t="str">
            <v>&lt;=16</v>
          </cell>
          <cell r="BU54" t="str">
            <v>On Time</v>
          </cell>
          <cell r="BV54">
            <v>892000</v>
          </cell>
          <cell r="BW54">
            <v>43030</v>
          </cell>
          <cell r="BX54">
            <v>20.72972344875668</v>
          </cell>
          <cell r="BY54">
            <v>387563</v>
          </cell>
          <cell r="BZ54">
            <v>43030</v>
          </cell>
          <cell r="CA54">
            <v>9.0068092028817102</v>
          </cell>
          <cell r="CB54">
            <v>1378000</v>
          </cell>
          <cell r="CC54">
            <v>12293</v>
          </cell>
          <cell r="CD54">
            <v>112.0963149760026</v>
          </cell>
          <cell r="CE54">
            <v>885246</v>
          </cell>
          <cell r="CF54">
            <v>12293</v>
          </cell>
          <cell r="CG54">
            <v>72.012202066216545</v>
          </cell>
          <cell r="CH54">
            <v>9684</v>
          </cell>
          <cell r="CI54">
            <v>43030</v>
          </cell>
          <cell r="CJ54">
            <v>0.22505228910062747</v>
          </cell>
          <cell r="CK54">
            <v>5999000</v>
          </cell>
          <cell r="CL54">
            <v>43030</v>
          </cell>
          <cell r="CM54">
            <v>139.41436207297235</v>
          </cell>
          <cell r="CN54">
            <v>212.60669016882201</v>
          </cell>
          <cell r="CO54">
            <v>349</v>
          </cell>
          <cell r="CP54">
            <v>305.95365726806602</v>
          </cell>
          <cell r="CQ54">
            <v>364.26099261759799</v>
          </cell>
          <cell r="CR54">
            <v>979</v>
          </cell>
          <cell r="CS54">
            <v>21538</v>
          </cell>
          <cell r="CT54">
            <v>979</v>
          </cell>
          <cell r="CU54">
            <v>22</v>
          </cell>
          <cell r="CV54">
            <v>16</v>
          </cell>
          <cell r="CW54">
            <v>70000</v>
          </cell>
          <cell r="CX54">
            <v>1866000</v>
          </cell>
          <cell r="CY54">
            <v>3.7513397642015008E-2</v>
          </cell>
          <cell r="CZ54">
            <v>1713000</v>
          </cell>
          <cell r="DA54">
            <v>43030</v>
          </cell>
          <cell r="DB54">
            <v>39.80943527771322</v>
          </cell>
          <cell r="DC54">
            <v>2782000</v>
          </cell>
          <cell r="DD54">
            <v>43030</v>
          </cell>
          <cell r="DE54">
            <v>64.65256797583082</v>
          </cell>
          <cell r="DF54">
            <v>1150000</v>
          </cell>
          <cell r="DG54">
            <v>43030</v>
          </cell>
          <cell r="DH54">
            <v>26.725540320706482</v>
          </cell>
          <cell r="DI54">
            <v>1290.2</v>
          </cell>
          <cell r="DJ54">
            <v>33.351418384746552</v>
          </cell>
          <cell r="DK54">
            <v>-2.1060791689251346E-3</v>
          </cell>
          <cell r="DL54">
            <v>3.33</v>
          </cell>
          <cell r="DM54">
            <v>3.46</v>
          </cell>
        </row>
        <row r="55">
          <cell r="B55" t="str">
            <v>Pristine Waters Council</v>
          </cell>
          <cell r="C55">
            <v>11</v>
          </cell>
          <cell r="D55">
            <v>1528000</v>
          </cell>
          <cell r="E55">
            <v>4408</v>
          </cell>
          <cell r="F55">
            <v>346.64246823956444</v>
          </cell>
          <cell r="G55">
            <v>1002000</v>
          </cell>
          <cell r="H55">
            <v>1371</v>
          </cell>
          <cell r="I55">
            <v>730.85339168490157</v>
          </cell>
          <cell r="J55">
            <v>72000</v>
          </cell>
          <cell r="K55">
            <v>165</v>
          </cell>
          <cell r="L55">
            <v>436.36363636363637</v>
          </cell>
          <cell r="M55">
            <v>692000</v>
          </cell>
          <cell r="N55">
            <v>6390000</v>
          </cell>
          <cell r="O55">
            <v>0.1082942097026604</v>
          </cell>
          <cell r="P55">
            <v>175000</v>
          </cell>
          <cell r="Q55">
            <v>3920000</v>
          </cell>
          <cell r="R55">
            <v>4.4642857142857144E-2</v>
          </cell>
          <cell r="S55">
            <v>-200000</v>
          </cell>
          <cell r="T55">
            <v>2495000</v>
          </cell>
          <cell r="U55">
            <v>-8.0160320641282562E-2</v>
          </cell>
          <cell r="V55">
            <v>4095000</v>
          </cell>
          <cell r="W55">
            <v>18511000</v>
          </cell>
          <cell r="X55">
            <v>0.22121981524498946</v>
          </cell>
          <cell r="Y55">
            <v>2295000</v>
          </cell>
          <cell r="Z55">
            <v>18511000</v>
          </cell>
          <cell r="AA55">
            <v>0.12398033601642267</v>
          </cell>
          <cell r="AB55">
            <v>451000</v>
          </cell>
          <cell r="AC55">
            <v>18511000</v>
          </cell>
          <cell r="AD55">
            <v>2.436389174004646E-2</v>
          </cell>
          <cell r="AE55">
            <v>8809000</v>
          </cell>
          <cell r="AF55">
            <v>18511000</v>
          </cell>
          <cell r="AG55">
            <v>0.47587920695802494</v>
          </cell>
          <cell r="AH55">
            <v>2809000</v>
          </cell>
          <cell r="AI55">
            <v>18511000</v>
          </cell>
          <cell r="AJ55">
            <v>0.15174760952946897</v>
          </cell>
          <cell r="AK55">
            <v>52000</v>
          </cell>
          <cell r="AL55">
            <v>18511000</v>
          </cell>
          <cell r="AM55">
            <v>2.8091405110474855E-3</v>
          </cell>
          <cell r="AN55">
            <v>12344000</v>
          </cell>
          <cell r="AO55">
            <v>11063</v>
          </cell>
          <cell r="AP55">
            <v>1115.791376660942</v>
          </cell>
          <cell r="AQ55">
            <v>3743000</v>
          </cell>
          <cell r="AR55">
            <v>19758000</v>
          </cell>
          <cell r="AS55">
            <v>0.18944225124000405</v>
          </cell>
          <cell r="AT55">
            <v>5982000</v>
          </cell>
          <cell r="AU55">
            <v>19758000</v>
          </cell>
          <cell r="AV55">
            <v>0.30276343759489827</v>
          </cell>
          <cell r="AW55">
            <v>239000</v>
          </cell>
          <cell r="AX55">
            <v>19758000</v>
          </cell>
          <cell r="AY55">
            <v>1.2096366028950298E-2</v>
          </cell>
          <cell r="AZ55">
            <v>7597000</v>
          </cell>
          <cell r="BA55">
            <v>19758000</v>
          </cell>
          <cell r="BB55">
            <v>0.384502480008098</v>
          </cell>
          <cell r="BC55">
            <v>2197000</v>
          </cell>
          <cell r="BD55">
            <v>19758000</v>
          </cell>
          <cell r="BE55">
            <v>0.1111954651280494</v>
          </cell>
          <cell r="BF55">
            <v>18376000</v>
          </cell>
          <cell r="BG55">
            <v>11063</v>
          </cell>
          <cell r="BH55">
            <v>1661.0322697279219</v>
          </cell>
          <cell r="BI55">
            <v>7344000</v>
          </cell>
          <cell r="BJ55">
            <v>1608000</v>
          </cell>
          <cell r="BK55">
            <v>4.5671641791044779</v>
          </cell>
          <cell r="BL55">
            <v>780000</v>
          </cell>
          <cell r="BM55">
            <v>9674000</v>
          </cell>
          <cell r="BN55">
            <v>8.0628488732685549E-2</v>
          </cell>
          <cell r="BO55">
            <v>4986000</v>
          </cell>
          <cell r="BP55">
            <v>7228000</v>
          </cell>
          <cell r="BQ55">
            <v>0.68981737686773659</v>
          </cell>
          <cell r="BR55">
            <v>75.2</v>
          </cell>
          <cell r="BS55" t="str">
            <v>On Time</v>
          </cell>
          <cell r="BT55" t="str">
            <v>&lt;=16</v>
          </cell>
          <cell r="BU55" t="str">
            <v>On Time</v>
          </cell>
          <cell r="BV55">
            <v>141000</v>
          </cell>
          <cell r="BW55">
            <v>11063</v>
          </cell>
          <cell r="BX55">
            <v>12.745186658230136</v>
          </cell>
          <cell r="BY55">
            <v>17670</v>
          </cell>
          <cell r="BZ55">
            <v>11063</v>
          </cell>
          <cell r="CA55">
            <v>1.597215945042032</v>
          </cell>
          <cell r="CB55">
            <v>555000</v>
          </cell>
          <cell r="CC55">
            <v>3571</v>
          </cell>
          <cell r="CD55">
            <v>155.41865023802856</v>
          </cell>
          <cell r="CE55">
            <v>314946</v>
          </cell>
          <cell r="CF55">
            <v>3571</v>
          </cell>
          <cell r="CG55">
            <v>88.195463455614671</v>
          </cell>
          <cell r="CH55">
            <v>1100454</v>
          </cell>
          <cell r="CI55">
            <v>11063</v>
          </cell>
          <cell r="CJ55">
            <v>99.471571906354512</v>
          </cell>
          <cell r="CK55">
            <v>1830612</v>
          </cell>
          <cell r="CL55">
            <v>11063</v>
          </cell>
          <cell r="CM55">
            <v>165.47157190635451</v>
          </cell>
          <cell r="CN55">
            <v>407.89473684210498</v>
          </cell>
          <cell r="CO55">
            <v>416</v>
          </cell>
          <cell r="CP55">
            <v>801.47737765466297</v>
          </cell>
          <cell r="CQ55">
            <v>807.01754385964898</v>
          </cell>
          <cell r="CR55">
            <v>297</v>
          </cell>
          <cell r="CS55">
            <v>6693</v>
          </cell>
          <cell r="CT55">
            <v>297</v>
          </cell>
          <cell r="CU55">
            <v>22.535353535353536</v>
          </cell>
          <cell r="CV55">
            <v>16</v>
          </cell>
          <cell r="CW55">
            <v>0</v>
          </cell>
          <cell r="CX55">
            <v>534000</v>
          </cell>
          <cell r="CY55">
            <v>0</v>
          </cell>
          <cell r="CZ55">
            <v>383000</v>
          </cell>
          <cell r="DA55">
            <v>11063</v>
          </cell>
          <cell r="DB55">
            <v>34.619904185121577</v>
          </cell>
          <cell r="DC55">
            <v>301000</v>
          </cell>
          <cell r="DD55">
            <v>11063</v>
          </cell>
          <cell r="DE55">
            <v>27.207809816505467</v>
          </cell>
          <cell r="DF55">
            <v>93000</v>
          </cell>
          <cell r="DG55">
            <v>11063</v>
          </cell>
          <cell r="DH55">
            <v>8.4063997107475377</v>
          </cell>
          <cell r="DI55">
            <v>6799.9</v>
          </cell>
          <cell r="DJ55">
            <v>1.6269356902307388</v>
          </cell>
          <cell r="DK55">
            <v>5.2148322006728698E-3</v>
          </cell>
          <cell r="DL55">
            <v>3.14</v>
          </cell>
          <cell r="DM55">
            <v>2.33</v>
          </cell>
        </row>
        <row r="56">
          <cell r="B56" t="str">
            <v>Narromine Shire Council</v>
          </cell>
          <cell r="C56">
            <v>10</v>
          </cell>
          <cell r="D56">
            <v>660000</v>
          </cell>
          <cell r="E56">
            <v>2073</v>
          </cell>
          <cell r="F56">
            <v>318.37916063675834</v>
          </cell>
          <cell r="G56">
            <v>2032000</v>
          </cell>
          <cell r="H56">
            <v>878</v>
          </cell>
          <cell r="I56">
            <v>2314.3507972665147</v>
          </cell>
          <cell r="J56">
            <v>248000</v>
          </cell>
          <cell r="K56">
            <v>287</v>
          </cell>
          <cell r="L56">
            <v>864.11149825783968</v>
          </cell>
          <cell r="M56">
            <v>447000</v>
          </cell>
          <cell r="N56">
            <v>5301000</v>
          </cell>
          <cell r="O56">
            <v>8.4323712507074142E-2</v>
          </cell>
          <cell r="P56">
            <v>172000</v>
          </cell>
          <cell r="Q56">
            <v>4173000</v>
          </cell>
          <cell r="R56">
            <v>4.1217349628564583E-2</v>
          </cell>
          <cell r="S56">
            <v>-85000</v>
          </cell>
          <cell r="T56">
            <v>1041000</v>
          </cell>
          <cell r="U56">
            <v>-8.1652257444764648E-2</v>
          </cell>
          <cell r="V56">
            <v>4345000</v>
          </cell>
          <cell r="W56">
            <v>11857000</v>
          </cell>
          <cell r="X56">
            <v>0.366450198195159</v>
          </cell>
          <cell r="Y56">
            <v>956000</v>
          </cell>
          <cell r="Z56">
            <v>11857000</v>
          </cell>
          <cell r="AA56">
            <v>8.0627477439487227E-2</v>
          </cell>
          <cell r="AB56">
            <v>375000</v>
          </cell>
          <cell r="AC56">
            <v>11857000</v>
          </cell>
          <cell r="AD56">
            <v>3.1626887070928568E-2</v>
          </cell>
          <cell r="AE56">
            <v>4059000</v>
          </cell>
          <cell r="AF56">
            <v>11857000</v>
          </cell>
          <cell r="AG56">
            <v>0.34232942565573077</v>
          </cell>
          <cell r="AH56">
            <v>1556000</v>
          </cell>
          <cell r="AI56">
            <v>11857000</v>
          </cell>
          <cell r="AJ56">
            <v>0.13123049675297294</v>
          </cell>
          <cell r="AK56">
            <v>566000</v>
          </cell>
          <cell r="AL56">
            <v>11857000</v>
          </cell>
          <cell r="AM56">
            <v>4.7735514885721517E-2</v>
          </cell>
          <cell r="AN56">
            <v>8213000</v>
          </cell>
          <cell r="AO56">
            <v>7094</v>
          </cell>
          <cell r="AP56">
            <v>1157.7389343106852</v>
          </cell>
          <cell r="AQ56">
            <v>3891000</v>
          </cell>
          <cell r="AR56">
            <v>14153000</v>
          </cell>
          <cell r="AS56">
            <v>0.2749240443722179</v>
          </cell>
          <cell r="AT56">
            <v>3413000</v>
          </cell>
          <cell r="AU56">
            <v>14153000</v>
          </cell>
          <cell r="AV56">
            <v>0.24115028615841164</v>
          </cell>
          <cell r="AW56">
            <v>17000</v>
          </cell>
          <cell r="AX56">
            <v>14153000</v>
          </cell>
          <cell r="AY56">
            <v>1.201158764926164E-3</v>
          </cell>
          <cell r="AZ56">
            <v>5347000</v>
          </cell>
          <cell r="BA56">
            <v>14153000</v>
          </cell>
          <cell r="BB56">
            <v>0.37779975976824703</v>
          </cell>
          <cell r="BC56">
            <v>1485000</v>
          </cell>
          <cell r="BD56">
            <v>14153000</v>
          </cell>
          <cell r="BE56">
            <v>0.10492475093619727</v>
          </cell>
          <cell r="BF56">
            <v>12905000</v>
          </cell>
          <cell r="BG56">
            <v>7094</v>
          </cell>
          <cell r="BH56">
            <v>1819.1429376938258</v>
          </cell>
          <cell r="BI56">
            <v>2287000</v>
          </cell>
          <cell r="BJ56">
            <v>1263000</v>
          </cell>
          <cell r="BK56">
            <v>1.8107680126682502</v>
          </cell>
          <cell r="BL56">
            <v>84000</v>
          </cell>
          <cell r="BM56">
            <v>8803000</v>
          </cell>
          <cell r="BN56">
            <v>9.5422015222083375E-3</v>
          </cell>
          <cell r="BO56">
            <v>1680000</v>
          </cell>
          <cell r="BP56">
            <v>4829000</v>
          </cell>
          <cell r="BQ56">
            <v>0.34789811555187411</v>
          </cell>
          <cell r="BR56">
            <v>72</v>
          </cell>
          <cell r="BS56" t="str">
            <v>Not Received</v>
          </cell>
          <cell r="BT56" t="str">
            <v>Not Received</v>
          </cell>
          <cell r="BU56" t="str">
            <v>On Time</v>
          </cell>
          <cell r="BV56">
            <v>200000</v>
          </cell>
          <cell r="BW56">
            <v>7094</v>
          </cell>
          <cell r="BX56">
            <v>28.192839018889202</v>
          </cell>
          <cell r="BY56">
            <v>33238</v>
          </cell>
          <cell r="BZ56">
            <v>7094</v>
          </cell>
          <cell r="CA56">
            <v>4.6853679165491968</v>
          </cell>
          <cell r="CB56">
            <v>167000</v>
          </cell>
          <cell r="CC56">
            <v>1723</v>
          </cell>
          <cell r="CD56">
            <v>96.923969820081254</v>
          </cell>
          <cell r="CE56">
            <v>193061</v>
          </cell>
          <cell r="CF56">
            <v>1889</v>
          </cell>
          <cell r="CG56">
            <v>102.20275277924829</v>
          </cell>
          <cell r="CH56">
            <v>1969000</v>
          </cell>
          <cell r="CI56">
            <v>7094</v>
          </cell>
          <cell r="CJ56">
            <v>277.55850014096421</v>
          </cell>
          <cell r="CK56">
            <v>0</v>
          </cell>
          <cell r="CL56">
            <v>7094</v>
          </cell>
          <cell r="CM56">
            <v>0</v>
          </cell>
          <cell r="CN56">
            <v>394.367151121772</v>
          </cell>
          <cell r="CO56">
            <v>437.806975990426</v>
          </cell>
          <cell r="CP56">
            <v>409.94844484731698</v>
          </cell>
          <cell r="CQ56">
            <v>464</v>
          </cell>
          <cell r="CR56">
            <v>132</v>
          </cell>
          <cell r="CS56">
            <v>3040</v>
          </cell>
          <cell r="CT56">
            <v>132</v>
          </cell>
          <cell r="CU56">
            <v>23.030303030303031</v>
          </cell>
          <cell r="CV56">
            <v>26</v>
          </cell>
          <cell r="CW56">
            <v>0</v>
          </cell>
          <cell r="CX56">
            <v>195000</v>
          </cell>
          <cell r="CY56">
            <v>0</v>
          </cell>
          <cell r="CZ56">
            <v>189000</v>
          </cell>
          <cell r="DA56">
            <v>7094</v>
          </cell>
          <cell r="DB56">
            <v>26.642232872850297</v>
          </cell>
          <cell r="DC56">
            <v>765000</v>
          </cell>
          <cell r="DD56">
            <v>7094</v>
          </cell>
          <cell r="DE56">
            <v>107.83760924725119</v>
          </cell>
          <cell r="DF56">
            <v>564000</v>
          </cell>
          <cell r="DG56">
            <v>7094</v>
          </cell>
          <cell r="DH56">
            <v>79.503806033267551</v>
          </cell>
          <cell r="DI56">
            <v>5263.6</v>
          </cell>
          <cell r="DJ56">
            <v>1.3477467892697013</v>
          </cell>
          <cell r="DK56">
            <v>7.6137750516243052E-3</v>
          </cell>
          <cell r="DL56">
            <v>14.58</v>
          </cell>
          <cell r="DM56">
            <v>1.43</v>
          </cell>
        </row>
        <row r="57">
          <cell r="B57" t="str">
            <v>Moree Plains Shire Council</v>
          </cell>
          <cell r="C57">
            <v>11</v>
          </cell>
          <cell r="D57">
            <v>2482000</v>
          </cell>
          <cell r="E57">
            <v>4255</v>
          </cell>
          <cell r="F57">
            <v>583.31374853113982</v>
          </cell>
          <cell r="G57">
            <v>6626000</v>
          </cell>
          <cell r="H57">
            <v>1646</v>
          </cell>
          <cell r="I57">
            <v>4025.5164034021873</v>
          </cell>
          <cell r="J57">
            <v>933000</v>
          </cell>
          <cell r="K57">
            <v>597</v>
          </cell>
          <cell r="L57">
            <v>1562.8140703517588</v>
          </cell>
          <cell r="M57">
            <v>4303000</v>
          </cell>
          <cell r="N57">
            <v>19782000</v>
          </cell>
          <cell r="O57">
            <v>0.2175209786674755</v>
          </cell>
          <cell r="P57">
            <v>553000</v>
          </cell>
          <cell r="Q57">
            <v>13996000</v>
          </cell>
          <cell r="R57">
            <v>3.9511288939697055E-2</v>
          </cell>
          <cell r="S57">
            <v>-415000</v>
          </cell>
          <cell r="T57">
            <v>5648000</v>
          </cell>
          <cell r="U57">
            <v>-7.3477337110481586E-2</v>
          </cell>
          <cell r="V57">
            <v>14549000</v>
          </cell>
          <cell r="W57">
            <v>29610000</v>
          </cell>
          <cell r="X57">
            <v>0.49135427220533606</v>
          </cell>
          <cell r="Y57">
            <v>5233000</v>
          </cell>
          <cell r="Z57">
            <v>29610000</v>
          </cell>
          <cell r="AA57">
            <v>0.17673083417764268</v>
          </cell>
          <cell r="AB57">
            <v>501000</v>
          </cell>
          <cell r="AC57">
            <v>29610000</v>
          </cell>
          <cell r="AD57">
            <v>1.6919959473150961E-2</v>
          </cell>
          <cell r="AE57">
            <v>7434000</v>
          </cell>
          <cell r="AF57">
            <v>29610000</v>
          </cell>
          <cell r="AG57">
            <v>0.25106382978723402</v>
          </cell>
          <cell r="AH57">
            <v>1601000</v>
          </cell>
          <cell r="AI57">
            <v>29610000</v>
          </cell>
          <cell r="AJ57">
            <v>5.4069571090847687E-2</v>
          </cell>
          <cell r="AK57">
            <v>292000</v>
          </cell>
          <cell r="AL57">
            <v>29610000</v>
          </cell>
          <cell r="AM57">
            <v>9.8615332657885843E-3</v>
          </cell>
          <cell r="AN57">
            <v>26142000</v>
          </cell>
          <cell r="AO57">
            <v>16227</v>
          </cell>
          <cell r="AP57">
            <v>1611.0186725827325</v>
          </cell>
          <cell r="AQ57">
            <v>9656000</v>
          </cell>
          <cell r="AR57">
            <v>30184000</v>
          </cell>
          <cell r="AS57">
            <v>0.31990458521070764</v>
          </cell>
          <cell r="AT57">
            <v>11391000</v>
          </cell>
          <cell r="AU57">
            <v>30184000</v>
          </cell>
          <cell r="AV57">
            <v>0.37738536973230852</v>
          </cell>
          <cell r="AW57">
            <v>638000</v>
          </cell>
          <cell r="AX57">
            <v>30184000</v>
          </cell>
          <cell r="AY57">
            <v>2.1137026239067054E-2</v>
          </cell>
          <cell r="AZ57">
            <v>6100000</v>
          </cell>
          <cell r="BA57">
            <v>30184000</v>
          </cell>
          <cell r="BB57">
            <v>0.20209382454280414</v>
          </cell>
          <cell r="BC57">
            <v>2399000</v>
          </cell>
          <cell r="BD57">
            <v>30184000</v>
          </cell>
          <cell r="BE57">
            <v>7.9479194275112644E-2</v>
          </cell>
          <cell r="BF57">
            <v>25292000</v>
          </cell>
          <cell r="BG57">
            <v>16227</v>
          </cell>
          <cell r="BH57">
            <v>1558.6368398348432</v>
          </cell>
          <cell r="BI57">
            <v>5059000</v>
          </cell>
          <cell r="BJ57">
            <v>2704000</v>
          </cell>
          <cell r="BK57">
            <v>1.8709319526627219</v>
          </cell>
          <cell r="BL57">
            <v>1582000</v>
          </cell>
          <cell r="BM57">
            <v>24551000</v>
          </cell>
          <cell r="BN57">
            <v>6.4437293796586692E-2</v>
          </cell>
          <cell r="BO57">
            <v>5028000</v>
          </cell>
          <cell r="BP57">
            <v>5359000</v>
          </cell>
          <cell r="BQ57">
            <v>0.93823474528830009</v>
          </cell>
          <cell r="BR57">
            <v>221</v>
          </cell>
          <cell r="BS57" t="str">
            <v>&lt;=4</v>
          </cell>
          <cell r="BT57" t="str">
            <v>&lt;=2</v>
          </cell>
          <cell r="BU57" t="str">
            <v>On Time</v>
          </cell>
          <cell r="BV57">
            <v>504000</v>
          </cell>
          <cell r="BW57">
            <v>16227</v>
          </cell>
          <cell r="BX57">
            <v>31.05934553521908</v>
          </cell>
          <cell r="BY57">
            <v>65229</v>
          </cell>
          <cell r="BZ57">
            <v>16227</v>
          </cell>
          <cell r="CA57">
            <v>4.0197818450730267</v>
          </cell>
          <cell r="CB57">
            <v>863000</v>
          </cell>
          <cell r="CC57">
            <v>4198</v>
          </cell>
          <cell r="CD57">
            <v>205.57408289661743</v>
          </cell>
          <cell r="CE57">
            <v>667000</v>
          </cell>
          <cell r="CF57">
            <v>4198</v>
          </cell>
          <cell r="CG57">
            <v>158.88518342067653</v>
          </cell>
          <cell r="CH57">
            <v>1876685</v>
          </cell>
          <cell r="CI57">
            <v>16227</v>
          </cell>
          <cell r="CJ57">
            <v>115.65199975349726</v>
          </cell>
          <cell r="CK57">
            <v>5711510</v>
          </cell>
          <cell r="CL57">
            <v>16227</v>
          </cell>
          <cell r="CM57">
            <v>351.97571947987922</v>
          </cell>
          <cell r="CN57">
            <v>600.34135111534499</v>
          </cell>
          <cell r="CO57">
            <v>515.99521408063401</v>
          </cell>
          <cell r="CP57">
            <v>487.55209718896901</v>
          </cell>
          <cell r="CQ57">
            <v>492.45536219802801</v>
          </cell>
          <cell r="CR57">
            <v>226</v>
          </cell>
          <cell r="CS57">
            <v>5355</v>
          </cell>
          <cell r="CT57">
            <v>226</v>
          </cell>
          <cell r="CU57">
            <v>23.694690265486727</v>
          </cell>
          <cell r="CV57">
            <v>24</v>
          </cell>
          <cell r="CW57">
            <v>6000</v>
          </cell>
          <cell r="CX57">
            <v>649000</v>
          </cell>
          <cell r="CY57">
            <v>9.2449922958397542E-3</v>
          </cell>
          <cell r="CZ57">
            <v>419000</v>
          </cell>
          <cell r="DA57">
            <v>16227</v>
          </cell>
          <cell r="DB57">
            <v>25.821162260430146</v>
          </cell>
          <cell r="DC57">
            <v>1910000</v>
          </cell>
          <cell r="DD57">
            <v>16227</v>
          </cell>
          <cell r="DE57">
            <v>117.70505946878659</v>
          </cell>
          <cell r="DF57">
            <v>981000</v>
          </cell>
          <cell r="DG57">
            <v>16227</v>
          </cell>
          <cell r="DH57">
            <v>60.454797559622854</v>
          </cell>
          <cell r="DI57">
            <v>17927.7</v>
          </cell>
          <cell r="DJ57">
            <v>0.90513562810622661</v>
          </cell>
          <cell r="DK57">
            <v>9.105303703673906E-3</v>
          </cell>
          <cell r="DL57">
            <v>18.28</v>
          </cell>
          <cell r="DM57">
            <v>1.93</v>
          </cell>
        </row>
        <row r="58">
          <cell r="B58" t="str">
            <v>Nundle Shire Council</v>
          </cell>
          <cell r="C58">
            <v>8</v>
          </cell>
          <cell r="D58">
            <v>136000</v>
          </cell>
          <cell r="E58">
            <v>537</v>
          </cell>
          <cell r="F58">
            <v>253.2588454376164</v>
          </cell>
          <cell r="G58">
            <v>392000</v>
          </cell>
          <cell r="H58">
            <v>264</v>
          </cell>
          <cell r="I58">
            <v>1484.8484848484848</v>
          </cell>
          <cell r="J58">
            <v>15000</v>
          </cell>
          <cell r="K58">
            <v>58</v>
          </cell>
          <cell r="L58">
            <v>258.62068965517244</v>
          </cell>
          <cell r="M58">
            <v>183000</v>
          </cell>
          <cell r="N58">
            <v>852000</v>
          </cell>
          <cell r="O58">
            <v>0.21478873239436619</v>
          </cell>
          <cell r="P58">
            <v>26000</v>
          </cell>
          <cell r="Q58">
            <v>619000</v>
          </cell>
          <cell r="R58">
            <v>4.2003231017770599E-2</v>
          </cell>
          <cell r="S58">
            <v>-73000</v>
          </cell>
          <cell r="T58">
            <v>280000</v>
          </cell>
          <cell r="U58">
            <v>-0.26071428571428573</v>
          </cell>
          <cell r="V58">
            <v>645000</v>
          </cell>
          <cell r="W58">
            <v>3056000</v>
          </cell>
          <cell r="X58">
            <v>0.21106020942408377</v>
          </cell>
          <cell r="Y58">
            <v>207000</v>
          </cell>
          <cell r="Z58">
            <v>3056000</v>
          </cell>
          <cell r="AA58">
            <v>6.7735602094240843E-2</v>
          </cell>
          <cell r="AB58">
            <v>12000</v>
          </cell>
          <cell r="AC58">
            <v>3056000</v>
          </cell>
          <cell r="AD58">
            <v>3.9267015706806281E-3</v>
          </cell>
          <cell r="AE58">
            <v>1565000</v>
          </cell>
          <cell r="AF58">
            <v>3056000</v>
          </cell>
          <cell r="AG58">
            <v>0.51210732984293195</v>
          </cell>
          <cell r="AH58">
            <v>610000</v>
          </cell>
          <cell r="AI58">
            <v>3056000</v>
          </cell>
          <cell r="AJ58">
            <v>0.19960732984293195</v>
          </cell>
          <cell r="AK58">
            <v>17000</v>
          </cell>
          <cell r="AL58">
            <v>3056000</v>
          </cell>
          <cell r="AM58">
            <v>5.5628272251308898E-3</v>
          </cell>
          <cell r="AN58">
            <v>2137000</v>
          </cell>
          <cell r="AO58">
            <v>1330</v>
          </cell>
          <cell r="AP58">
            <v>1606.7669172932331</v>
          </cell>
          <cell r="AQ58">
            <v>886000</v>
          </cell>
          <cell r="AR58">
            <v>3089000</v>
          </cell>
          <cell r="AS58">
            <v>0.28682421495629656</v>
          </cell>
          <cell r="AT58">
            <v>733000</v>
          </cell>
          <cell r="AU58">
            <v>3089000</v>
          </cell>
          <cell r="AV58">
            <v>0.23729362253156361</v>
          </cell>
          <cell r="AW58">
            <v>30000</v>
          </cell>
          <cell r="AX58">
            <v>3089000</v>
          </cell>
          <cell r="AY58">
            <v>9.7118808675946914E-3</v>
          </cell>
          <cell r="AZ58">
            <v>972000</v>
          </cell>
          <cell r="BA58">
            <v>3089000</v>
          </cell>
          <cell r="BB58">
            <v>0.31466494011006796</v>
          </cell>
          <cell r="BC58">
            <v>468000</v>
          </cell>
          <cell r="BD58">
            <v>3089000</v>
          </cell>
          <cell r="BE58">
            <v>0.15150534153447717</v>
          </cell>
          <cell r="BF58">
            <v>2928000</v>
          </cell>
          <cell r="BG58">
            <v>1330</v>
          </cell>
          <cell r="BH58">
            <v>2201.5037593984962</v>
          </cell>
          <cell r="BI58">
            <v>369000</v>
          </cell>
          <cell r="BJ58">
            <v>484000</v>
          </cell>
          <cell r="BK58">
            <v>0.76239669421487599</v>
          </cell>
          <cell r="BL58">
            <v>76000</v>
          </cell>
          <cell r="BM58">
            <v>1398000</v>
          </cell>
          <cell r="BN58">
            <v>5.4363376251788269E-2</v>
          </cell>
          <cell r="BO58">
            <v>1242000</v>
          </cell>
          <cell r="BP58">
            <v>915000</v>
          </cell>
          <cell r="BQ58">
            <v>1.3573770491803279</v>
          </cell>
          <cell r="BR58">
            <v>24</v>
          </cell>
          <cell r="BS58" t="str">
            <v>On Time</v>
          </cell>
          <cell r="BT58" t="str">
            <v>On Time</v>
          </cell>
          <cell r="BU58" t="str">
            <v>&lt;=4</v>
          </cell>
          <cell r="BV58">
            <v>43000</v>
          </cell>
          <cell r="BW58">
            <v>1330</v>
          </cell>
          <cell r="BX58">
            <v>32.330827067669176</v>
          </cell>
          <cell r="BY58">
            <v>9284</v>
          </cell>
          <cell r="BZ58">
            <v>1330</v>
          </cell>
          <cell r="CA58">
            <v>6.9804511278195491</v>
          </cell>
          <cell r="CB58">
            <v>1000</v>
          </cell>
          <cell r="CC58">
            <v>0</v>
          </cell>
          <cell r="CD58" t="str">
            <v>N/A</v>
          </cell>
          <cell r="CE58">
            <v>0</v>
          </cell>
          <cell r="CF58">
            <v>0</v>
          </cell>
          <cell r="CG58" t="str">
            <v>N/A</v>
          </cell>
          <cell r="CH58">
            <v>84480</v>
          </cell>
          <cell r="CI58">
            <v>1330</v>
          </cell>
          <cell r="CJ58" t="str">
            <v>N/A</v>
          </cell>
          <cell r="CK58">
            <v>164640</v>
          </cell>
          <cell r="CL58">
            <v>1330</v>
          </cell>
          <cell r="CM58" t="str">
            <v>N/A</v>
          </cell>
          <cell r="CN58" t="str">
            <v>N/A</v>
          </cell>
          <cell r="CO58" t="str">
            <v>N/A</v>
          </cell>
          <cell r="CP58">
            <v>526.85284640171903</v>
          </cell>
          <cell r="CQ58">
            <v>388</v>
          </cell>
          <cell r="CR58">
            <v>8</v>
          </cell>
          <cell r="CS58">
            <v>190</v>
          </cell>
          <cell r="CT58">
            <v>8</v>
          </cell>
          <cell r="CU58">
            <v>23.75</v>
          </cell>
          <cell r="CV58">
            <v>29</v>
          </cell>
          <cell r="CW58">
            <v>0</v>
          </cell>
          <cell r="CX58">
            <v>25000</v>
          </cell>
          <cell r="CY58">
            <v>0</v>
          </cell>
          <cell r="CZ58">
            <v>31000</v>
          </cell>
          <cell r="DA58">
            <v>1330</v>
          </cell>
          <cell r="DB58">
            <v>23.30827067669173</v>
          </cell>
          <cell r="DC58">
            <v>70000</v>
          </cell>
          <cell r="DD58">
            <v>1330</v>
          </cell>
          <cell r="DE58">
            <v>52.631578947368418</v>
          </cell>
          <cell r="DF58">
            <v>50000</v>
          </cell>
          <cell r="DG58">
            <v>1330</v>
          </cell>
          <cell r="DH58">
            <v>37.593984962406012</v>
          </cell>
          <cell r="DI58">
            <v>1601.1</v>
          </cell>
          <cell r="DJ58">
            <v>0.83067890825057777</v>
          </cell>
          <cell r="DK58">
            <v>-7.784762642401355E-3</v>
          </cell>
          <cell r="DL58">
            <v>4.0599999999999996</v>
          </cell>
          <cell r="DM58">
            <v>2.71</v>
          </cell>
        </row>
        <row r="59">
          <cell r="B59" t="str">
            <v>Severn Shire Council</v>
          </cell>
          <cell r="C59">
            <v>9</v>
          </cell>
          <cell r="D59">
            <v>163000</v>
          </cell>
          <cell r="E59">
            <v>791</v>
          </cell>
          <cell r="F59">
            <v>206.06826801517067</v>
          </cell>
          <cell r="G59">
            <v>1322000</v>
          </cell>
          <cell r="H59">
            <v>1073</v>
          </cell>
          <cell r="I59">
            <v>1232.0596458527493</v>
          </cell>
          <cell r="J59">
            <v>8000</v>
          </cell>
          <cell r="K59">
            <v>75</v>
          </cell>
          <cell r="L59">
            <v>106.66666666666667</v>
          </cell>
          <cell r="M59">
            <v>139000</v>
          </cell>
          <cell r="N59">
            <v>2550000</v>
          </cell>
          <cell r="O59">
            <v>5.4509803921568629E-2</v>
          </cell>
          <cell r="P59">
            <v>65000</v>
          </cell>
          <cell r="Q59">
            <v>1604000</v>
          </cell>
          <cell r="R59">
            <v>4.0523690773067333E-2</v>
          </cell>
          <cell r="S59">
            <v>-89000</v>
          </cell>
          <cell r="T59">
            <v>970000</v>
          </cell>
          <cell r="U59">
            <v>-9.1752577319587622E-2</v>
          </cell>
          <cell r="V59">
            <v>1669000</v>
          </cell>
          <cell r="W59">
            <v>7397000</v>
          </cell>
          <cell r="X59">
            <v>0.22563201297823443</v>
          </cell>
          <cell r="Y59">
            <v>881000</v>
          </cell>
          <cell r="Z59">
            <v>7397000</v>
          </cell>
          <cell r="AA59">
            <v>0.11910233878599433</v>
          </cell>
          <cell r="AB59">
            <v>106000</v>
          </cell>
          <cell r="AC59">
            <v>7397000</v>
          </cell>
          <cell r="AD59">
            <v>1.433013383804245E-2</v>
          </cell>
          <cell r="AE59">
            <v>1927000</v>
          </cell>
          <cell r="AF59">
            <v>7397000</v>
          </cell>
          <cell r="AG59">
            <v>0.26051101798026227</v>
          </cell>
          <cell r="AH59">
            <v>2766000</v>
          </cell>
          <cell r="AI59">
            <v>7397000</v>
          </cell>
          <cell r="AJ59">
            <v>0.37393537920778697</v>
          </cell>
          <cell r="AK59">
            <v>48000</v>
          </cell>
          <cell r="AL59">
            <v>7397000</v>
          </cell>
          <cell r="AM59">
            <v>6.4891172096796E-3</v>
          </cell>
          <cell r="AN59">
            <v>6950000</v>
          </cell>
          <cell r="AO59">
            <v>2865</v>
          </cell>
          <cell r="AP59">
            <v>2425.8289703315882</v>
          </cell>
          <cell r="AQ59">
            <v>2092000</v>
          </cell>
          <cell r="AR59">
            <v>8461000</v>
          </cell>
          <cell r="AS59">
            <v>0.24725209786077296</v>
          </cell>
          <cell r="AT59">
            <v>3369000</v>
          </cell>
          <cell r="AU59">
            <v>8461000</v>
          </cell>
          <cell r="AV59">
            <v>0.39817988417444744</v>
          </cell>
          <cell r="AW59">
            <v>69000</v>
          </cell>
          <cell r="AX59">
            <v>8461000</v>
          </cell>
          <cell r="AY59">
            <v>8.1550644131899303E-3</v>
          </cell>
          <cell r="AZ59">
            <v>2177000</v>
          </cell>
          <cell r="BA59">
            <v>8461000</v>
          </cell>
          <cell r="BB59">
            <v>0.25729819170310836</v>
          </cell>
          <cell r="BC59">
            <v>754000</v>
          </cell>
          <cell r="BD59">
            <v>8461000</v>
          </cell>
          <cell r="BE59">
            <v>8.9114761848481272E-2</v>
          </cell>
          <cell r="BF59">
            <v>8337000</v>
          </cell>
          <cell r="BG59">
            <v>2865</v>
          </cell>
          <cell r="BH59">
            <v>2909.9476439790574</v>
          </cell>
          <cell r="BI59">
            <v>2543000</v>
          </cell>
          <cell r="BJ59">
            <v>963000</v>
          </cell>
          <cell r="BK59">
            <v>2.640706126687435</v>
          </cell>
          <cell r="BL59">
            <v>245000</v>
          </cell>
          <cell r="BM59">
            <v>4125000</v>
          </cell>
          <cell r="BN59">
            <v>5.9393939393939395E-2</v>
          </cell>
          <cell r="BO59">
            <v>471000</v>
          </cell>
          <cell r="BP59">
            <v>2134000</v>
          </cell>
          <cell r="BQ59">
            <v>0.22071227741330834</v>
          </cell>
          <cell r="BR59">
            <v>48</v>
          </cell>
          <cell r="BS59" t="str">
            <v>On Time</v>
          </cell>
          <cell r="BT59" t="str">
            <v>On Time</v>
          </cell>
          <cell r="BU59" t="str">
            <v>On Time</v>
          </cell>
          <cell r="BV59">
            <v>83000</v>
          </cell>
          <cell r="BW59">
            <v>2865</v>
          </cell>
          <cell r="BX59">
            <v>28.970331588132634</v>
          </cell>
          <cell r="BY59">
            <v>26291</v>
          </cell>
          <cell r="BZ59">
            <v>2865</v>
          </cell>
          <cell r="CA59">
            <v>9.176614310645725</v>
          </cell>
          <cell r="CB59">
            <v>59000</v>
          </cell>
          <cell r="CC59">
            <v>310</v>
          </cell>
          <cell r="CD59">
            <v>190.32258064516128</v>
          </cell>
          <cell r="CE59">
            <v>56000</v>
          </cell>
          <cell r="CF59">
            <v>310</v>
          </cell>
          <cell r="CG59">
            <v>180.64516129032259</v>
          </cell>
          <cell r="CH59">
            <v>0</v>
          </cell>
          <cell r="CI59">
            <v>2865</v>
          </cell>
          <cell r="CJ59" t="str">
            <v>N/A</v>
          </cell>
          <cell r="CK59">
            <v>0</v>
          </cell>
          <cell r="CL59">
            <v>2865</v>
          </cell>
          <cell r="CM59">
            <v>0</v>
          </cell>
          <cell r="CN59">
            <v>247.85801713586301</v>
          </cell>
          <cell r="CO59">
            <v>340</v>
          </cell>
          <cell r="CP59">
            <v>348.80099657427598</v>
          </cell>
          <cell r="CQ59">
            <v>423</v>
          </cell>
          <cell r="CR59">
            <v>43</v>
          </cell>
          <cell r="CS59">
            <v>1037</v>
          </cell>
          <cell r="CT59">
            <v>43</v>
          </cell>
          <cell r="CU59">
            <v>24.11627906976744</v>
          </cell>
          <cell r="CV59">
            <v>17</v>
          </cell>
          <cell r="CW59">
            <v>5000</v>
          </cell>
          <cell r="CX59">
            <v>81000</v>
          </cell>
          <cell r="CY59">
            <v>6.1728395061728392E-2</v>
          </cell>
          <cell r="CZ59">
            <v>193000</v>
          </cell>
          <cell r="DA59">
            <v>2865</v>
          </cell>
          <cell r="DB59">
            <v>67.364746945898773</v>
          </cell>
          <cell r="DC59">
            <v>77000</v>
          </cell>
          <cell r="DD59">
            <v>2865</v>
          </cell>
          <cell r="DE59">
            <v>26.876090750436301</v>
          </cell>
          <cell r="DF59">
            <v>48000</v>
          </cell>
          <cell r="DG59">
            <v>2865</v>
          </cell>
          <cell r="DH59">
            <v>16.753926701570681</v>
          </cell>
          <cell r="DI59">
            <v>5575.3</v>
          </cell>
          <cell r="DJ59">
            <v>0.5138736928954496</v>
          </cell>
          <cell r="DK59">
            <v>-1.06788450507177E-2</v>
          </cell>
          <cell r="DL59">
            <v>3.66</v>
          </cell>
          <cell r="DM59">
            <v>2.56</v>
          </cell>
        </row>
        <row r="60">
          <cell r="B60" t="str">
            <v>Maclean Shire Council</v>
          </cell>
          <cell r="C60">
            <v>11</v>
          </cell>
          <cell r="D60">
            <v>4458000</v>
          </cell>
          <cell r="E60">
            <v>7917</v>
          </cell>
          <cell r="F60">
            <v>563.09208033345965</v>
          </cell>
          <cell r="G60">
            <v>925000</v>
          </cell>
          <cell r="H60">
            <v>690</v>
          </cell>
          <cell r="I60">
            <v>1340.5797101449275</v>
          </cell>
          <cell r="J60">
            <v>519000</v>
          </cell>
          <cell r="K60">
            <v>533</v>
          </cell>
          <cell r="L60">
            <v>973.733583489681</v>
          </cell>
          <cell r="M60">
            <v>752000</v>
          </cell>
          <cell r="N60">
            <v>12051000</v>
          </cell>
          <cell r="O60">
            <v>6.2401460459712885E-2</v>
          </cell>
          <cell r="P60">
            <v>414000</v>
          </cell>
          <cell r="Q60">
            <v>8812000</v>
          </cell>
          <cell r="R60">
            <v>4.6981389014979572E-2</v>
          </cell>
          <cell r="S60">
            <v>231000</v>
          </cell>
          <cell r="T60">
            <v>2594000</v>
          </cell>
          <cell r="U60">
            <v>8.9051657671549725E-2</v>
          </cell>
          <cell r="V60">
            <v>9226000</v>
          </cell>
          <cell r="W60">
            <v>25462000</v>
          </cell>
          <cell r="X60">
            <v>0.36234388500510567</v>
          </cell>
          <cell r="Y60">
            <v>2825000</v>
          </cell>
          <cell r="Z60">
            <v>25462000</v>
          </cell>
          <cell r="AA60">
            <v>0.11094965045950829</v>
          </cell>
          <cell r="AB60">
            <v>974000</v>
          </cell>
          <cell r="AC60">
            <v>25462000</v>
          </cell>
          <cell r="AD60">
            <v>3.8253083025685336E-2</v>
          </cell>
          <cell r="AE60">
            <v>7574000</v>
          </cell>
          <cell r="AF60">
            <v>25462000</v>
          </cell>
          <cell r="AG60">
            <v>0.29746288586913833</v>
          </cell>
          <cell r="AH60">
            <v>4390000</v>
          </cell>
          <cell r="AI60">
            <v>25462000</v>
          </cell>
          <cell r="AJ60">
            <v>0.17241379310344829</v>
          </cell>
          <cell r="AK60">
            <v>473000</v>
          </cell>
          <cell r="AL60">
            <v>25462000</v>
          </cell>
          <cell r="AM60">
            <v>1.8576702537114131E-2</v>
          </cell>
          <cell r="AN60">
            <v>18192000</v>
          </cell>
          <cell r="AO60">
            <v>17349</v>
          </cell>
          <cell r="AP60">
            <v>1048.5906968701365</v>
          </cell>
          <cell r="AQ60">
            <v>7445000</v>
          </cell>
          <cell r="AR60">
            <v>22039000</v>
          </cell>
          <cell r="AS60">
            <v>0.33781024547393257</v>
          </cell>
          <cell r="AT60">
            <v>5809000</v>
          </cell>
          <cell r="AU60">
            <v>22039000</v>
          </cell>
          <cell r="AV60">
            <v>0.26357820227778028</v>
          </cell>
          <cell r="AW60">
            <v>605000</v>
          </cell>
          <cell r="AX60">
            <v>22039000</v>
          </cell>
          <cell r="AY60">
            <v>2.7451336267525751E-2</v>
          </cell>
          <cell r="AZ60">
            <v>4953000</v>
          </cell>
          <cell r="BA60">
            <v>22039000</v>
          </cell>
          <cell r="BB60">
            <v>0.22473796451744635</v>
          </cell>
          <cell r="BC60">
            <v>3227000</v>
          </cell>
          <cell r="BD60">
            <v>22039000</v>
          </cell>
          <cell r="BE60">
            <v>0.14642225146331503</v>
          </cell>
          <cell r="BF60">
            <v>20244000</v>
          </cell>
          <cell r="BG60">
            <v>17349</v>
          </cell>
          <cell r="BH60">
            <v>1166.868407401003</v>
          </cell>
          <cell r="BI60">
            <v>5803000</v>
          </cell>
          <cell r="BJ60">
            <v>2916000</v>
          </cell>
          <cell r="BK60">
            <v>1.9900548696844993</v>
          </cell>
          <cell r="BL60">
            <v>1450000</v>
          </cell>
          <cell r="BM60">
            <v>15893000</v>
          </cell>
          <cell r="BN60">
            <v>9.1235134965078971E-2</v>
          </cell>
          <cell r="BO60">
            <v>3781000</v>
          </cell>
          <cell r="BP60">
            <v>4483000</v>
          </cell>
          <cell r="BQ60">
            <v>0.84340843185366943</v>
          </cell>
          <cell r="BR60">
            <v>130.6</v>
          </cell>
          <cell r="BS60" t="str">
            <v>On Time</v>
          </cell>
          <cell r="BT60" t="str">
            <v>On Time</v>
          </cell>
          <cell r="BU60" t="str">
            <v>On Time</v>
          </cell>
          <cell r="BV60">
            <v>326000</v>
          </cell>
          <cell r="BW60">
            <v>17349</v>
          </cell>
          <cell r="BX60">
            <v>18.79070839817857</v>
          </cell>
          <cell r="BY60">
            <v>131249</v>
          </cell>
          <cell r="BZ60">
            <v>17349</v>
          </cell>
          <cell r="CA60">
            <v>7.5652198974004268</v>
          </cell>
          <cell r="CB60">
            <v>1124000</v>
          </cell>
          <cell r="CC60">
            <v>7392</v>
          </cell>
          <cell r="CD60">
            <v>152.05627705627705</v>
          </cell>
          <cell r="CE60">
            <v>1314069</v>
          </cell>
          <cell r="CF60">
            <v>7392</v>
          </cell>
          <cell r="CG60">
            <v>177.76907467532467</v>
          </cell>
          <cell r="CH60">
            <v>0</v>
          </cell>
          <cell r="CI60">
            <v>17349</v>
          </cell>
          <cell r="CJ60">
            <v>0</v>
          </cell>
          <cell r="CK60">
            <v>0</v>
          </cell>
          <cell r="CL60">
            <v>17349</v>
          </cell>
          <cell r="CM60">
            <v>0</v>
          </cell>
          <cell r="CN60" t="str">
            <v>N/A</v>
          </cell>
          <cell r="CO60" t="str">
            <v>N/A</v>
          </cell>
          <cell r="CP60">
            <v>402.63380344351998</v>
          </cell>
          <cell r="CQ60">
            <v>336</v>
          </cell>
          <cell r="CR60">
            <v>689</v>
          </cell>
          <cell r="CS60">
            <v>16638</v>
          </cell>
          <cell r="CT60">
            <v>689</v>
          </cell>
          <cell r="CU60">
            <v>24.148040638606677</v>
          </cell>
          <cell r="CV60">
            <v>15</v>
          </cell>
          <cell r="CW60">
            <v>45000</v>
          </cell>
          <cell r="CX60">
            <v>930000</v>
          </cell>
          <cell r="CY60">
            <v>4.8387096774193547E-2</v>
          </cell>
          <cell r="CZ60">
            <v>807000</v>
          </cell>
          <cell r="DA60">
            <v>17349</v>
          </cell>
          <cell r="DB60">
            <v>46.515649316963511</v>
          </cell>
          <cell r="DC60">
            <v>750000</v>
          </cell>
          <cell r="DD60">
            <v>17349</v>
          </cell>
          <cell r="DE60">
            <v>43.230157357772782</v>
          </cell>
          <cell r="DF60">
            <v>2966000</v>
          </cell>
          <cell r="DG60">
            <v>17349</v>
          </cell>
          <cell r="DH60">
            <v>170.96086229753877</v>
          </cell>
          <cell r="DI60">
            <v>1049.0999999999999</v>
          </cell>
          <cell r="DJ60">
            <v>16.537031741492708</v>
          </cell>
          <cell r="DK60">
            <v>1.9384757847748402E-2</v>
          </cell>
          <cell r="DL60">
            <v>3.85</v>
          </cell>
          <cell r="DM60">
            <v>2.4900000000000002</v>
          </cell>
        </row>
        <row r="61">
          <cell r="B61" t="str">
            <v>Rylstone Shire Council</v>
          </cell>
          <cell r="C61">
            <v>9</v>
          </cell>
          <cell r="D61">
            <v>336000</v>
          </cell>
          <cell r="E61">
            <v>1359</v>
          </cell>
          <cell r="F61">
            <v>247.24061810154527</v>
          </cell>
          <cell r="G61">
            <v>1047000</v>
          </cell>
          <cell r="H61">
            <v>962</v>
          </cell>
          <cell r="I61">
            <v>1088.3575883575884</v>
          </cell>
          <cell r="J61">
            <v>46000</v>
          </cell>
          <cell r="K61">
            <v>111</v>
          </cell>
          <cell r="L61">
            <v>414.41441441441441</v>
          </cell>
          <cell r="M61">
            <v>362000</v>
          </cell>
          <cell r="N61">
            <v>3574000</v>
          </cell>
          <cell r="O61">
            <v>0.1012870733072188</v>
          </cell>
          <cell r="P61">
            <v>86000</v>
          </cell>
          <cell r="Q61">
            <v>2446000</v>
          </cell>
          <cell r="R61">
            <v>3.5159443990188062E-2</v>
          </cell>
          <cell r="S61">
            <v>-419000</v>
          </cell>
          <cell r="T61">
            <v>1461000</v>
          </cell>
          <cell r="U61">
            <v>-0.28678986995208761</v>
          </cell>
          <cell r="V61">
            <v>2532000</v>
          </cell>
          <cell r="W61">
            <v>6764000</v>
          </cell>
          <cell r="X61">
            <v>0.37433471318746303</v>
          </cell>
          <cell r="Y61">
            <v>1042000</v>
          </cell>
          <cell r="Z61">
            <v>6764000</v>
          </cell>
          <cell r="AA61">
            <v>0.1540508574807806</v>
          </cell>
          <cell r="AB61">
            <v>131000</v>
          </cell>
          <cell r="AC61">
            <v>6764000</v>
          </cell>
          <cell r="AD61">
            <v>1.9367238320520404E-2</v>
          </cell>
          <cell r="AE61">
            <v>2243000</v>
          </cell>
          <cell r="AF61">
            <v>6764000</v>
          </cell>
          <cell r="AG61">
            <v>0.33160851567120048</v>
          </cell>
          <cell r="AH61">
            <v>809000</v>
          </cell>
          <cell r="AI61">
            <v>6764000</v>
          </cell>
          <cell r="AJ61">
            <v>0.11960378474275576</v>
          </cell>
          <cell r="AK61">
            <v>7000</v>
          </cell>
          <cell r="AL61">
            <v>6764000</v>
          </cell>
          <cell r="AM61">
            <v>1.0348905972797163E-3</v>
          </cell>
          <cell r="AN61">
            <v>5313000</v>
          </cell>
          <cell r="AO61">
            <v>3878</v>
          </cell>
          <cell r="AP61">
            <v>1370.0361010830325</v>
          </cell>
          <cell r="AQ61">
            <v>3276000</v>
          </cell>
          <cell r="AR61">
            <v>8202000</v>
          </cell>
          <cell r="AS61">
            <v>0.39941477688368693</v>
          </cell>
          <cell r="AT61">
            <v>1276000</v>
          </cell>
          <cell r="AU61">
            <v>8202000</v>
          </cell>
          <cell r="AV61">
            <v>0.15557181175323093</v>
          </cell>
          <cell r="AW61">
            <v>0</v>
          </cell>
          <cell r="AX61">
            <v>8202000</v>
          </cell>
          <cell r="AY61">
            <v>0</v>
          </cell>
          <cell r="AZ61">
            <v>2035000</v>
          </cell>
          <cell r="BA61">
            <v>8202000</v>
          </cell>
          <cell r="BB61">
            <v>0.24811021702023897</v>
          </cell>
          <cell r="BC61">
            <v>1615000</v>
          </cell>
          <cell r="BD61">
            <v>8202000</v>
          </cell>
          <cell r="BE61">
            <v>0.1969031943428432</v>
          </cell>
          <cell r="BF61">
            <v>6892000</v>
          </cell>
          <cell r="BG61">
            <v>3878</v>
          </cell>
          <cell r="BH61">
            <v>1777.20474471377</v>
          </cell>
          <cell r="BI61">
            <v>833000</v>
          </cell>
          <cell r="BJ61">
            <v>776000</v>
          </cell>
          <cell r="BK61">
            <v>1.0734536082474226</v>
          </cell>
          <cell r="BL61">
            <v>0</v>
          </cell>
          <cell r="BM61">
            <v>5148000</v>
          </cell>
          <cell r="BN61">
            <v>0</v>
          </cell>
          <cell r="BO61">
            <v>617000</v>
          </cell>
          <cell r="BP61">
            <v>1738000</v>
          </cell>
          <cell r="BQ61">
            <v>0.35500575373993093</v>
          </cell>
          <cell r="BR61">
            <v>59</v>
          </cell>
          <cell r="BS61" t="str">
            <v>On Time</v>
          </cell>
          <cell r="BT61" t="str">
            <v>On Time</v>
          </cell>
          <cell r="BU61" t="str">
            <v>On Time</v>
          </cell>
          <cell r="BV61">
            <v>98000</v>
          </cell>
          <cell r="BW61">
            <v>3878</v>
          </cell>
          <cell r="BX61">
            <v>25.270758122743683</v>
          </cell>
          <cell r="BY61">
            <v>10990</v>
          </cell>
          <cell r="BZ61">
            <v>3878</v>
          </cell>
          <cell r="CA61">
            <v>2.8339350180505414</v>
          </cell>
          <cell r="CB61">
            <v>108000</v>
          </cell>
          <cell r="CC61">
            <v>1223</v>
          </cell>
          <cell r="CD61">
            <v>88.307440719542114</v>
          </cell>
          <cell r="CE61">
            <v>72000</v>
          </cell>
          <cell r="CF61">
            <v>1223</v>
          </cell>
          <cell r="CG61">
            <v>58.871627146361405</v>
          </cell>
          <cell r="CH61">
            <v>0</v>
          </cell>
          <cell r="CI61">
            <v>3878</v>
          </cell>
          <cell r="CJ61">
            <v>0</v>
          </cell>
          <cell r="CK61">
            <v>0</v>
          </cell>
          <cell r="CL61">
            <v>3878</v>
          </cell>
          <cell r="CM61">
            <v>0</v>
          </cell>
          <cell r="CN61">
            <v>431.06766222769602</v>
          </cell>
          <cell r="CO61">
            <v>578</v>
          </cell>
          <cell r="CP61">
            <v>419.70632248409999</v>
          </cell>
          <cell r="CQ61">
            <v>524</v>
          </cell>
          <cell r="CR61">
            <v>85</v>
          </cell>
          <cell r="CS61">
            <v>2117</v>
          </cell>
          <cell r="CT61">
            <v>85</v>
          </cell>
          <cell r="CU61">
            <v>24.905882352941177</v>
          </cell>
          <cell r="CV61">
            <v>9.1760000000000002</v>
          </cell>
          <cell r="CW61">
            <v>9000</v>
          </cell>
          <cell r="CX61">
            <v>171000</v>
          </cell>
          <cell r="CY61">
            <v>5.2631578947368418E-2</v>
          </cell>
          <cell r="CZ61">
            <v>293000</v>
          </cell>
          <cell r="DA61">
            <v>3878</v>
          </cell>
          <cell r="DB61">
            <v>75.554409489427542</v>
          </cell>
          <cell r="DC61">
            <v>260000</v>
          </cell>
          <cell r="DD61">
            <v>3878</v>
          </cell>
          <cell r="DE61">
            <v>67.044868488911817</v>
          </cell>
          <cell r="DF61">
            <v>330000</v>
          </cell>
          <cell r="DG61">
            <v>3878</v>
          </cell>
          <cell r="DH61">
            <v>85.095410005157291</v>
          </cell>
          <cell r="DI61">
            <v>3826.2</v>
          </cell>
          <cell r="DJ61">
            <v>1.0135382363702892</v>
          </cell>
          <cell r="DK61">
            <v>-3.0915092472527661E-4</v>
          </cell>
          <cell r="DL61">
            <v>1.61</v>
          </cell>
          <cell r="DM61">
            <v>4.45</v>
          </cell>
        </row>
        <row r="62">
          <cell r="B62" t="str">
            <v>Cabonne Shire Council</v>
          </cell>
          <cell r="C62">
            <v>11</v>
          </cell>
          <cell r="D62">
            <v>1442000</v>
          </cell>
          <cell r="E62">
            <v>3990</v>
          </cell>
          <cell r="F62">
            <v>361.40350877192981</v>
          </cell>
          <cell r="G62">
            <v>3331000</v>
          </cell>
          <cell r="H62">
            <v>1832</v>
          </cell>
          <cell r="I62">
            <v>1818.2314410480349</v>
          </cell>
          <cell r="J62">
            <v>93000</v>
          </cell>
          <cell r="K62">
            <v>348</v>
          </cell>
          <cell r="L62">
            <v>267.24137931034483</v>
          </cell>
          <cell r="M62">
            <v>601000</v>
          </cell>
          <cell r="N62">
            <v>11704000</v>
          </cell>
          <cell r="O62">
            <v>5.1349965823650034E-2</v>
          </cell>
          <cell r="P62">
            <v>460000</v>
          </cell>
          <cell r="Q62">
            <v>7496000</v>
          </cell>
          <cell r="R62">
            <v>6.136606189967983E-2</v>
          </cell>
          <cell r="S62">
            <v>-784000</v>
          </cell>
          <cell r="T62">
            <v>4532000</v>
          </cell>
          <cell r="U62">
            <v>-0.17299205648720212</v>
          </cell>
          <cell r="V62">
            <v>7956000</v>
          </cell>
          <cell r="W62">
            <v>22588000</v>
          </cell>
          <cell r="X62">
            <v>0.35222241898353107</v>
          </cell>
          <cell r="Y62">
            <v>3748000</v>
          </cell>
          <cell r="Z62">
            <v>22588000</v>
          </cell>
          <cell r="AA62">
            <v>0.16592881175845581</v>
          </cell>
          <cell r="AB62">
            <v>879000</v>
          </cell>
          <cell r="AC62">
            <v>22588000</v>
          </cell>
          <cell r="AD62">
            <v>3.8914467859040201E-2</v>
          </cell>
          <cell r="AE62">
            <v>5522000</v>
          </cell>
          <cell r="AF62">
            <v>22588000</v>
          </cell>
          <cell r="AG62">
            <v>0.24446608818841864</v>
          </cell>
          <cell r="AH62">
            <v>2956000</v>
          </cell>
          <cell r="AI62">
            <v>22588000</v>
          </cell>
          <cell r="AJ62">
            <v>0.13086594652027625</v>
          </cell>
          <cell r="AK62">
            <v>1527000</v>
          </cell>
          <cell r="AL62">
            <v>22588000</v>
          </cell>
          <cell r="AM62">
            <v>6.7602266690278023E-2</v>
          </cell>
          <cell r="AN62">
            <v>18115000</v>
          </cell>
          <cell r="AO62">
            <v>12589</v>
          </cell>
          <cell r="AP62">
            <v>1438.9546429422512</v>
          </cell>
          <cell r="AQ62">
            <v>7616000</v>
          </cell>
          <cell r="AR62">
            <v>21441000</v>
          </cell>
          <cell r="AS62">
            <v>0.35520731309174014</v>
          </cell>
          <cell r="AT62">
            <v>4425000</v>
          </cell>
          <cell r="AU62">
            <v>21441000</v>
          </cell>
          <cell r="AV62">
            <v>0.20638029942633274</v>
          </cell>
          <cell r="AW62">
            <v>231000</v>
          </cell>
          <cell r="AX62">
            <v>21441000</v>
          </cell>
          <cell r="AY62">
            <v>1.0773751224289911E-2</v>
          </cell>
          <cell r="AZ62">
            <v>7101000</v>
          </cell>
          <cell r="BA62">
            <v>21441000</v>
          </cell>
          <cell r="BB62">
            <v>0.33118791101161327</v>
          </cell>
          <cell r="BC62">
            <v>2068000</v>
          </cell>
          <cell r="BD62">
            <v>21441000</v>
          </cell>
          <cell r="BE62">
            <v>9.6450725246023966E-2</v>
          </cell>
          <cell r="BF62">
            <v>20098000</v>
          </cell>
          <cell r="BG62">
            <v>12589</v>
          </cell>
          <cell r="BH62">
            <v>1596.473111446501</v>
          </cell>
          <cell r="BI62">
            <v>13177000</v>
          </cell>
          <cell r="BJ62">
            <v>3004000</v>
          </cell>
          <cell r="BK62">
            <v>4.3864846870838878</v>
          </cell>
          <cell r="BL62">
            <v>695000</v>
          </cell>
          <cell r="BM62">
            <v>17083000</v>
          </cell>
          <cell r="BN62">
            <v>4.0683720657964058E-2</v>
          </cell>
          <cell r="BO62">
            <v>4235000</v>
          </cell>
          <cell r="BP62">
            <v>6763000</v>
          </cell>
          <cell r="BQ62">
            <v>0.62620138991571783</v>
          </cell>
          <cell r="BR62">
            <v>172</v>
          </cell>
          <cell r="BS62" t="str">
            <v>On Time</v>
          </cell>
          <cell r="BT62" t="str">
            <v>On Time</v>
          </cell>
          <cell r="BU62" t="str">
            <v>On Time</v>
          </cell>
          <cell r="BV62">
            <v>178000</v>
          </cell>
          <cell r="BW62">
            <v>12589</v>
          </cell>
          <cell r="BX62">
            <v>14.13932798474859</v>
          </cell>
          <cell r="BY62">
            <v>37940</v>
          </cell>
          <cell r="BZ62">
            <v>12589</v>
          </cell>
          <cell r="CA62">
            <v>3.0137421558503457</v>
          </cell>
          <cell r="CB62">
            <v>416000</v>
          </cell>
          <cell r="CC62">
            <v>2314</v>
          </cell>
          <cell r="CD62">
            <v>179.77528089887642</v>
          </cell>
          <cell r="CE62">
            <v>174222</v>
          </cell>
          <cell r="CF62">
            <v>2419</v>
          </cell>
          <cell r="CG62">
            <v>72.022323274080193</v>
          </cell>
          <cell r="CH62">
            <v>1015970</v>
          </cell>
          <cell r="CI62">
            <v>12589</v>
          </cell>
          <cell r="CJ62">
            <v>80.7029946778934</v>
          </cell>
          <cell r="CK62">
            <v>2080000</v>
          </cell>
          <cell r="CL62">
            <v>12589</v>
          </cell>
          <cell r="CM62">
            <v>165.22360791166892</v>
          </cell>
          <cell r="CN62">
            <v>618.05116152942196</v>
          </cell>
          <cell r="CO62">
            <v>652</v>
          </cell>
          <cell r="CP62">
            <v>440.96813456511802</v>
          </cell>
          <cell r="CQ62">
            <v>337</v>
          </cell>
          <cell r="CR62">
            <v>332</v>
          </cell>
          <cell r="CS62">
            <v>8300</v>
          </cell>
          <cell r="CT62">
            <v>332</v>
          </cell>
          <cell r="CU62">
            <v>25</v>
          </cell>
          <cell r="CV62">
            <v>24</v>
          </cell>
          <cell r="CW62">
            <v>5000</v>
          </cell>
          <cell r="CX62">
            <v>433000</v>
          </cell>
          <cell r="CY62">
            <v>1.1547344110854504E-2</v>
          </cell>
          <cell r="CZ62">
            <v>530000</v>
          </cell>
          <cell r="DA62">
            <v>12589</v>
          </cell>
          <cell r="DB62">
            <v>42.10024624672333</v>
          </cell>
          <cell r="DC62">
            <v>604000</v>
          </cell>
          <cell r="DD62">
            <v>12589</v>
          </cell>
          <cell r="DE62">
            <v>47.978393835888475</v>
          </cell>
          <cell r="DF62">
            <v>1348000</v>
          </cell>
          <cell r="DG62">
            <v>12589</v>
          </cell>
          <cell r="DH62">
            <v>107.07760743506236</v>
          </cell>
          <cell r="DI62">
            <v>6026</v>
          </cell>
          <cell r="DJ62">
            <v>2.0891138400265516</v>
          </cell>
          <cell r="DK62">
            <v>4.3292359184947671E-3</v>
          </cell>
          <cell r="DL62">
            <v>1.84</v>
          </cell>
          <cell r="DM62">
            <v>1.89</v>
          </cell>
        </row>
        <row r="63">
          <cell r="B63" t="str">
            <v>Balranald Shire Council</v>
          </cell>
          <cell r="C63">
            <v>9</v>
          </cell>
          <cell r="D63">
            <v>107000</v>
          </cell>
          <cell r="E63">
            <v>760</v>
          </cell>
          <cell r="F63">
            <v>140.78947368421052</v>
          </cell>
          <cell r="G63">
            <v>540000</v>
          </cell>
          <cell r="H63">
            <v>455</v>
          </cell>
          <cell r="I63">
            <v>1186.8131868131868</v>
          </cell>
          <cell r="J63">
            <v>88000</v>
          </cell>
          <cell r="K63">
            <v>135</v>
          </cell>
          <cell r="L63">
            <v>651.85185185185185</v>
          </cell>
          <cell r="M63">
            <v>194000</v>
          </cell>
          <cell r="N63">
            <v>2300000</v>
          </cell>
          <cell r="O63">
            <v>8.4347826086956526E-2</v>
          </cell>
          <cell r="P63">
            <v>100000</v>
          </cell>
          <cell r="Q63">
            <v>1450000</v>
          </cell>
          <cell r="R63">
            <v>6.8965517241379309E-2</v>
          </cell>
          <cell r="S63">
            <v>-37000</v>
          </cell>
          <cell r="T63">
            <v>787000</v>
          </cell>
          <cell r="U63">
            <v>-4.7013977128335452E-2</v>
          </cell>
          <cell r="V63">
            <v>1550000</v>
          </cell>
          <cell r="W63">
            <v>6670000</v>
          </cell>
          <cell r="X63">
            <v>0.23238380809595202</v>
          </cell>
          <cell r="Y63">
            <v>750000</v>
          </cell>
          <cell r="Z63">
            <v>6670000</v>
          </cell>
          <cell r="AA63">
            <v>0.11244377811094453</v>
          </cell>
          <cell r="AB63">
            <v>156000</v>
          </cell>
          <cell r="AC63">
            <v>6670000</v>
          </cell>
          <cell r="AD63">
            <v>2.3388305847076463E-2</v>
          </cell>
          <cell r="AE63">
            <v>2641000</v>
          </cell>
          <cell r="AF63">
            <v>6670000</v>
          </cell>
          <cell r="AG63">
            <v>0.395952023988006</v>
          </cell>
          <cell r="AH63">
            <v>1418000</v>
          </cell>
          <cell r="AI63">
            <v>6670000</v>
          </cell>
          <cell r="AJ63">
            <v>0.21259370314842579</v>
          </cell>
          <cell r="AK63">
            <v>155000</v>
          </cell>
          <cell r="AL63">
            <v>6670000</v>
          </cell>
          <cell r="AM63">
            <v>2.3238380809595203E-2</v>
          </cell>
          <cell r="AN63">
            <v>5092000</v>
          </cell>
          <cell r="AO63">
            <v>2761</v>
          </cell>
          <cell r="AP63">
            <v>1844.2593263310396</v>
          </cell>
          <cell r="AQ63">
            <v>1988000</v>
          </cell>
          <cell r="AR63">
            <v>5507000</v>
          </cell>
          <cell r="AS63">
            <v>0.36099509714908301</v>
          </cell>
          <cell r="AT63">
            <v>1279000</v>
          </cell>
          <cell r="AU63">
            <v>5507000</v>
          </cell>
          <cell r="AV63">
            <v>0.23224986380969675</v>
          </cell>
          <cell r="AW63">
            <v>30000</v>
          </cell>
          <cell r="AX63">
            <v>5507000</v>
          </cell>
          <cell r="AY63">
            <v>5.4476121300163424E-3</v>
          </cell>
          <cell r="AZ63">
            <v>1667000</v>
          </cell>
          <cell r="BA63">
            <v>5507000</v>
          </cell>
          <cell r="BB63">
            <v>0.30270564735790811</v>
          </cell>
          <cell r="BC63">
            <v>543000</v>
          </cell>
          <cell r="BD63">
            <v>5507000</v>
          </cell>
          <cell r="BE63">
            <v>9.8601779553295799E-2</v>
          </cell>
          <cell r="BF63">
            <v>4999000</v>
          </cell>
          <cell r="BG63">
            <v>2761</v>
          </cell>
          <cell r="BH63">
            <v>1810.5758783049619</v>
          </cell>
          <cell r="BI63">
            <v>1391000</v>
          </cell>
          <cell r="BJ63">
            <v>333000</v>
          </cell>
          <cell r="BK63">
            <v>4.1771771771771773</v>
          </cell>
          <cell r="BL63">
            <v>404000</v>
          </cell>
          <cell r="BM63">
            <v>5591000</v>
          </cell>
          <cell r="BN63">
            <v>7.2258987658737256E-2</v>
          </cell>
          <cell r="BO63">
            <v>2015000</v>
          </cell>
          <cell r="BP63">
            <v>1410000</v>
          </cell>
          <cell r="BQ63">
            <v>1.4290780141843971</v>
          </cell>
          <cell r="BR63">
            <v>50</v>
          </cell>
          <cell r="BS63" t="str">
            <v>&lt;=4</v>
          </cell>
          <cell r="BT63" t="str">
            <v>&lt;=4</v>
          </cell>
          <cell r="BU63" t="str">
            <v>On Time</v>
          </cell>
          <cell r="BV63">
            <v>53000</v>
          </cell>
          <cell r="BW63">
            <v>2761</v>
          </cell>
          <cell r="BX63">
            <v>19.195943498732344</v>
          </cell>
          <cell r="BY63">
            <v>23101</v>
          </cell>
          <cell r="BZ63">
            <v>2761</v>
          </cell>
          <cell r="CA63">
            <v>8.3668960521550169</v>
          </cell>
          <cell r="CB63">
            <v>130000</v>
          </cell>
          <cell r="CC63">
            <v>726</v>
          </cell>
          <cell r="CD63">
            <v>179.06336088154271</v>
          </cell>
          <cell r="CE63">
            <v>117920</v>
          </cell>
          <cell r="CF63">
            <v>726</v>
          </cell>
          <cell r="CG63">
            <v>162.42424242424244</v>
          </cell>
          <cell r="CH63">
            <v>0</v>
          </cell>
          <cell r="CI63">
            <v>2761</v>
          </cell>
          <cell r="CJ63" t="str">
            <v>N/A</v>
          </cell>
          <cell r="CK63">
            <v>975000</v>
          </cell>
          <cell r="CL63">
            <v>2761</v>
          </cell>
          <cell r="CM63">
            <v>353.13292285403838</v>
          </cell>
          <cell r="CN63">
            <v>544</v>
          </cell>
          <cell r="CO63">
            <v>398</v>
          </cell>
          <cell r="CP63">
            <v>404</v>
          </cell>
          <cell r="CQ63">
            <v>307</v>
          </cell>
          <cell r="CR63">
            <v>12</v>
          </cell>
          <cell r="CS63">
            <v>304</v>
          </cell>
          <cell r="CT63">
            <v>12</v>
          </cell>
          <cell r="CU63">
            <v>25.333333333333332</v>
          </cell>
          <cell r="CV63">
            <v>20</v>
          </cell>
          <cell r="CW63">
            <v>0</v>
          </cell>
          <cell r="CX63">
            <v>7000</v>
          </cell>
          <cell r="CY63">
            <v>0</v>
          </cell>
          <cell r="CZ63">
            <v>152000</v>
          </cell>
          <cell r="DA63">
            <v>2761</v>
          </cell>
          <cell r="DB63">
            <v>55.052517203911627</v>
          </cell>
          <cell r="DC63">
            <v>174000</v>
          </cell>
          <cell r="DD63">
            <v>2761</v>
          </cell>
          <cell r="DE63">
            <v>63.020644693951468</v>
          </cell>
          <cell r="DF63">
            <v>407000</v>
          </cell>
          <cell r="DG63">
            <v>2761</v>
          </cell>
          <cell r="DH63">
            <v>147.41035856573706</v>
          </cell>
          <cell r="DI63">
            <v>21699.4</v>
          </cell>
          <cell r="DJ63">
            <v>0.12723854115782002</v>
          </cell>
          <cell r="DK63">
            <v>-1.0388947500775014E-2</v>
          </cell>
          <cell r="DL63">
            <v>6.77</v>
          </cell>
          <cell r="DM63">
            <v>3.79</v>
          </cell>
        </row>
        <row r="64">
          <cell r="B64" t="str">
            <v>Muswellbrook Shire Council</v>
          </cell>
          <cell r="C64">
            <v>11</v>
          </cell>
          <cell r="D64">
            <v>2357000</v>
          </cell>
          <cell r="E64">
            <v>5125</v>
          </cell>
          <cell r="F64">
            <v>459.90243902439022</v>
          </cell>
          <cell r="G64">
            <v>972000</v>
          </cell>
          <cell r="H64">
            <v>642</v>
          </cell>
          <cell r="I64">
            <v>1514.018691588785</v>
          </cell>
          <cell r="J64">
            <v>565000</v>
          </cell>
          <cell r="K64">
            <v>502</v>
          </cell>
          <cell r="L64">
            <v>1125.4980079681275</v>
          </cell>
          <cell r="M64">
            <v>1817000</v>
          </cell>
          <cell r="N64">
            <v>14382000</v>
          </cell>
          <cell r="O64">
            <v>0.1263384786538729</v>
          </cell>
          <cell r="P64">
            <v>766000</v>
          </cell>
          <cell r="Q64">
            <v>7128000</v>
          </cell>
          <cell r="R64">
            <v>0.10746352413019079</v>
          </cell>
          <cell r="S64">
            <v>2521000</v>
          </cell>
          <cell r="T64">
            <v>3967000</v>
          </cell>
          <cell r="U64">
            <v>0.63549281572977057</v>
          </cell>
          <cell r="V64">
            <v>7894000</v>
          </cell>
          <cell r="W64">
            <v>20090000</v>
          </cell>
          <cell r="X64">
            <v>0.39293180686908907</v>
          </cell>
          <cell r="Y64">
            <v>6488000</v>
          </cell>
          <cell r="Z64">
            <v>20090000</v>
          </cell>
          <cell r="AA64">
            <v>0.32294673967147836</v>
          </cell>
          <cell r="AB64">
            <v>859000</v>
          </cell>
          <cell r="AC64">
            <v>20090000</v>
          </cell>
          <cell r="AD64">
            <v>4.2757590841214534E-2</v>
          </cell>
          <cell r="AE64">
            <v>3220000</v>
          </cell>
          <cell r="AF64">
            <v>20090000</v>
          </cell>
          <cell r="AG64">
            <v>0.16027874564459929</v>
          </cell>
          <cell r="AH64">
            <v>1481000</v>
          </cell>
          <cell r="AI64">
            <v>20090000</v>
          </cell>
          <cell r="AJ64">
            <v>7.3718267794922854E-2</v>
          </cell>
          <cell r="AK64">
            <v>148000</v>
          </cell>
          <cell r="AL64">
            <v>20090000</v>
          </cell>
          <cell r="AM64">
            <v>7.3668491786958688E-3</v>
          </cell>
          <cell r="AN64">
            <v>13820000</v>
          </cell>
          <cell r="AO64">
            <v>15338</v>
          </cell>
          <cell r="AP64">
            <v>901.03012126744034</v>
          </cell>
          <cell r="AQ64">
            <v>5294000</v>
          </cell>
          <cell r="AR64">
            <v>17871000</v>
          </cell>
          <cell r="AS64">
            <v>0.29623412232107882</v>
          </cell>
          <cell r="AT64">
            <v>5927000</v>
          </cell>
          <cell r="AU64">
            <v>17871000</v>
          </cell>
          <cell r="AV64">
            <v>0.33165463600246209</v>
          </cell>
          <cell r="AW64">
            <v>53000</v>
          </cell>
          <cell r="AX64">
            <v>17871000</v>
          </cell>
          <cell r="AY64">
            <v>2.965698617872531E-3</v>
          </cell>
          <cell r="AZ64">
            <v>5154000</v>
          </cell>
          <cell r="BA64">
            <v>17871000</v>
          </cell>
          <cell r="BB64">
            <v>0.28840020144367973</v>
          </cell>
          <cell r="BC64">
            <v>1443000</v>
          </cell>
          <cell r="BD64">
            <v>17871000</v>
          </cell>
          <cell r="BE64">
            <v>8.0745341614906832E-2</v>
          </cell>
          <cell r="BF64">
            <v>14409000</v>
          </cell>
          <cell r="BG64">
            <v>15338</v>
          </cell>
          <cell r="BH64">
            <v>939.43147737645063</v>
          </cell>
          <cell r="BI64">
            <v>11990000</v>
          </cell>
          <cell r="BJ64">
            <v>1940000</v>
          </cell>
          <cell r="BK64">
            <v>6.1804123711340209</v>
          </cell>
          <cell r="BL64">
            <v>163000</v>
          </cell>
          <cell r="BM64">
            <v>17818000</v>
          </cell>
          <cell r="BN64">
            <v>9.1480525311482767E-3</v>
          </cell>
          <cell r="BO64">
            <v>3350000</v>
          </cell>
          <cell r="BP64">
            <v>4204000</v>
          </cell>
          <cell r="BQ64">
            <v>0.79686013320646998</v>
          </cell>
          <cell r="BR64">
            <v>106</v>
          </cell>
          <cell r="BS64" t="str">
            <v>On Time</v>
          </cell>
          <cell r="BT64" t="str">
            <v>On Time</v>
          </cell>
          <cell r="BU64" t="str">
            <v>On Time</v>
          </cell>
          <cell r="BV64">
            <v>394000</v>
          </cell>
          <cell r="BW64">
            <v>15338</v>
          </cell>
          <cell r="BX64">
            <v>25.687834137436433</v>
          </cell>
          <cell r="BY64">
            <v>86833</v>
          </cell>
          <cell r="BZ64">
            <v>15338</v>
          </cell>
          <cell r="CA64">
            <v>5.6612987351675574</v>
          </cell>
          <cell r="CB64">
            <v>604000</v>
          </cell>
          <cell r="CC64">
            <v>4576</v>
          </cell>
          <cell r="CD64">
            <v>131.99300699300699</v>
          </cell>
          <cell r="CE64">
            <v>334208</v>
          </cell>
          <cell r="CF64">
            <v>4576</v>
          </cell>
          <cell r="CG64">
            <v>73.03496503496504</v>
          </cell>
          <cell r="CH64">
            <v>2429760</v>
          </cell>
          <cell r="CI64">
            <v>15338</v>
          </cell>
          <cell r="CJ64">
            <v>158.41439561872474</v>
          </cell>
          <cell r="CK64">
            <v>3545260</v>
          </cell>
          <cell r="CL64">
            <v>15338</v>
          </cell>
          <cell r="CM64">
            <v>231.14226105098447</v>
          </cell>
          <cell r="CN64">
            <v>477.49869178440599</v>
          </cell>
          <cell r="CO64">
            <v>433</v>
          </cell>
          <cell r="CP64">
            <v>411.40652318080402</v>
          </cell>
          <cell r="CQ64">
            <v>425</v>
          </cell>
          <cell r="CR64">
            <v>358</v>
          </cell>
          <cell r="CS64">
            <v>9152</v>
          </cell>
          <cell r="CT64">
            <v>358</v>
          </cell>
          <cell r="CU64">
            <v>25.564245810055866</v>
          </cell>
          <cell r="CV64">
            <v>21</v>
          </cell>
          <cell r="CW64">
            <v>68000</v>
          </cell>
          <cell r="CX64">
            <v>186000</v>
          </cell>
          <cell r="CY64">
            <v>0.36559139784946237</v>
          </cell>
          <cell r="CZ64">
            <v>579000</v>
          </cell>
          <cell r="DA64">
            <v>15338</v>
          </cell>
          <cell r="DB64">
            <v>37.749380623288566</v>
          </cell>
          <cell r="DC64">
            <v>909000</v>
          </cell>
          <cell r="DD64">
            <v>15338</v>
          </cell>
          <cell r="DE64">
            <v>59.264571652105879</v>
          </cell>
          <cell r="DF64">
            <v>253000</v>
          </cell>
          <cell r="DG64">
            <v>15338</v>
          </cell>
          <cell r="DH64">
            <v>16.494979788759942</v>
          </cell>
          <cell r="DI64">
            <v>3405.6</v>
          </cell>
          <cell r="DJ64">
            <v>4.5037585153864228</v>
          </cell>
          <cell r="DK64">
            <v>-3.6498736605173887E-3</v>
          </cell>
          <cell r="DL64">
            <v>3.39</v>
          </cell>
          <cell r="DM64">
            <v>2.2999999999999998</v>
          </cell>
        </row>
        <row r="65">
          <cell r="B65" t="str">
            <v>Coonabarabran Shire Council</v>
          </cell>
          <cell r="C65">
            <v>10</v>
          </cell>
          <cell r="D65">
            <v>810000</v>
          </cell>
          <cell r="E65">
            <v>2294</v>
          </cell>
          <cell r="F65">
            <v>353.09503051438537</v>
          </cell>
          <cell r="G65">
            <v>1463000</v>
          </cell>
          <cell r="H65">
            <v>888</v>
          </cell>
          <cell r="I65">
            <v>1647.5225225225224</v>
          </cell>
          <cell r="J65">
            <v>258000</v>
          </cell>
          <cell r="K65">
            <v>297</v>
          </cell>
          <cell r="L65">
            <v>868.68686868686871</v>
          </cell>
          <cell r="M65">
            <v>632000</v>
          </cell>
          <cell r="N65">
            <v>5617000</v>
          </cell>
          <cell r="O65">
            <v>0.11251557771052163</v>
          </cell>
          <cell r="P65">
            <v>197000</v>
          </cell>
          <cell r="Q65">
            <v>4195000</v>
          </cell>
          <cell r="R65">
            <v>4.6960667461263407E-2</v>
          </cell>
          <cell r="S65">
            <v>197000</v>
          </cell>
          <cell r="T65">
            <v>1028000</v>
          </cell>
          <cell r="U65">
            <v>0.1916342412451362</v>
          </cell>
          <cell r="V65">
            <v>4392000</v>
          </cell>
          <cell r="W65">
            <v>11745000</v>
          </cell>
          <cell r="X65">
            <v>0.37394636015325672</v>
          </cell>
          <cell r="Y65">
            <v>1225000</v>
          </cell>
          <cell r="Z65">
            <v>11745000</v>
          </cell>
          <cell r="AA65">
            <v>0.10429970200085142</v>
          </cell>
          <cell r="AB65">
            <v>536000</v>
          </cell>
          <cell r="AC65">
            <v>11745000</v>
          </cell>
          <cell r="AD65">
            <v>4.5636441038739886E-2</v>
          </cell>
          <cell r="AE65">
            <v>4663000</v>
          </cell>
          <cell r="AF65">
            <v>11745000</v>
          </cell>
          <cell r="AG65">
            <v>0.39702000851426139</v>
          </cell>
          <cell r="AH65">
            <v>658000</v>
          </cell>
          <cell r="AI65">
            <v>11745000</v>
          </cell>
          <cell r="AJ65">
            <v>5.6023839931885908E-2</v>
          </cell>
          <cell r="AK65">
            <v>271000</v>
          </cell>
          <cell r="AL65">
            <v>11745000</v>
          </cell>
          <cell r="AM65">
            <v>2.3073648361004683E-2</v>
          </cell>
          <cell r="AN65">
            <v>9585000</v>
          </cell>
          <cell r="AO65">
            <v>6827</v>
          </cell>
          <cell r="AP65">
            <v>1403.9841804599384</v>
          </cell>
          <cell r="AQ65">
            <v>4218000</v>
          </cell>
          <cell r="AR65">
            <v>12686000</v>
          </cell>
          <cell r="AS65">
            <v>0.33249251142992275</v>
          </cell>
          <cell r="AT65">
            <v>2770000</v>
          </cell>
          <cell r="AU65">
            <v>12686000</v>
          </cell>
          <cell r="AV65">
            <v>0.218350938041936</v>
          </cell>
          <cell r="AW65">
            <v>68000</v>
          </cell>
          <cell r="AX65">
            <v>12686000</v>
          </cell>
          <cell r="AY65">
            <v>5.3602396342424721E-3</v>
          </cell>
          <cell r="AZ65">
            <v>4497000</v>
          </cell>
          <cell r="BA65">
            <v>12686000</v>
          </cell>
          <cell r="BB65">
            <v>0.35448525934100583</v>
          </cell>
          <cell r="BC65">
            <v>1133000</v>
          </cell>
          <cell r="BD65">
            <v>12686000</v>
          </cell>
          <cell r="BE65">
            <v>8.9311051552892956E-2</v>
          </cell>
          <cell r="BF65">
            <v>10504000</v>
          </cell>
          <cell r="BG65">
            <v>6827</v>
          </cell>
          <cell r="BH65">
            <v>1538.596748205654</v>
          </cell>
          <cell r="BI65">
            <v>6357000</v>
          </cell>
          <cell r="BJ65">
            <v>1188627.28</v>
          </cell>
          <cell r="BK65">
            <v>5.3481861866740932</v>
          </cell>
          <cell r="BL65">
            <v>112000</v>
          </cell>
          <cell r="BM65">
            <v>9165000</v>
          </cell>
          <cell r="BN65">
            <v>1.2220403709765413E-2</v>
          </cell>
          <cell r="BO65">
            <v>1425000</v>
          </cell>
          <cell r="BP65">
            <v>3701000</v>
          </cell>
          <cell r="BQ65">
            <v>0.38503107268305864</v>
          </cell>
          <cell r="BR65">
            <v>100</v>
          </cell>
          <cell r="BS65" t="str">
            <v>Not Received</v>
          </cell>
          <cell r="BT65" t="str">
            <v>&lt;=16</v>
          </cell>
          <cell r="BU65" t="str">
            <v>On Time</v>
          </cell>
          <cell r="BV65">
            <v>386000</v>
          </cell>
          <cell r="BW65">
            <v>6827</v>
          </cell>
          <cell r="BX65">
            <v>56.540207997656367</v>
          </cell>
          <cell r="BY65">
            <v>32735</v>
          </cell>
          <cell r="BZ65">
            <v>6827</v>
          </cell>
          <cell r="CA65">
            <v>4.7949318880914014</v>
          </cell>
          <cell r="CB65">
            <v>235000</v>
          </cell>
          <cell r="CC65">
            <v>1731</v>
          </cell>
          <cell r="CD65">
            <v>135.75967648757944</v>
          </cell>
          <cell r="CE65">
            <v>202616</v>
          </cell>
          <cell r="CF65">
            <v>1818</v>
          </cell>
          <cell r="CG65">
            <v>111.44994499449945</v>
          </cell>
          <cell r="CH65">
            <v>4891250</v>
          </cell>
          <cell r="CI65">
            <v>6827</v>
          </cell>
          <cell r="CJ65">
            <v>716.45671598066497</v>
          </cell>
          <cell r="CK65">
            <v>6552000</v>
          </cell>
          <cell r="CL65">
            <v>6827</v>
          </cell>
          <cell r="CM65">
            <v>959.71876373223961</v>
          </cell>
          <cell r="CN65">
            <v>497.69836462749902</v>
          </cell>
          <cell r="CO65">
            <v>664.39075630252103</v>
          </cell>
          <cell r="CP65">
            <v>379.42771084337397</v>
          </cell>
          <cell r="CQ65">
            <v>554.11535968891803</v>
          </cell>
          <cell r="CR65">
            <v>86</v>
          </cell>
          <cell r="CS65">
            <v>2208</v>
          </cell>
          <cell r="CT65">
            <v>86</v>
          </cell>
          <cell r="CU65">
            <v>25.674418604651162</v>
          </cell>
          <cell r="CV65">
            <v>24</v>
          </cell>
          <cell r="CW65">
            <v>0</v>
          </cell>
          <cell r="CX65">
            <v>275000</v>
          </cell>
          <cell r="CY65">
            <v>0</v>
          </cell>
          <cell r="CZ65">
            <v>240000</v>
          </cell>
          <cell r="DA65">
            <v>6827</v>
          </cell>
          <cell r="DB65">
            <v>35.154533470045408</v>
          </cell>
          <cell r="DC65">
            <v>322000</v>
          </cell>
          <cell r="DD65">
            <v>6827</v>
          </cell>
          <cell r="DE65">
            <v>47.165665738977587</v>
          </cell>
          <cell r="DF65">
            <v>611000</v>
          </cell>
          <cell r="DG65">
            <v>6827</v>
          </cell>
          <cell r="DH65">
            <v>89.497583125823937</v>
          </cell>
          <cell r="DI65">
            <v>7575.8</v>
          </cell>
          <cell r="DJ65">
            <v>0.90115895350986031</v>
          </cell>
          <cell r="DK65">
            <v>-3.4214609710990773E-3</v>
          </cell>
          <cell r="DL65">
            <v>7.9</v>
          </cell>
          <cell r="DM65">
            <v>2.2799999999999998</v>
          </cell>
        </row>
        <row r="66">
          <cell r="B66" t="str">
            <v>Hume Shire Council</v>
          </cell>
          <cell r="C66">
            <v>10</v>
          </cell>
          <cell r="D66">
            <v>788000</v>
          </cell>
          <cell r="E66">
            <v>2511</v>
          </cell>
          <cell r="F66">
            <v>313.81919553962564</v>
          </cell>
          <cell r="G66">
            <v>1098000</v>
          </cell>
          <cell r="H66">
            <v>829</v>
          </cell>
          <cell r="I66">
            <v>1324.4873341375151</v>
          </cell>
          <cell r="J66">
            <v>56000</v>
          </cell>
          <cell r="K66">
            <v>152</v>
          </cell>
          <cell r="L66">
            <v>368.42105263157896</v>
          </cell>
          <cell r="M66">
            <v>837000</v>
          </cell>
          <cell r="N66">
            <v>4794000</v>
          </cell>
          <cell r="O66">
            <v>0.17459324155193992</v>
          </cell>
          <cell r="P66">
            <v>110000</v>
          </cell>
          <cell r="Q66">
            <v>3272000</v>
          </cell>
          <cell r="R66">
            <v>3.3618581907090467E-2</v>
          </cell>
          <cell r="S66">
            <v>231000</v>
          </cell>
          <cell r="T66">
            <v>1181000</v>
          </cell>
          <cell r="U66">
            <v>0.19559695173581709</v>
          </cell>
          <cell r="V66">
            <v>3382000</v>
          </cell>
          <cell r="W66">
            <v>10992000</v>
          </cell>
          <cell r="X66">
            <v>0.30767831149927222</v>
          </cell>
          <cell r="Y66">
            <v>1412000</v>
          </cell>
          <cell r="Z66">
            <v>10992000</v>
          </cell>
          <cell r="AA66">
            <v>0.12845705967976712</v>
          </cell>
          <cell r="AB66">
            <v>227000</v>
          </cell>
          <cell r="AC66">
            <v>10992000</v>
          </cell>
          <cell r="AD66">
            <v>2.0651382823871908E-2</v>
          </cell>
          <cell r="AE66">
            <v>4416000</v>
          </cell>
          <cell r="AF66">
            <v>10992000</v>
          </cell>
          <cell r="AG66">
            <v>0.40174672489082969</v>
          </cell>
          <cell r="AH66">
            <v>1316000</v>
          </cell>
          <cell r="AI66">
            <v>10992000</v>
          </cell>
          <cell r="AJ66">
            <v>0.11972343522561864</v>
          </cell>
          <cell r="AK66">
            <v>239000</v>
          </cell>
          <cell r="AL66">
            <v>10992000</v>
          </cell>
          <cell r="AM66">
            <v>2.1743085880640466E-2</v>
          </cell>
          <cell r="AN66">
            <v>7682000</v>
          </cell>
          <cell r="AO66">
            <v>7870</v>
          </cell>
          <cell r="AP66">
            <v>976.11181702668364</v>
          </cell>
          <cell r="AQ66">
            <v>3582000</v>
          </cell>
          <cell r="AR66">
            <v>9600000</v>
          </cell>
          <cell r="AS66">
            <v>0.37312499999999998</v>
          </cell>
          <cell r="AT66">
            <v>2703000</v>
          </cell>
          <cell r="AU66">
            <v>9600000</v>
          </cell>
          <cell r="AV66">
            <v>0.28156249999999999</v>
          </cell>
          <cell r="AW66">
            <v>130000</v>
          </cell>
          <cell r="AX66">
            <v>9600000</v>
          </cell>
          <cell r="AY66">
            <v>1.3541666666666667E-2</v>
          </cell>
          <cell r="AZ66">
            <v>2352000</v>
          </cell>
          <cell r="BA66">
            <v>9600000</v>
          </cell>
          <cell r="BB66">
            <v>0.245</v>
          </cell>
          <cell r="BC66">
            <v>833000</v>
          </cell>
          <cell r="BD66">
            <v>9600000</v>
          </cell>
          <cell r="BE66">
            <v>8.6770833333333339E-2</v>
          </cell>
          <cell r="BF66">
            <v>8281000</v>
          </cell>
          <cell r="BG66">
            <v>7870</v>
          </cell>
          <cell r="BH66">
            <v>1052.2236340533673</v>
          </cell>
          <cell r="BI66">
            <v>1559000</v>
          </cell>
          <cell r="BJ66">
            <v>1046000</v>
          </cell>
          <cell r="BK66">
            <v>1.4904397705544934</v>
          </cell>
          <cell r="BL66">
            <v>303000</v>
          </cell>
          <cell r="BM66">
            <v>6814000</v>
          </cell>
          <cell r="BN66">
            <v>4.4467273260933374E-2</v>
          </cell>
          <cell r="BO66">
            <v>4544000</v>
          </cell>
          <cell r="BP66">
            <v>2037000</v>
          </cell>
          <cell r="BQ66">
            <v>2.23073146784487</v>
          </cell>
          <cell r="BR66">
            <v>67.61</v>
          </cell>
          <cell r="BS66" t="str">
            <v>On Time</v>
          </cell>
          <cell r="BT66" t="str">
            <v>On Time</v>
          </cell>
          <cell r="BU66" t="str">
            <v>On Time</v>
          </cell>
          <cell r="BV66">
            <v>97000</v>
          </cell>
          <cell r="BW66">
            <v>7870</v>
          </cell>
          <cell r="BX66">
            <v>12.325285895806861</v>
          </cell>
          <cell r="BY66">
            <v>12526</v>
          </cell>
          <cell r="BZ66">
            <v>7870</v>
          </cell>
          <cell r="CA66">
            <v>1.5916137229987293</v>
          </cell>
          <cell r="CB66">
            <v>213000</v>
          </cell>
          <cell r="CC66">
            <v>1541</v>
          </cell>
          <cell r="CD66">
            <v>138.22193380921479</v>
          </cell>
          <cell r="CE66">
            <v>242414</v>
          </cell>
          <cell r="CF66">
            <v>1541</v>
          </cell>
          <cell r="CG66">
            <v>157.30953926022065</v>
          </cell>
          <cell r="CH66">
            <v>242500</v>
          </cell>
          <cell r="CI66">
            <v>7870</v>
          </cell>
          <cell r="CJ66">
            <v>30.813214739517154</v>
          </cell>
          <cell r="CK66">
            <v>1560000</v>
          </cell>
          <cell r="CL66">
            <v>7870</v>
          </cell>
          <cell r="CM66">
            <v>198.22109275730622</v>
          </cell>
          <cell r="CN66">
            <v>538.251486456728</v>
          </cell>
          <cell r="CO66">
            <v>940</v>
          </cell>
          <cell r="CP66">
            <v>259.52975545398903</v>
          </cell>
          <cell r="CQ66">
            <v>350.07057874571501</v>
          </cell>
          <cell r="CR66">
            <v>345</v>
          </cell>
          <cell r="CS66">
            <v>8923</v>
          </cell>
          <cell r="CT66">
            <v>345</v>
          </cell>
          <cell r="CU66">
            <v>25.86376811594203</v>
          </cell>
          <cell r="CV66">
            <v>15</v>
          </cell>
          <cell r="CW66">
            <v>0</v>
          </cell>
          <cell r="CX66">
            <v>299000</v>
          </cell>
          <cell r="CY66">
            <v>0</v>
          </cell>
          <cell r="CZ66">
            <v>123000</v>
          </cell>
          <cell r="DA66">
            <v>7870</v>
          </cell>
          <cell r="DB66">
            <v>15.628970775095299</v>
          </cell>
          <cell r="DC66">
            <v>318000</v>
          </cell>
          <cell r="DD66">
            <v>7870</v>
          </cell>
          <cell r="DE66">
            <v>40.406607369758575</v>
          </cell>
          <cell r="DF66">
            <v>1946000</v>
          </cell>
          <cell r="DG66">
            <v>7870</v>
          </cell>
          <cell r="DH66">
            <v>247.26810673443455</v>
          </cell>
          <cell r="DI66">
            <v>1924.4</v>
          </cell>
          <cell r="DJ66">
            <v>4.0895863645811676</v>
          </cell>
          <cell r="DK66">
            <v>1.9945674517277023E-2</v>
          </cell>
          <cell r="DL66">
            <v>1.07</v>
          </cell>
          <cell r="DM66">
            <v>2.42</v>
          </cell>
        </row>
        <row r="67">
          <cell r="B67" t="str">
            <v>Corowa Shire Council</v>
          </cell>
          <cell r="C67">
            <v>10</v>
          </cell>
          <cell r="D67">
            <v>1140000</v>
          </cell>
          <cell r="E67">
            <v>3508</v>
          </cell>
          <cell r="F67">
            <v>324.97149372862032</v>
          </cell>
          <cell r="G67">
            <v>829000</v>
          </cell>
          <cell r="H67">
            <v>618</v>
          </cell>
          <cell r="I67">
            <v>1341.4239482200646</v>
          </cell>
          <cell r="J67">
            <v>306000</v>
          </cell>
          <cell r="K67">
            <v>372</v>
          </cell>
          <cell r="L67">
            <v>822.58064516129036</v>
          </cell>
          <cell r="M67">
            <v>454000</v>
          </cell>
          <cell r="N67">
            <v>7143000</v>
          </cell>
          <cell r="O67">
            <v>6.3558728825423488E-2</v>
          </cell>
          <cell r="P67">
            <v>325000</v>
          </cell>
          <cell r="Q67">
            <v>4054000</v>
          </cell>
          <cell r="R67">
            <v>8.0167735569807594E-2</v>
          </cell>
          <cell r="S67">
            <v>403000</v>
          </cell>
          <cell r="T67">
            <v>2361000</v>
          </cell>
          <cell r="U67">
            <v>0.17069038542990259</v>
          </cell>
          <cell r="V67">
            <v>4379000</v>
          </cell>
          <cell r="W67">
            <v>12801000</v>
          </cell>
          <cell r="X67">
            <v>0.34208264979298492</v>
          </cell>
          <cell r="Y67">
            <v>2764000</v>
          </cell>
          <cell r="Z67">
            <v>12801000</v>
          </cell>
          <cell r="AA67">
            <v>0.21592063120068744</v>
          </cell>
          <cell r="AB67">
            <v>527000</v>
          </cell>
          <cell r="AC67">
            <v>12801000</v>
          </cell>
          <cell r="AD67">
            <v>4.1168658698539175E-2</v>
          </cell>
          <cell r="AE67">
            <v>3104000</v>
          </cell>
          <cell r="AF67">
            <v>12801000</v>
          </cell>
          <cell r="AG67">
            <v>0.24248105616748691</v>
          </cell>
          <cell r="AH67">
            <v>660000</v>
          </cell>
          <cell r="AI67">
            <v>12801000</v>
          </cell>
          <cell r="AJ67">
            <v>5.1558471994375438E-2</v>
          </cell>
          <cell r="AK67">
            <v>1367000</v>
          </cell>
          <cell r="AL67">
            <v>12801000</v>
          </cell>
          <cell r="AM67">
            <v>0.1067885321459261</v>
          </cell>
          <cell r="AN67">
            <v>9408000</v>
          </cell>
          <cell r="AO67">
            <v>8575</v>
          </cell>
          <cell r="AP67">
            <v>1097.1428571428571</v>
          </cell>
          <cell r="AQ67">
            <v>3736000</v>
          </cell>
          <cell r="AR67">
            <v>12066000</v>
          </cell>
          <cell r="AS67">
            <v>0.30963036631858115</v>
          </cell>
          <cell r="AT67">
            <v>4887000</v>
          </cell>
          <cell r="AU67">
            <v>12066000</v>
          </cell>
          <cell r="AV67">
            <v>0.40502237692690202</v>
          </cell>
          <cell r="AW67">
            <v>7000</v>
          </cell>
          <cell r="AX67">
            <v>12066000</v>
          </cell>
          <cell r="AY67">
            <v>5.801425493121167E-4</v>
          </cell>
          <cell r="AZ67">
            <v>2656000</v>
          </cell>
          <cell r="BA67">
            <v>12066000</v>
          </cell>
          <cell r="BB67">
            <v>0.22012265871042599</v>
          </cell>
          <cell r="BC67">
            <v>780000</v>
          </cell>
          <cell r="BD67">
            <v>12066000</v>
          </cell>
          <cell r="BE67">
            <v>6.4644455494778721E-2</v>
          </cell>
          <cell r="BF67">
            <v>9652000</v>
          </cell>
          <cell r="BG67">
            <v>8575</v>
          </cell>
          <cell r="BH67">
            <v>1125.5976676384839</v>
          </cell>
          <cell r="BI67">
            <v>4922000</v>
          </cell>
          <cell r="BJ67">
            <v>2295000</v>
          </cell>
          <cell r="BK67">
            <v>2.1446623093681918</v>
          </cell>
          <cell r="BL67">
            <v>91000</v>
          </cell>
          <cell r="BM67">
            <v>11638000</v>
          </cell>
          <cell r="BN67">
            <v>7.8192129231826769E-3</v>
          </cell>
          <cell r="BO67">
            <v>1275000</v>
          </cell>
          <cell r="BP67">
            <v>2028000</v>
          </cell>
          <cell r="BQ67">
            <v>0.62869822485207105</v>
          </cell>
          <cell r="BR67">
            <v>82</v>
          </cell>
          <cell r="BS67" t="str">
            <v>On Time</v>
          </cell>
          <cell r="BT67" t="str">
            <v>On Time</v>
          </cell>
          <cell r="BU67" t="str">
            <v>&lt;=2</v>
          </cell>
          <cell r="BV67">
            <v>142000</v>
          </cell>
          <cell r="BW67">
            <v>8575</v>
          </cell>
          <cell r="BX67">
            <v>16.559766763848398</v>
          </cell>
          <cell r="BY67">
            <v>43448</v>
          </cell>
          <cell r="BZ67">
            <v>8575</v>
          </cell>
          <cell r="CA67">
            <v>5.0668221574344026</v>
          </cell>
          <cell r="CB67">
            <v>607000</v>
          </cell>
          <cell r="CC67">
            <v>3306</v>
          </cell>
          <cell r="CD67">
            <v>183.60556563823351</v>
          </cell>
          <cell r="CE67">
            <v>350533</v>
          </cell>
          <cell r="CF67">
            <v>3169</v>
          </cell>
          <cell r="CG67">
            <v>110.61312716945409</v>
          </cell>
          <cell r="CH67">
            <v>1350000</v>
          </cell>
          <cell r="CI67">
            <v>8575</v>
          </cell>
          <cell r="CJ67">
            <v>157.43440233236151</v>
          </cell>
          <cell r="CK67">
            <v>1665000</v>
          </cell>
          <cell r="CL67">
            <v>8575</v>
          </cell>
          <cell r="CM67">
            <v>194.16909620991254</v>
          </cell>
          <cell r="CN67">
            <v>344.52190031027101</v>
          </cell>
          <cell r="CO67">
            <v>352</v>
          </cell>
          <cell r="CP67">
            <v>308.12791472351802</v>
          </cell>
          <cell r="CQ67">
            <v>310</v>
          </cell>
          <cell r="CR67">
            <v>345</v>
          </cell>
          <cell r="CS67">
            <v>8970</v>
          </cell>
          <cell r="CT67">
            <v>345</v>
          </cell>
          <cell r="CU67">
            <v>26</v>
          </cell>
          <cell r="CV67">
            <v>18</v>
          </cell>
          <cell r="CW67">
            <v>6000</v>
          </cell>
          <cell r="CX67">
            <v>177000</v>
          </cell>
          <cell r="CY67">
            <v>3.3898305084745763E-2</v>
          </cell>
          <cell r="CZ67">
            <v>208000</v>
          </cell>
          <cell r="DA67">
            <v>8575</v>
          </cell>
          <cell r="DB67">
            <v>24.25655976676385</v>
          </cell>
          <cell r="DC67">
            <v>333000</v>
          </cell>
          <cell r="DD67">
            <v>8575</v>
          </cell>
          <cell r="DE67">
            <v>38.833819241982511</v>
          </cell>
          <cell r="DF67">
            <v>305000</v>
          </cell>
          <cell r="DG67">
            <v>8575</v>
          </cell>
          <cell r="DH67">
            <v>35.568513119533527</v>
          </cell>
          <cell r="DI67">
            <v>2171.4</v>
          </cell>
          <cell r="DJ67">
            <v>3.9490651192778849</v>
          </cell>
          <cell r="DK67">
            <v>2.4197999520474411E-3</v>
          </cell>
          <cell r="DL67">
            <v>0.71</v>
          </cell>
          <cell r="DM67">
            <v>2.36</v>
          </cell>
        </row>
        <row r="68">
          <cell r="B68" t="str">
            <v>Tenterfield Shire Council</v>
          </cell>
          <cell r="C68">
            <v>10</v>
          </cell>
          <cell r="D68">
            <v>665000</v>
          </cell>
          <cell r="E68">
            <v>2740</v>
          </cell>
          <cell r="F68">
            <v>242.7007299270073</v>
          </cell>
          <cell r="G68">
            <v>1020000</v>
          </cell>
          <cell r="H68">
            <v>1292</v>
          </cell>
          <cell r="I68">
            <v>789.47368421052636</v>
          </cell>
          <cell r="J68">
            <v>132000</v>
          </cell>
          <cell r="K68">
            <v>225</v>
          </cell>
          <cell r="L68">
            <v>586.66666666666663</v>
          </cell>
          <cell r="M68">
            <v>291000</v>
          </cell>
          <cell r="N68">
            <v>4999000</v>
          </cell>
          <cell r="O68">
            <v>5.8211642328465693E-2</v>
          </cell>
          <cell r="P68">
            <v>132000</v>
          </cell>
          <cell r="Q68">
            <v>2827000</v>
          </cell>
          <cell r="R68">
            <v>4.6692607003891051E-2</v>
          </cell>
          <cell r="S68">
            <v>-311000</v>
          </cell>
          <cell r="T68">
            <v>2351000</v>
          </cell>
          <cell r="U68">
            <v>-0.13228413441088899</v>
          </cell>
          <cell r="V68">
            <v>2959000</v>
          </cell>
          <cell r="W68">
            <v>10673000</v>
          </cell>
          <cell r="X68">
            <v>0.27724163777756955</v>
          </cell>
          <cell r="Y68">
            <v>2040000</v>
          </cell>
          <cell r="Z68">
            <v>10673000</v>
          </cell>
          <cell r="AA68">
            <v>0.19113651269558699</v>
          </cell>
          <cell r="AB68">
            <v>449000</v>
          </cell>
          <cell r="AC68">
            <v>10673000</v>
          </cell>
          <cell r="AD68">
            <v>4.2068771666822824E-2</v>
          </cell>
          <cell r="AE68">
            <v>3780000</v>
          </cell>
          <cell r="AF68">
            <v>10673000</v>
          </cell>
          <cell r="AG68">
            <v>0.35416471470064648</v>
          </cell>
          <cell r="AH68">
            <v>1379000</v>
          </cell>
          <cell r="AI68">
            <v>10673000</v>
          </cell>
          <cell r="AJ68">
            <v>0.12920453480745808</v>
          </cell>
          <cell r="AK68">
            <v>66000</v>
          </cell>
          <cell r="AL68">
            <v>10673000</v>
          </cell>
          <cell r="AM68">
            <v>6.1838283519160498E-3</v>
          </cell>
          <cell r="AN68">
            <v>8438000</v>
          </cell>
          <cell r="AO68">
            <v>6867</v>
          </cell>
          <cell r="AP68">
            <v>1228.7753021697977</v>
          </cell>
          <cell r="AQ68">
            <v>4305000</v>
          </cell>
          <cell r="AR68">
            <v>13501000</v>
          </cell>
          <cell r="AS68">
            <v>0.31886526923931563</v>
          </cell>
          <cell r="AT68">
            <v>3382000</v>
          </cell>
          <cell r="AU68">
            <v>13501000</v>
          </cell>
          <cell r="AV68">
            <v>0.25049996296570626</v>
          </cell>
          <cell r="AW68">
            <v>37000</v>
          </cell>
          <cell r="AX68">
            <v>13501000</v>
          </cell>
          <cell r="AY68">
            <v>2.7405377379453376E-3</v>
          </cell>
          <cell r="AZ68">
            <v>5064000</v>
          </cell>
          <cell r="BA68">
            <v>13501000</v>
          </cell>
          <cell r="BB68">
            <v>0.37508332716095105</v>
          </cell>
          <cell r="BC68">
            <v>713000</v>
          </cell>
          <cell r="BD68">
            <v>13501000</v>
          </cell>
          <cell r="BE68">
            <v>5.2810902896081771E-2</v>
          </cell>
          <cell r="BF68">
            <v>11847000</v>
          </cell>
          <cell r="BG68">
            <v>6867</v>
          </cell>
          <cell r="BH68">
            <v>1725.2075141983398</v>
          </cell>
          <cell r="BI68">
            <v>5997000</v>
          </cell>
          <cell r="BJ68">
            <v>1257000</v>
          </cell>
          <cell r="BK68">
            <v>4.7708830548926011</v>
          </cell>
          <cell r="BL68">
            <v>141000</v>
          </cell>
          <cell r="BM68">
            <v>8082000</v>
          </cell>
          <cell r="BN68">
            <v>1.7446176688938383E-2</v>
          </cell>
          <cell r="BO68">
            <v>1692000</v>
          </cell>
          <cell r="BP68">
            <v>4548000</v>
          </cell>
          <cell r="BQ68">
            <v>0.37203166226912932</v>
          </cell>
          <cell r="BR68">
            <v>103</v>
          </cell>
          <cell r="BS68" t="str">
            <v>&lt;=4</v>
          </cell>
          <cell r="BT68" t="str">
            <v>&lt;=4</v>
          </cell>
          <cell r="BU68" t="str">
            <v>On Time</v>
          </cell>
          <cell r="BV68">
            <v>307000</v>
          </cell>
          <cell r="BW68">
            <v>6867</v>
          </cell>
          <cell r="BX68">
            <v>44.706567642347459</v>
          </cell>
          <cell r="BY68">
            <v>45889</v>
          </cell>
          <cell r="BZ68">
            <v>6867</v>
          </cell>
          <cell r="CA68">
            <v>6.6825396825396828</v>
          </cell>
          <cell r="CB68">
            <v>243000</v>
          </cell>
          <cell r="CC68">
            <v>1657</v>
          </cell>
          <cell r="CD68">
            <v>146.65057332528667</v>
          </cell>
          <cell r="CE68">
            <v>117000</v>
          </cell>
          <cell r="CF68">
            <v>1657</v>
          </cell>
          <cell r="CG68">
            <v>70.609535304767647</v>
          </cell>
          <cell r="CH68">
            <v>500000</v>
          </cell>
          <cell r="CI68">
            <v>6867</v>
          </cell>
          <cell r="CJ68">
            <v>72.811999417503998</v>
          </cell>
          <cell r="CK68">
            <v>1600000</v>
          </cell>
          <cell r="CL68">
            <v>6867</v>
          </cell>
          <cell r="CM68">
            <v>232.99839813601281</v>
          </cell>
          <cell r="CN68">
            <v>411.143996911594</v>
          </cell>
          <cell r="CO68">
            <v>554</v>
          </cell>
          <cell r="CP68">
            <v>331.44084701549798</v>
          </cell>
          <cell r="CQ68">
            <v>484</v>
          </cell>
          <cell r="CR68">
            <v>69</v>
          </cell>
          <cell r="CS68">
            <v>1797</v>
          </cell>
          <cell r="CT68">
            <v>69</v>
          </cell>
          <cell r="CU68">
            <v>26.043478260869566</v>
          </cell>
          <cell r="CV68">
            <v>18</v>
          </cell>
          <cell r="CW68">
            <v>14000</v>
          </cell>
          <cell r="CX68">
            <v>144000</v>
          </cell>
          <cell r="CY68">
            <v>9.7222222222222224E-2</v>
          </cell>
          <cell r="CZ68">
            <v>149000</v>
          </cell>
          <cell r="DA68">
            <v>6867</v>
          </cell>
          <cell r="DB68">
            <v>21.697975826416194</v>
          </cell>
          <cell r="DC68">
            <v>299000</v>
          </cell>
          <cell r="DD68">
            <v>6867</v>
          </cell>
          <cell r="DE68">
            <v>43.541575651667394</v>
          </cell>
          <cell r="DF68">
            <v>0</v>
          </cell>
          <cell r="DG68">
            <v>6867</v>
          </cell>
          <cell r="DH68">
            <v>0</v>
          </cell>
          <cell r="DI68">
            <v>7176.8</v>
          </cell>
          <cell r="DJ68">
            <v>0.95683312897112915</v>
          </cell>
          <cell r="DK68">
            <v>5.4167616705869115E-3</v>
          </cell>
          <cell r="DL68">
            <v>6.23</v>
          </cell>
          <cell r="DM68">
            <v>2.2799999999999998</v>
          </cell>
        </row>
        <row r="69">
          <cell r="B69" t="str">
            <v>Gunning Shire Council</v>
          </cell>
          <cell r="C69">
            <v>9</v>
          </cell>
          <cell r="D69">
            <v>182000</v>
          </cell>
          <cell r="E69">
            <v>632</v>
          </cell>
          <cell r="F69">
            <v>287.97468354430379</v>
          </cell>
          <cell r="G69">
            <v>822000</v>
          </cell>
          <cell r="H69">
            <v>937</v>
          </cell>
          <cell r="I69">
            <v>877.26787620064033</v>
          </cell>
          <cell r="J69">
            <v>21000</v>
          </cell>
          <cell r="K69">
            <v>63</v>
          </cell>
          <cell r="L69">
            <v>333.33333333333331</v>
          </cell>
          <cell r="M69">
            <v>54000</v>
          </cell>
          <cell r="N69">
            <v>1794000</v>
          </cell>
          <cell r="O69">
            <v>3.0100334448160536E-2</v>
          </cell>
          <cell r="P69">
            <v>53000</v>
          </cell>
          <cell r="Q69">
            <v>1244000</v>
          </cell>
          <cell r="R69">
            <v>4.2604501607717039E-2</v>
          </cell>
          <cell r="S69">
            <v>83000</v>
          </cell>
          <cell r="T69">
            <v>414000</v>
          </cell>
          <cell r="U69">
            <v>0.20048309178743962</v>
          </cell>
          <cell r="V69">
            <v>1297000</v>
          </cell>
          <cell r="W69">
            <v>5471000</v>
          </cell>
          <cell r="X69">
            <v>0.23706817766404678</v>
          </cell>
          <cell r="Y69">
            <v>497000</v>
          </cell>
          <cell r="Z69">
            <v>5471000</v>
          </cell>
          <cell r="AA69">
            <v>9.0842624748674827E-2</v>
          </cell>
          <cell r="AB69">
            <v>122000</v>
          </cell>
          <cell r="AC69">
            <v>5471000</v>
          </cell>
          <cell r="AD69">
            <v>2.2299396819594225E-2</v>
          </cell>
          <cell r="AE69">
            <v>2220000</v>
          </cell>
          <cell r="AF69">
            <v>5471000</v>
          </cell>
          <cell r="AG69">
            <v>0.40577590934015717</v>
          </cell>
          <cell r="AH69">
            <v>1201000</v>
          </cell>
          <cell r="AI69">
            <v>5471000</v>
          </cell>
          <cell r="AJ69">
            <v>0.21952111131420216</v>
          </cell>
          <cell r="AK69">
            <v>134000</v>
          </cell>
          <cell r="AL69">
            <v>5471000</v>
          </cell>
          <cell r="AM69">
            <v>2.4492780113324803E-2</v>
          </cell>
          <cell r="AN69">
            <v>3936000</v>
          </cell>
          <cell r="AO69">
            <v>2328</v>
          </cell>
          <cell r="AP69">
            <v>1690.7216494845361</v>
          </cell>
          <cell r="AQ69">
            <v>1180000</v>
          </cell>
          <cell r="AR69">
            <v>4286000</v>
          </cell>
          <cell r="AS69">
            <v>0.2753149790013999</v>
          </cell>
          <cell r="AT69">
            <v>1098000</v>
          </cell>
          <cell r="AU69">
            <v>4286000</v>
          </cell>
          <cell r="AV69">
            <v>0.25618292113859076</v>
          </cell>
          <cell r="AW69">
            <v>0</v>
          </cell>
          <cell r="AX69">
            <v>4286000</v>
          </cell>
          <cell r="AY69">
            <v>0</v>
          </cell>
          <cell r="AZ69">
            <v>1429000</v>
          </cell>
          <cell r="BA69">
            <v>4286000</v>
          </cell>
          <cell r="BB69">
            <v>0.3334111059262716</v>
          </cell>
          <cell r="BC69">
            <v>579000</v>
          </cell>
          <cell r="BD69">
            <v>4286000</v>
          </cell>
          <cell r="BE69">
            <v>0.13509099393373775</v>
          </cell>
          <cell r="BF69">
            <v>4199000</v>
          </cell>
          <cell r="BG69">
            <v>2328</v>
          </cell>
          <cell r="BH69">
            <v>1803.6941580756013</v>
          </cell>
          <cell r="BI69">
            <v>1966000</v>
          </cell>
          <cell r="BJ69">
            <v>394000</v>
          </cell>
          <cell r="BK69">
            <v>4.9898477157360404</v>
          </cell>
          <cell r="BL69">
            <v>0</v>
          </cell>
          <cell r="BM69">
            <v>3409000</v>
          </cell>
          <cell r="BN69">
            <v>0</v>
          </cell>
          <cell r="BO69">
            <v>1672000</v>
          </cell>
          <cell r="BP69">
            <v>1391000</v>
          </cell>
          <cell r="BQ69">
            <v>1.2020129403306974</v>
          </cell>
          <cell r="BR69">
            <v>34</v>
          </cell>
          <cell r="BS69" t="str">
            <v>On Time</v>
          </cell>
          <cell r="BT69" t="str">
            <v>On Time</v>
          </cell>
          <cell r="BU69" t="str">
            <v>&lt;=2</v>
          </cell>
          <cell r="BV69">
            <v>65000</v>
          </cell>
          <cell r="BW69">
            <v>2328</v>
          </cell>
          <cell r="BX69">
            <v>27.920962199312715</v>
          </cell>
          <cell r="BY69">
            <v>7827</v>
          </cell>
          <cell r="BZ69">
            <v>2328</v>
          </cell>
          <cell r="CA69">
            <v>3.3621134020618557</v>
          </cell>
          <cell r="CB69">
            <v>77000</v>
          </cell>
          <cell r="CC69">
            <v>304</v>
          </cell>
          <cell r="CD69">
            <v>253.28947368421052</v>
          </cell>
          <cell r="CE69">
            <v>71123</v>
          </cell>
          <cell r="CF69">
            <v>279</v>
          </cell>
          <cell r="CG69">
            <v>254.92114695340501</v>
          </cell>
          <cell r="CH69">
            <v>1027</v>
          </cell>
          <cell r="CI69">
            <v>2328</v>
          </cell>
          <cell r="CJ69">
            <v>0.44115120274914088</v>
          </cell>
          <cell r="CK69">
            <v>325000</v>
          </cell>
          <cell r="CL69">
            <v>2328</v>
          </cell>
          <cell r="CM69">
            <v>139.60481099656357</v>
          </cell>
          <cell r="CN69">
            <v>376.91001697792899</v>
          </cell>
          <cell r="CO69">
            <v>244</v>
          </cell>
          <cell r="CP69">
            <v>511.48999258710199</v>
          </cell>
          <cell r="CQ69">
            <v>406</v>
          </cell>
          <cell r="CR69">
            <v>86</v>
          </cell>
          <cell r="CS69">
            <v>2263</v>
          </cell>
          <cell r="CT69">
            <v>86</v>
          </cell>
          <cell r="CU69">
            <v>26.313953488372093</v>
          </cell>
          <cell r="CV69">
            <v>12.5</v>
          </cell>
          <cell r="CW69">
            <v>56000</v>
          </cell>
          <cell r="CX69">
            <v>185000</v>
          </cell>
          <cell r="CY69">
            <v>0.30270270270270272</v>
          </cell>
          <cell r="CZ69">
            <v>202000</v>
          </cell>
          <cell r="DA69">
            <v>2328</v>
          </cell>
          <cell r="DB69">
            <v>86.769759450171819</v>
          </cell>
          <cell r="DC69">
            <v>98000</v>
          </cell>
          <cell r="DD69">
            <v>2328</v>
          </cell>
          <cell r="DE69">
            <v>42.096219931271477</v>
          </cell>
          <cell r="DF69">
            <v>17000</v>
          </cell>
          <cell r="DG69">
            <v>2328</v>
          </cell>
          <cell r="DH69">
            <v>7.3024054982817868</v>
          </cell>
          <cell r="DI69">
            <v>2210</v>
          </cell>
          <cell r="DJ69">
            <v>1.0533936651583711</v>
          </cell>
          <cell r="DK69">
            <v>1.1205958650819525E-3</v>
          </cell>
          <cell r="DL69">
            <v>1.2</v>
          </cell>
          <cell r="DM69">
            <v>3.25</v>
          </cell>
        </row>
        <row r="70">
          <cell r="B70" t="str">
            <v>Carrathool Shire Council</v>
          </cell>
          <cell r="C70">
            <v>9</v>
          </cell>
          <cell r="D70">
            <v>206000</v>
          </cell>
          <cell r="E70">
            <v>941</v>
          </cell>
          <cell r="F70">
            <v>218.91604675876727</v>
          </cell>
          <cell r="G70">
            <v>1731000</v>
          </cell>
          <cell r="H70">
            <v>748</v>
          </cell>
          <cell r="I70">
            <v>2314.1711229946523</v>
          </cell>
          <cell r="J70">
            <v>77000</v>
          </cell>
          <cell r="K70">
            <v>186</v>
          </cell>
          <cell r="L70">
            <v>413.97849462365593</v>
          </cell>
          <cell r="M70">
            <v>737000</v>
          </cell>
          <cell r="N70">
            <v>6631000</v>
          </cell>
          <cell r="O70">
            <v>0.11114462373699291</v>
          </cell>
          <cell r="P70">
            <v>201000</v>
          </cell>
          <cell r="Q70">
            <v>2605000</v>
          </cell>
          <cell r="R70">
            <v>7.7159309021113245E-2</v>
          </cell>
          <cell r="S70">
            <v>-499000</v>
          </cell>
          <cell r="T70">
            <v>4324000</v>
          </cell>
          <cell r="U70">
            <v>-0.11540240518038852</v>
          </cell>
          <cell r="V70">
            <v>2806000</v>
          </cell>
          <cell r="W70">
            <v>14765000</v>
          </cell>
          <cell r="X70">
            <v>0.19004402302742973</v>
          </cell>
          <cell r="Y70">
            <v>3825000</v>
          </cell>
          <cell r="Z70">
            <v>14765000</v>
          </cell>
          <cell r="AA70">
            <v>0.2590585844903488</v>
          </cell>
          <cell r="AB70">
            <v>307000</v>
          </cell>
          <cell r="AC70">
            <v>14765000</v>
          </cell>
          <cell r="AD70">
            <v>2.0792414493735183E-2</v>
          </cell>
          <cell r="AE70">
            <v>6069000</v>
          </cell>
          <cell r="AF70">
            <v>14765000</v>
          </cell>
          <cell r="AG70">
            <v>0.41103962072468675</v>
          </cell>
          <cell r="AH70">
            <v>378000</v>
          </cell>
          <cell r="AI70">
            <v>14765000</v>
          </cell>
          <cell r="AJ70">
            <v>2.5601083643752118E-2</v>
          </cell>
          <cell r="AK70">
            <v>1380000</v>
          </cell>
          <cell r="AL70">
            <v>14765000</v>
          </cell>
          <cell r="AM70">
            <v>9.3464273620047403E-2</v>
          </cell>
          <cell r="AN70">
            <v>12084000</v>
          </cell>
          <cell r="AO70">
            <v>3346</v>
          </cell>
          <cell r="AP70">
            <v>3611.4763897190674</v>
          </cell>
          <cell r="AQ70">
            <v>4368000</v>
          </cell>
          <cell r="AR70">
            <v>13322000</v>
          </cell>
          <cell r="AS70">
            <v>0.32787869689235849</v>
          </cell>
          <cell r="AT70">
            <v>5057000</v>
          </cell>
          <cell r="AU70">
            <v>13322000</v>
          </cell>
          <cell r="AV70">
            <v>0.37959765800930789</v>
          </cell>
          <cell r="AW70">
            <v>152000</v>
          </cell>
          <cell r="AX70">
            <v>13322000</v>
          </cell>
          <cell r="AY70">
            <v>1.1409698243506981E-2</v>
          </cell>
          <cell r="AZ70">
            <v>2728000</v>
          </cell>
          <cell r="BA70">
            <v>13322000</v>
          </cell>
          <cell r="BB70">
            <v>0.20477405794925688</v>
          </cell>
          <cell r="BC70">
            <v>1017000</v>
          </cell>
          <cell r="BD70">
            <v>13322000</v>
          </cell>
          <cell r="BE70">
            <v>7.6339888905569739E-2</v>
          </cell>
          <cell r="BF70">
            <v>12248000</v>
          </cell>
          <cell r="BG70">
            <v>3346</v>
          </cell>
          <cell r="BH70">
            <v>3660.490137477585</v>
          </cell>
          <cell r="BI70">
            <v>6313000</v>
          </cell>
          <cell r="BJ70">
            <v>1983000</v>
          </cell>
          <cell r="BK70">
            <v>3.1835602622289461</v>
          </cell>
          <cell r="BL70">
            <v>591000</v>
          </cell>
          <cell r="BM70">
            <v>11887000</v>
          </cell>
          <cell r="BN70">
            <v>4.9718179523849583E-2</v>
          </cell>
          <cell r="BO70">
            <v>2406000</v>
          </cell>
          <cell r="BP70">
            <v>2506000</v>
          </cell>
          <cell r="BQ70">
            <v>0.96009577015163605</v>
          </cell>
          <cell r="BR70">
            <v>86</v>
          </cell>
          <cell r="BS70" t="str">
            <v>On Time</v>
          </cell>
          <cell r="BT70" t="str">
            <v>On Time</v>
          </cell>
          <cell r="BU70" t="str">
            <v>On Time</v>
          </cell>
          <cell r="BV70">
            <v>362000</v>
          </cell>
          <cell r="BW70">
            <v>3346</v>
          </cell>
          <cell r="BX70">
            <v>108.18888224745966</v>
          </cell>
          <cell r="BY70">
            <v>30318</v>
          </cell>
          <cell r="BZ70">
            <v>3346</v>
          </cell>
          <cell r="CA70">
            <v>9.0609683203825462</v>
          </cell>
          <cell r="CB70">
            <v>56000</v>
          </cell>
          <cell r="CC70">
            <v>568</v>
          </cell>
          <cell r="CD70">
            <v>98.591549295774641</v>
          </cell>
          <cell r="CE70">
            <v>57272</v>
          </cell>
          <cell r="CF70">
            <v>675</v>
          </cell>
          <cell r="CG70">
            <v>84.847407407407403</v>
          </cell>
          <cell r="CH70">
            <v>0</v>
          </cell>
          <cell r="CI70">
            <v>3346</v>
          </cell>
          <cell r="CJ70">
            <v>0</v>
          </cell>
          <cell r="CK70">
            <v>0</v>
          </cell>
          <cell r="CL70">
            <v>3346</v>
          </cell>
          <cell r="CM70">
            <v>0</v>
          </cell>
          <cell r="CN70">
            <v>506.14122197250799</v>
          </cell>
          <cell r="CO70">
            <v>673</v>
          </cell>
          <cell r="CP70">
            <v>129.13016486169599</v>
          </cell>
          <cell r="CQ70">
            <v>186</v>
          </cell>
          <cell r="CR70">
            <v>49</v>
          </cell>
          <cell r="CS70">
            <v>1292</v>
          </cell>
          <cell r="CT70">
            <v>49</v>
          </cell>
          <cell r="CU70">
            <v>26.367346938775512</v>
          </cell>
          <cell r="CV70">
            <v>13</v>
          </cell>
          <cell r="CW70">
            <v>9000</v>
          </cell>
          <cell r="CX70">
            <v>10000</v>
          </cell>
          <cell r="CY70">
            <v>0.9</v>
          </cell>
          <cell r="CZ70">
            <v>372000</v>
          </cell>
          <cell r="DA70">
            <v>3346</v>
          </cell>
          <cell r="DB70">
            <v>111.17752540346683</v>
          </cell>
          <cell r="DC70">
            <v>232000</v>
          </cell>
          <cell r="DD70">
            <v>3346</v>
          </cell>
          <cell r="DE70">
            <v>69.336521219366404</v>
          </cell>
          <cell r="DF70">
            <v>239000</v>
          </cell>
          <cell r="DG70">
            <v>3346</v>
          </cell>
          <cell r="DH70">
            <v>71.428571428571431</v>
          </cell>
          <cell r="DI70">
            <v>18939.5</v>
          </cell>
          <cell r="DJ70">
            <v>0.1766678106602603</v>
          </cell>
          <cell r="DK70">
            <v>7.3937300968691666E-3</v>
          </cell>
          <cell r="DL70">
            <v>4.95</v>
          </cell>
          <cell r="DM70">
            <v>1.65</v>
          </cell>
        </row>
        <row r="71">
          <cell r="B71" t="str">
            <v>Barraba Shire Council</v>
          </cell>
          <cell r="C71">
            <v>9</v>
          </cell>
          <cell r="D71">
            <v>165000</v>
          </cell>
          <cell r="E71">
            <v>761</v>
          </cell>
          <cell r="F71">
            <v>216.81997371879106</v>
          </cell>
          <cell r="G71">
            <v>754000</v>
          </cell>
          <cell r="H71">
            <v>415</v>
          </cell>
          <cell r="I71">
            <v>1816.867469879518</v>
          </cell>
          <cell r="J71">
            <v>60000</v>
          </cell>
          <cell r="K71">
            <v>122</v>
          </cell>
          <cell r="L71">
            <v>491.80327868852459</v>
          </cell>
          <cell r="M71">
            <v>187000</v>
          </cell>
          <cell r="N71">
            <v>2443000</v>
          </cell>
          <cell r="O71">
            <v>7.6545231273024969E-2</v>
          </cell>
          <cell r="P71">
            <v>68000</v>
          </cell>
          <cell r="Q71">
            <v>1485000</v>
          </cell>
          <cell r="R71">
            <v>4.5791245791245792E-2</v>
          </cell>
          <cell r="S71">
            <v>-284000</v>
          </cell>
          <cell r="T71">
            <v>1174000</v>
          </cell>
          <cell r="U71">
            <v>-0.24190800681431004</v>
          </cell>
          <cell r="V71">
            <v>1553000</v>
          </cell>
          <cell r="W71">
            <v>4649000</v>
          </cell>
          <cell r="X71">
            <v>0.33405033340503332</v>
          </cell>
          <cell r="Y71">
            <v>890000</v>
          </cell>
          <cell r="Z71">
            <v>4649000</v>
          </cell>
          <cell r="AA71">
            <v>0.19143901914390191</v>
          </cell>
          <cell r="AB71">
            <v>115000</v>
          </cell>
          <cell r="AC71">
            <v>4649000</v>
          </cell>
          <cell r="AD71">
            <v>2.4736502473650248E-2</v>
          </cell>
          <cell r="AE71">
            <v>1641000</v>
          </cell>
          <cell r="AF71">
            <v>4649000</v>
          </cell>
          <cell r="AG71">
            <v>0.35297913529791353</v>
          </cell>
          <cell r="AH71">
            <v>380000</v>
          </cell>
          <cell r="AI71">
            <v>4649000</v>
          </cell>
          <cell r="AJ71">
            <v>8.1738008173800822E-2</v>
          </cell>
          <cell r="AK71">
            <v>70000</v>
          </cell>
          <cell r="AL71">
            <v>4649000</v>
          </cell>
          <cell r="AM71">
            <v>1.5057001505700151E-2</v>
          </cell>
          <cell r="AN71">
            <v>4124000</v>
          </cell>
          <cell r="AO71">
            <v>2230</v>
          </cell>
          <cell r="AP71">
            <v>1849.3273542600896</v>
          </cell>
          <cell r="AQ71">
            <v>1900000</v>
          </cell>
          <cell r="AR71">
            <v>4466000</v>
          </cell>
          <cell r="AS71">
            <v>0.42543663233318407</v>
          </cell>
          <cell r="AT71">
            <v>765000</v>
          </cell>
          <cell r="AU71">
            <v>4466000</v>
          </cell>
          <cell r="AV71">
            <v>0.17129422301836095</v>
          </cell>
          <cell r="AW71">
            <v>47000</v>
          </cell>
          <cell r="AX71">
            <v>4466000</v>
          </cell>
          <cell r="AY71">
            <v>1.0523958799820869E-2</v>
          </cell>
          <cell r="AZ71">
            <v>1190000</v>
          </cell>
          <cell r="BA71">
            <v>4466000</v>
          </cell>
          <cell r="BB71">
            <v>0.2664576802507837</v>
          </cell>
          <cell r="BC71">
            <v>564000</v>
          </cell>
          <cell r="BD71">
            <v>4466000</v>
          </cell>
          <cell r="BE71">
            <v>0.12628750559785043</v>
          </cell>
          <cell r="BF71">
            <v>3794000</v>
          </cell>
          <cell r="BG71">
            <v>2230</v>
          </cell>
          <cell r="BH71">
            <v>1701.3452914798206</v>
          </cell>
          <cell r="BI71">
            <v>1819000</v>
          </cell>
          <cell r="BJ71">
            <v>331000</v>
          </cell>
          <cell r="BK71">
            <v>5.4954682779456192</v>
          </cell>
          <cell r="BL71">
            <v>158000</v>
          </cell>
          <cell r="BM71">
            <v>3860000</v>
          </cell>
          <cell r="BN71">
            <v>4.093264248704663E-2</v>
          </cell>
          <cell r="BO71">
            <v>1300000</v>
          </cell>
          <cell r="BP71">
            <v>1111000</v>
          </cell>
          <cell r="BQ71">
            <v>1.1701170117011701</v>
          </cell>
          <cell r="BR71">
            <v>42</v>
          </cell>
          <cell r="BS71" t="str">
            <v>&lt;=4</v>
          </cell>
          <cell r="BT71" t="str">
            <v>&lt;=4</v>
          </cell>
          <cell r="BU71" t="str">
            <v>&lt;=2</v>
          </cell>
          <cell r="BV71">
            <v>77000</v>
          </cell>
          <cell r="BW71">
            <v>2230</v>
          </cell>
          <cell r="BX71">
            <v>34.529147982062781</v>
          </cell>
          <cell r="BY71">
            <v>18746</v>
          </cell>
          <cell r="BZ71">
            <v>2230</v>
          </cell>
          <cell r="CA71">
            <v>8.406278026905829</v>
          </cell>
          <cell r="CB71">
            <v>77000</v>
          </cell>
          <cell r="CC71">
            <v>573</v>
          </cell>
          <cell r="CD71">
            <v>134.3804537521815</v>
          </cell>
          <cell r="CE71">
            <v>55337</v>
          </cell>
          <cell r="CF71">
            <v>573</v>
          </cell>
          <cell r="CG71">
            <v>96.574171029668406</v>
          </cell>
          <cell r="CH71">
            <v>354580</v>
          </cell>
          <cell r="CI71">
            <v>2230</v>
          </cell>
          <cell r="CJ71" t="str">
            <v>N/A</v>
          </cell>
          <cell r="CK71">
            <v>457000</v>
          </cell>
          <cell r="CL71">
            <v>2230</v>
          </cell>
          <cell r="CM71">
            <v>204.93273542600897</v>
          </cell>
          <cell r="CN71">
            <v>516.96363192579895</v>
          </cell>
          <cell r="CO71">
            <v>491</v>
          </cell>
          <cell r="CP71">
            <v>263.09182209469202</v>
          </cell>
          <cell r="CQ71">
            <v>349.59720322237399</v>
          </cell>
          <cell r="CR71">
            <v>15</v>
          </cell>
          <cell r="CS71">
            <v>399</v>
          </cell>
          <cell r="CT71">
            <v>15</v>
          </cell>
          <cell r="CU71">
            <v>26.6</v>
          </cell>
          <cell r="CV71">
            <v>14</v>
          </cell>
          <cell r="CW71">
            <v>0</v>
          </cell>
          <cell r="CX71">
            <v>21000</v>
          </cell>
          <cell r="CY71">
            <v>0</v>
          </cell>
          <cell r="CZ71">
            <v>151000</v>
          </cell>
          <cell r="DA71">
            <v>2230</v>
          </cell>
          <cell r="DB71">
            <v>67.713004484304932</v>
          </cell>
          <cell r="DC71">
            <v>249000</v>
          </cell>
          <cell r="DD71">
            <v>2230</v>
          </cell>
          <cell r="DE71">
            <v>111.65919282511211</v>
          </cell>
          <cell r="DF71">
            <v>77000</v>
          </cell>
          <cell r="DG71">
            <v>2230</v>
          </cell>
          <cell r="DH71">
            <v>34.529147982062781</v>
          </cell>
          <cell r="DI71">
            <v>3068.7</v>
          </cell>
          <cell r="DJ71">
            <v>0.72669208459608303</v>
          </cell>
          <cell r="DK71">
            <v>-1.135181091939319E-2</v>
          </cell>
          <cell r="DL71">
            <v>3.2</v>
          </cell>
          <cell r="DM71">
            <v>1.74</v>
          </cell>
        </row>
        <row r="72">
          <cell r="B72" t="str">
            <v>Walgett Shire Council</v>
          </cell>
          <cell r="C72">
            <v>10</v>
          </cell>
          <cell r="D72">
            <v>512000</v>
          </cell>
          <cell r="E72">
            <v>2060</v>
          </cell>
          <cell r="F72">
            <v>248.54368932038835</v>
          </cell>
          <cell r="G72">
            <v>2396000</v>
          </cell>
          <cell r="H72">
            <v>903</v>
          </cell>
          <cell r="I72">
            <v>2653.3776301218163</v>
          </cell>
          <cell r="J72">
            <v>0</v>
          </cell>
          <cell r="K72">
            <v>0</v>
          </cell>
          <cell r="L72" t="str">
            <v>N/A</v>
          </cell>
          <cell r="M72">
            <v>880000</v>
          </cell>
          <cell r="N72">
            <v>8385000</v>
          </cell>
          <cell r="O72">
            <v>0.10494931425163984</v>
          </cell>
          <cell r="P72">
            <v>207000</v>
          </cell>
          <cell r="Q72">
            <v>4655000</v>
          </cell>
          <cell r="R72">
            <v>4.4468313641245975E-2</v>
          </cell>
          <cell r="S72">
            <v>452000</v>
          </cell>
          <cell r="T72">
            <v>3071000</v>
          </cell>
          <cell r="U72">
            <v>0.14718332790621946</v>
          </cell>
          <cell r="V72">
            <v>4862000</v>
          </cell>
          <cell r="W72">
            <v>16903000</v>
          </cell>
          <cell r="X72">
            <v>0.28764124711589656</v>
          </cell>
          <cell r="Y72">
            <v>3523000</v>
          </cell>
          <cell r="Z72">
            <v>16903000</v>
          </cell>
          <cell r="AA72">
            <v>0.2084245400224812</v>
          </cell>
          <cell r="AB72">
            <v>414000</v>
          </cell>
          <cell r="AC72">
            <v>16903000</v>
          </cell>
          <cell r="AD72">
            <v>2.4492693604685558E-2</v>
          </cell>
          <cell r="AE72">
            <v>6109000</v>
          </cell>
          <cell r="AF72">
            <v>16903000</v>
          </cell>
          <cell r="AG72">
            <v>0.36141513340827069</v>
          </cell>
          <cell r="AH72">
            <v>1712000</v>
          </cell>
          <cell r="AI72">
            <v>16903000</v>
          </cell>
          <cell r="AJ72">
            <v>0.10128379577589777</v>
          </cell>
          <cell r="AK72">
            <v>283000</v>
          </cell>
          <cell r="AL72">
            <v>16903000</v>
          </cell>
          <cell r="AM72">
            <v>1.6742590072768147E-2</v>
          </cell>
          <cell r="AN72">
            <v>15106000</v>
          </cell>
          <cell r="AO72">
            <v>8281</v>
          </cell>
          <cell r="AP72">
            <v>1824.1758241758241</v>
          </cell>
          <cell r="AQ72">
            <v>5046000</v>
          </cell>
          <cell r="AR72">
            <v>15107000</v>
          </cell>
          <cell r="AS72">
            <v>0.3340173429535977</v>
          </cell>
          <cell r="AT72">
            <v>5580000</v>
          </cell>
          <cell r="AU72">
            <v>15107000</v>
          </cell>
          <cell r="AV72">
            <v>0.36936519494274178</v>
          </cell>
          <cell r="AW72">
            <v>136000</v>
          </cell>
          <cell r="AX72">
            <v>15107000</v>
          </cell>
          <cell r="AY72">
            <v>9.002449195737075E-3</v>
          </cell>
          <cell r="AZ72">
            <v>2626000</v>
          </cell>
          <cell r="BA72">
            <v>15107000</v>
          </cell>
          <cell r="BB72">
            <v>0.17382670285298207</v>
          </cell>
          <cell r="BC72">
            <v>1719000</v>
          </cell>
          <cell r="BD72">
            <v>15107000</v>
          </cell>
          <cell r="BE72">
            <v>0.11378831005494142</v>
          </cell>
          <cell r="BF72">
            <v>13194000</v>
          </cell>
          <cell r="BG72">
            <v>8281</v>
          </cell>
          <cell r="BH72">
            <v>1593.2858350440767</v>
          </cell>
          <cell r="BI72">
            <v>5632000</v>
          </cell>
          <cell r="BJ72">
            <v>2314000</v>
          </cell>
          <cell r="BK72">
            <v>2.4338807260155573</v>
          </cell>
          <cell r="BL72">
            <v>796000</v>
          </cell>
          <cell r="BM72">
            <v>12504000</v>
          </cell>
          <cell r="BN72">
            <v>6.3659628918746006E-2</v>
          </cell>
          <cell r="BO72">
            <v>1589000</v>
          </cell>
          <cell r="BP72">
            <v>1826000</v>
          </cell>
          <cell r="BQ72">
            <v>0.87020810514786417</v>
          </cell>
          <cell r="BR72">
            <v>95</v>
          </cell>
          <cell r="BS72" t="str">
            <v>&lt;=2</v>
          </cell>
          <cell r="BT72" t="str">
            <v>&lt;=2</v>
          </cell>
          <cell r="BU72" t="str">
            <v>On Time</v>
          </cell>
          <cell r="BV72">
            <v>207000</v>
          </cell>
          <cell r="BW72">
            <v>8281</v>
          </cell>
          <cell r="BX72">
            <v>24.996981040937087</v>
          </cell>
          <cell r="BY72">
            <v>14278</v>
          </cell>
          <cell r="BZ72">
            <v>8281</v>
          </cell>
          <cell r="CA72">
            <v>1.7241879000120759</v>
          </cell>
          <cell r="CB72">
            <v>456000</v>
          </cell>
          <cell r="CC72">
            <v>1639</v>
          </cell>
          <cell r="CD72">
            <v>278.21842586943256</v>
          </cell>
          <cell r="CE72">
            <v>211171</v>
          </cell>
          <cell r="CF72">
            <v>1639</v>
          </cell>
          <cell r="CG72">
            <v>128.84136668700427</v>
          </cell>
          <cell r="CH72">
            <v>550000</v>
          </cell>
          <cell r="CI72">
            <v>8281</v>
          </cell>
          <cell r="CJ72">
            <v>66.417099384132356</v>
          </cell>
          <cell r="CK72">
            <v>5050000</v>
          </cell>
          <cell r="CL72">
            <v>8281</v>
          </cell>
          <cell r="CM72">
            <v>609.82973070885157</v>
          </cell>
          <cell r="CN72">
            <v>701.81777125437497</v>
          </cell>
          <cell r="CO72">
            <v>862.17880654066698</v>
          </cell>
          <cell r="CP72">
            <v>340.15520083631498</v>
          </cell>
          <cell r="CQ72">
            <v>450.34037353813898</v>
          </cell>
          <cell r="CR72">
            <v>83</v>
          </cell>
          <cell r="CS72">
            <v>2211</v>
          </cell>
          <cell r="CT72">
            <v>83</v>
          </cell>
          <cell r="CU72">
            <v>26.638554216867469</v>
          </cell>
          <cell r="CV72">
            <v>25</v>
          </cell>
          <cell r="CW72">
            <v>0</v>
          </cell>
          <cell r="CX72">
            <v>140000</v>
          </cell>
          <cell r="CY72">
            <v>0</v>
          </cell>
          <cell r="CZ72">
            <v>82000</v>
          </cell>
          <cell r="DA72">
            <v>8281</v>
          </cell>
          <cell r="DB72">
            <v>9.9021857263615498</v>
          </cell>
          <cell r="DC72">
            <v>1103000</v>
          </cell>
          <cell r="DD72">
            <v>8281</v>
          </cell>
          <cell r="DE72">
            <v>133.1964738558145</v>
          </cell>
          <cell r="DF72">
            <v>1668000</v>
          </cell>
          <cell r="DG72">
            <v>8281</v>
          </cell>
          <cell r="DH72">
            <v>201.42494867769594</v>
          </cell>
          <cell r="DI72">
            <v>22336.2</v>
          </cell>
          <cell r="DJ72">
            <v>0.37074345681002141</v>
          </cell>
          <cell r="DK72">
            <v>-1.3470330108629192E-3</v>
          </cell>
          <cell r="DL72">
            <v>22.27</v>
          </cell>
          <cell r="DM72">
            <v>6.43</v>
          </cell>
        </row>
        <row r="73">
          <cell r="B73" t="str">
            <v>Kyogle Council</v>
          </cell>
          <cell r="C73">
            <v>10</v>
          </cell>
          <cell r="D73">
            <v>1164000</v>
          </cell>
          <cell r="E73">
            <v>2616</v>
          </cell>
          <cell r="F73">
            <v>444.95412844036696</v>
          </cell>
          <cell r="G73">
            <v>1741000</v>
          </cell>
          <cell r="H73">
            <v>1930</v>
          </cell>
          <cell r="I73">
            <v>902.07253886010358</v>
          </cell>
          <cell r="J73">
            <v>143000</v>
          </cell>
          <cell r="K73">
            <v>206</v>
          </cell>
          <cell r="L73">
            <v>694.17475728155341</v>
          </cell>
          <cell r="M73">
            <v>1395000</v>
          </cell>
          <cell r="N73">
            <v>9745000</v>
          </cell>
          <cell r="O73">
            <v>0.14315033350436121</v>
          </cell>
          <cell r="P73">
            <v>367000</v>
          </cell>
          <cell r="Q73">
            <v>3945000</v>
          </cell>
          <cell r="R73">
            <v>9.3029150823827636E-2</v>
          </cell>
          <cell r="S73">
            <v>465000</v>
          </cell>
          <cell r="T73">
            <v>4968000</v>
          </cell>
          <cell r="U73">
            <v>9.359903381642512E-2</v>
          </cell>
          <cell r="V73">
            <v>4312000</v>
          </cell>
          <cell r="W73">
            <v>15626000</v>
          </cell>
          <cell r="X73">
            <v>0.27595033917829259</v>
          </cell>
          <cell r="Y73">
            <v>5433000</v>
          </cell>
          <cell r="Z73">
            <v>15626000</v>
          </cell>
          <cell r="AA73">
            <v>0.34768974785613721</v>
          </cell>
          <cell r="AB73">
            <v>374000</v>
          </cell>
          <cell r="AC73">
            <v>15626000</v>
          </cell>
          <cell r="AD73">
            <v>2.3934468194035583E-2</v>
          </cell>
          <cell r="AE73">
            <v>4240000</v>
          </cell>
          <cell r="AF73">
            <v>15626000</v>
          </cell>
          <cell r="AG73">
            <v>0.27134263407141945</v>
          </cell>
          <cell r="AH73">
            <v>1087000</v>
          </cell>
          <cell r="AI73">
            <v>15626000</v>
          </cell>
          <cell r="AJ73">
            <v>6.956354793293229E-2</v>
          </cell>
          <cell r="AK73">
            <v>180000</v>
          </cell>
          <cell r="AL73">
            <v>15626000</v>
          </cell>
          <cell r="AM73">
            <v>1.1519262767182901E-2</v>
          </cell>
          <cell r="AN73">
            <v>13161000</v>
          </cell>
          <cell r="AO73">
            <v>9770</v>
          </cell>
          <cell r="AP73">
            <v>1347.0829068577277</v>
          </cell>
          <cell r="AQ73">
            <v>4359000</v>
          </cell>
          <cell r="AR73">
            <v>13847000</v>
          </cell>
          <cell r="AS73">
            <v>0.31479742904600272</v>
          </cell>
          <cell r="AT73">
            <v>4251000</v>
          </cell>
          <cell r="AU73">
            <v>13847000</v>
          </cell>
          <cell r="AV73">
            <v>0.30699790568354157</v>
          </cell>
          <cell r="AW73">
            <v>150000</v>
          </cell>
          <cell r="AX73">
            <v>13847000</v>
          </cell>
          <cell r="AY73">
            <v>1.0832671336751643E-2</v>
          </cell>
          <cell r="AZ73">
            <v>4123000</v>
          </cell>
          <cell r="BA73">
            <v>13847000</v>
          </cell>
          <cell r="BB73">
            <v>0.29775402614284685</v>
          </cell>
          <cell r="BC73">
            <v>964000</v>
          </cell>
          <cell r="BD73">
            <v>13847000</v>
          </cell>
          <cell r="BE73">
            <v>6.961796779085723E-2</v>
          </cell>
          <cell r="BF73">
            <v>12591000</v>
          </cell>
          <cell r="BG73">
            <v>9770</v>
          </cell>
          <cell r="BH73">
            <v>1288.7410440122826</v>
          </cell>
          <cell r="BI73">
            <v>8232000</v>
          </cell>
          <cell r="BJ73">
            <v>2169000</v>
          </cell>
          <cell r="BK73">
            <v>3.7952973720608574</v>
          </cell>
          <cell r="BL73">
            <v>447000</v>
          </cell>
          <cell r="BM73">
            <v>12871000</v>
          </cell>
          <cell r="BN73">
            <v>3.4729236267578276E-2</v>
          </cell>
          <cell r="BO73">
            <v>-10452000</v>
          </cell>
          <cell r="BP73">
            <v>3615000</v>
          </cell>
          <cell r="BQ73">
            <v>-2.8912863070539419</v>
          </cell>
          <cell r="BR73">
            <v>103</v>
          </cell>
          <cell r="BS73" t="str">
            <v>On Time</v>
          </cell>
          <cell r="BT73" t="str">
            <v>On Time</v>
          </cell>
          <cell r="BU73" t="str">
            <v>On Time</v>
          </cell>
          <cell r="BV73">
            <v>182000</v>
          </cell>
          <cell r="BW73">
            <v>9770</v>
          </cell>
          <cell r="BX73">
            <v>18.628454452405322</v>
          </cell>
          <cell r="BY73">
            <v>47667</v>
          </cell>
          <cell r="BZ73">
            <v>9770</v>
          </cell>
          <cell r="CA73">
            <v>4.8789150460593653</v>
          </cell>
          <cell r="CB73">
            <v>393000</v>
          </cell>
          <cell r="CC73">
            <v>1934</v>
          </cell>
          <cell r="CD73">
            <v>203.20579110651499</v>
          </cell>
          <cell r="CE73">
            <v>79638</v>
          </cell>
          <cell r="CF73">
            <v>1934</v>
          </cell>
          <cell r="CG73">
            <v>41.177869700103415</v>
          </cell>
          <cell r="CH73">
            <v>0</v>
          </cell>
          <cell r="CI73">
            <v>9770</v>
          </cell>
          <cell r="CJ73" t="str">
            <v>N/A</v>
          </cell>
          <cell r="CK73">
            <v>0</v>
          </cell>
          <cell r="CL73">
            <v>9770</v>
          </cell>
          <cell r="CM73" t="str">
            <v>N/A</v>
          </cell>
          <cell r="CN73">
            <v>276.054374346462</v>
          </cell>
          <cell r="CO73">
            <v>406</v>
          </cell>
          <cell r="CP73">
            <v>341.867854925308</v>
          </cell>
          <cell r="CQ73">
            <v>451</v>
          </cell>
          <cell r="CR73">
            <v>182</v>
          </cell>
          <cell r="CS73">
            <v>4849</v>
          </cell>
          <cell r="CT73">
            <v>182</v>
          </cell>
          <cell r="CU73">
            <v>26.642857142857142</v>
          </cell>
          <cell r="CV73">
            <v>19.5</v>
          </cell>
          <cell r="CW73">
            <v>12000</v>
          </cell>
          <cell r="CX73">
            <v>239000</v>
          </cell>
          <cell r="CY73">
            <v>5.0209205020920501E-2</v>
          </cell>
          <cell r="CZ73">
            <v>178000</v>
          </cell>
          <cell r="DA73">
            <v>9770</v>
          </cell>
          <cell r="DB73">
            <v>18.219037871033777</v>
          </cell>
          <cell r="DC73">
            <v>360000</v>
          </cell>
          <cell r="DD73">
            <v>9770</v>
          </cell>
          <cell r="DE73">
            <v>36.847492323439099</v>
          </cell>
          <cell r="DF73">
            <v>94000</v>
          </cell>
          <cell r="DG73">
            <v>9770</v>
          </cell>
          <cell r="DH73">
            <v>9.6212896622313195</v>
          </cell>
          <cell r="DI73">
            <v>3589.1</v>
          </cell>
          <cell r="DJ73">
            <v>2.722130896324984</v>
          </cell>
          <cell r="DK73">
            <v>-3.7046303039719453E-3</v>
          </cell>
          <cell r="DL73">
            <v>4.8600000000000003</v>
          </cell>
          <cell r="DM73">
            <v>3.11</v>
          </cell>
        </row>
        <row r="74">
          <cell r="B74" t="str">
            <v>Wagga Wagga City Council</v>
          </cell>
          <cell r="C74">
            <v>4</v>
          </cell>
          <cell r="D74">
            <v>9936000</v>
          </cell>
          <cell r="E74">
            <v>20028</v>
          </cell>
          <cell r="F74">
            <v>496.10545236668662</v>
          </cell>
          <cell r="G74">
            <v>2580000</v>
          </cell>
          <cell r="H74">
            <v>1728</v>
          </cell>
          <cell r="I74">
            <v>1493.0555555555557</v>
          </cell>
          <cell r="J74">
            <v>4729000</v>
          </cell>
          <cell r="K74">
            <v>1502</v>
          </cell>
          <cell r="L74">
            <v>3148.4687083888148</v>
          </cell>
          <cell r="M74">
            <v>2876000</v>
          </cell>
          <cell r="N74">
            <v>36533000</v>
          </cell>
          <cell r="O74">
            <v>7.8723346015930798E-2</v>
          </cell>
          <cell r="P74">
            <v>2179000</v>
          </cell>
          <cell r="Q74">
            <v>24035000</v>
          </cell>
          <cell r="R74">
            <v>9.0659454961514452E-2</v>
          </cell>
          <cell r="S74">
            <v>-718000</v>
          </cell>
          <cell r="T74">
            <v>11037000</v>
          </cell>
          <cell r="U74">
            <v>-6.5053909576877775E-2</v>
          </cell>
          <cell r="V74">
            <v>26214000</v>
          </cell>
          <cell r="W74">
            <v>58149000</v>
          </cell>
          <cell r="X74">
            <v>0.4508074085538874</v>
          </cell>
          <cell r="Y74">
            <v>10319000</v>
          </cell>
          <cell r="Z74">
            <v>58149000</v>
          </cell>
          <cell r="AA74">
            <v>0.17745790985227605</v>
          </cell>
          <cell r="AB74">
            <v>2416000</v>
          </cell>
          <cell r="AC74">
            <v>58149000</v>
          </cell>
          <cell r="AD74">
            <v>4.15484359146331E-2</v>
          </cell>
          <cell r="AE74">
            <v>11733000</v>
          </cell>
          <cell r="AF74">
            <v>58149000</v>
          </cell>
          <cell r="AG74">
            <v>0.20177475107052573</v>
          </cell>
          <cell r="AH74">
            <v>7040000</v>
          </cell>
          <cell r="AI74">
            <v>58149000</v>
          </cell>
          <cell r="AJ74">
            <v>0.12106829008237459</v>
          </cell>
          <cell r="AK74">
            <v>427000</v>
          </cell>
          <cell r="AL74">
            <v>58149000</v>
          </cell>
          <cell r="AM74">
            <v>7.3432045263031182E-3</v>
          </cell>
          <cell r="AN74">
            <v>49277000</v>
          </cell>
          <cell r="AO74">
            <v>57078</v>
          </cell>
          <cell r="AP74">
            <v>863.32737657240966</v>
          </cell>
          <cell r="AQ74">
            <v>19131000</v>
          </cell>
          <cell r="AR74">
            <v>54973000</v>
          </cell>
          <cell r="AS74">
            <v>0.34800720353628145</v>
          </cell>
          <cell r="AT74">
            <v>19252000</v>
          </cell>
          <cell r="AU74">
            <v>54973000</v>
          </cell>
          <cell r="AV74">
            <v>0.35020828406672366</v>
          </cell>
          <cell r="AW74">
            <v>131000</v>
          </cell>
          <cell r="AX74">
            <v>54973000</v>
          </cell>
          <cell r="AY74">
            <v>2.382988012296946E-3</v>
          </cell>
          <cell r="AZ74">
            <v>9386000</v>
          </cell>
          <cell r="BA74">
            <v>54973000</v>
          </cell>
          <cell r="BB74">
            <v>0.17073836246884835</v>
          </cell>
          <cell r="BC74">
            <v>7073000</v>
          </cell>
          <cell r="BD74">
            <v>54973000</v>
          </cell>
          <cell r="BE74">
            <v>0.12866316191584959</v>
          </cell>
          <cell r="BF74">
            <v>51005000</v>
          </cell>
          <cell r="BG74">
            <v>57078</v>
          </cell>
          <cell r="BH74">
            <v>893.60173797259893</v>
          </cell>
          <cell r="BI74">
            <v>35198000</v>
          </cell>
          <cell r="BJ74">
            <v>8093000</v>
          </cell>
          <cell r="BK74">
            <v>4.3491906585938462</v>
          </cell>
          <cell r="BL74">
            <v>580000</v>
          </cell>
          <cell r="BM74">
            <v>50362000</v>
          </cell>
          <cell r="BN74">
            <v>1.1516619673563402E-2</v>
          </cell>
          <cell r="BO74">
            <v>18399000</v>
          </cell>
          <cell r="BP74">
            <v>8573000</v>
          </cell>
          <cell r="BQ74">
            <v>2.1461565379680394</v>
          </cell>
          <cell r="BR74">
            <v>400</v>
          </cell>
          <cell r="BS74" t="str">
            <v>Not Received</v>
          </cell>
          <cell r="BT74" t="str">
            <v>Not Received</v>
          </cell>
          <cell r="BU74" t="str">
            <v>On Time</v>
          </cell>
          <cell r="BV74">
            <v>1598000</v>
          </cell>
          <cell r="BW74">
            <v>57078</v>
          </cell>
          <cell r="BX74">
            <v>27.996776341147203</v>
          </cell>
          <cell r="BY74">
            <v>301143</v>
          </cell>
          <cell r="BZ74">
            <v>57078</v>
          </cell>
          <cell r="CA74">
            <v>5.275990749500683</v>
          </cell>
          <cell r="CB74">
            <v>3173000</v>
          </cell>
          <cell r="CC74">
            <v>19506</v>
          </cell>
          <cell r="CD74">
            <v>162.66789705731568</v>
          </cell>
          <cell r="CE74">
            <v>1860004</v>
          </cell>
          <cell r="CF74">
            <v>19506</v>
          </cell>
          <cell r="CG74">
            <v>95.355480365015893</v>
          </cell>
          <cell r="CH74">
            <v>13130605</v>
          </cell>
          <cell r="CI74">
            <v>57078</v>
          </cell>
          <cell r="CJ74">
            <v>230.04669049371037</v>
          </cell>
          <cell r="CK74">
            <v>8600720</v>
          </cell>
          <cell r="CL74">
            <v>57078</v>
          </cell>
          <cell r="CM74">
            <v>150.68362591541398</v>
          </cell>
          <cell r="CN74">
            <v>219.984395812347</v>
          </cell>
          <cell r="CO74">
            <v>176.71181380150401</v>
          </cell>
          <cell r="CP74" t="str">
            <v>N/A</v>
          </cell>
          <cell r="CQ74" t="str">
            <v>N/A</v>
          </cell>
          <cell r="CR74">
            <v>1223</v>
          </cell>
          <cell r="CS74">
            <v>32890</v>
          </cell>
          <cell r="CT74">
            <v>1223</v>
          </cell>
          <cell r="CU74">
            <v>26.892886345053149</v>
          </cell>
          <cell r="CV74">
            <v>22</v>
          </cell>
          <cell r="CW74">
            <v>43000</v>
          </cell>
          <cell r="CX74">
            <v>2565000</v>
          </cell>
          <cell r="CY74">
            <v>1.6764132553606238E-2</v>
          </cell>
          <cell r="CZ74">
            <v>1401000</v>
          </cell>
          <cell r="DA74">
            <v>57078</v>
          </cell>
          <cell r="DB74">
            <v>24.545358982445077</v>
          </cell>
          <cell r="DC74">
            <v>4008000</v>
          </cell>
          <cell r="DD74">
            <v>57078</v>
          </cell>
          <cell r="DE74">
            <v>70.219699358772203</v>
          </cell>
          <cell r="DF74">
            <v>3929000</v>
          </cell>
          <cell r="DG74">
            <v>57078</v>
          </cell>
          <cell r="DH74">
            <v>68.835628438277439</v>
          </cell>
          <cell r="DI74">
            <v>4824</v>
          </cell>
          <cell r="DJ74">
            <v>11.832089552238806</v>
          </cell>
          <cell r="DK74">
            <v>2.3892225760075991E-3</v>
          </cell>
          <cell r="DL74">
            <v>3.31</v>
          </cell>
          <cell r="DM74">
            <v>2.97</v>
          </cell>
        </row>
        <row r="75">
          <cell r="B75" t="str">
            <v>Cessnock City Council</v>
          </cell>
          <cell r="C75">
            <v>4</v>
          </cell>
          <cell r="D75">
            <v>10240000</v>
          </cell>
          <cell r="E75">
            <v>17070</v>
          </cell>
          <cell r="F75">
            <v>599.88283538371411</v>
          </cell>
          <cell r="G75">
            <v>2903000</v>
          </cell>
          <cell r="H75">
            <v>2555</v>
          </cell>
          <cell r="I75">
            <v>1136.2035225048924</v>
          </cell>
          <cell r="J75">
            <v>2867000</v>
          </cell>
          <cell r="K75">
            <v>1170</v>
          </cell>
          <cell r="L75">
            <v>2450.4273504273506</v>
          </cell>
          <cell r="M75">
            <v>932000</v>
          </cell>
          <cell r="N75">
            <v>33130000</v>
          </cell>
          <cell r="O75">
            <v>2.8131602776939331E-2</v>
          </cell>
          <cell r="P75">
            <v>936000</v>
          </cell>
          <cell r="Q75">
            <v>18456000</v>
          </cell>
          <cell r="R75">
            <v>5.071521456436931E-2</v>
          </cell>
          <cell r="S75">
            <v>7473000</v>
          </cell>
          <cell r="T75">
            <v>6265000</v>
          </cell>
          <cell r="U75">
            <v>1.1928172386272944</v>
          </cell>
          <cell r="V75">
            <v>19392000</v>
          </cell>
          <cell r="W75">
            <v>47775000</v>
          </cell>
          <cell r="X75">
            <v>0.40590266875981162</v>
          </cell>
          <cell r="Y75">
            <v>13738000</v>
          </cell>
          <cell r="Z75">
            <v>47775000</v>
          </cell>
          <cell r="AA75">
            <v>0.28755625327053896</v>
          </cell>
          <cell r="AB75">
            <v>851000</v>
          </cell>
          <cell r="AC75">
            <v>47775000</v>
          </cell>
          <cell r="AD75">
            <v>1.7812663526949241E-2</v>
          </cell>
          <cell r="AE75">
            <v>8182000</v>
          </cell>
          <cell r="AF75">
            <v>47775000</v>
          </cell>
          <cell r="AG75">
            <v>0.17126111983254841</v>
          </cell>
          <cell r="AH75">
            <v>4946000</v>
          </cell>
          <cell r="AI75">
            <v>47775000</v>
          </cell>
          <cell r="AJ75">
            <v>0.10352694924123496</v>
          </cell>
          <cell r="AK75">
            <v>666000</v>
          </cell>
          <cell r="AL75">
            <v>47775000</v>
          </cell>
          <cell r="AM75">
            <v>1.3940345368916798E-2</v>
          </cell>
          <cell r="AN75">
            <v>45042000</v>
          </cell>
          <cell r="AO75">
            <v>47521</v>
          </cell>
          <cell r="AP75">
            <v>947.83358936049331</v>
          </cell>
          <cell r="AQ75">
            <v>13736000</v>
          </cell>
          <cell r="AR75">
            <v>43800000</v>
          </cell>
          <cell r="AS75">
            <v>0.31360730593607306</v>
          </cell>
          <cell r="AT75">
            <v>18292000</v>
          </cell>
          <cell r="AU75">
            <v>43800000</v>
          </cell>
          <cell r="AV75">
            <v>0.41762557077625573</v>
          </cell>
          <cell r="AW75">
            <v>516000</v>
          </cell>
          <cell r="AX75">
            <v>43800000</v>
          </cell>
          <cell r="AY75">
            <v>1.1780821917808219E-2</v>
          </cell>
          <cell r="AZ75">
            <v>8271000</v>
          </cell>
          <cell r="BA75">
            <v>43800000</v>
          </cell>
          <cell r="BB75">
            <v>0.18883561643835617</v>
          </cell>
          <cell r="BC75">
            <v>2985000</v>
          </cell>
          <cell r="BD75">
            <v>43800000</v>
          </cell>
          <cell r="BE75">
            <v>6.8150684931506847E-2</v>
          </cell>
          <cell r="BF75">
            <v>43800000</v>
          </cell>
          <cell r="BG75">
            <v>47521</v>
          </cell>
          <cell r="BH75">
            <v>921.69777572020791</v>
          </cell>
          <cell r="BI75">
            <v>12178000</v>
          </cell>
          <cell r="BJ75">
            <v>6614000</v>
          </cell>
          <cell r="BK75">
            <v>1.8412458421530087</v>
          </cell>
          <cell r="BL75">
            <v>1713000</v>
          </cell>
          <cell r="BM75">
            <v>40529000</v>
          </cell>
          <cell r="BN75">
            <v>4.2266031730365909E-2</v>
          </cell>
          <cell r="BO75">
            <v>10750000</v>
          </cell>
          <cell r="BP75">
            <v>8271000</v>
          </cell>
          <cell r="BQ75">
            <v>1.2997219199613106</v>
          </cell>
          <cell r="BR75">
            <v>250</v>
          </cell>
          <cell r="BS75" t="str">
            <v>On Time</v>
          </cell>
          <cell r="BT75" t="str">
            <v>On Time</v>
          </cell>
          <cell r="BU75" t="str">
            <v>On Time</v>
          </cell>
          <cell r="BV75">
            <v>1115000</v>
          </cell>
          <cell r="BW75">
            <v>47521</v>
          </cell>
          <cell r="BX75">
            <v>23.463310957261001</v>
          </cell>
          <cell r="BY75">
            <v>282184</v>
          </cell>
          <cell r="BZ75">
            <v>47521</v>
          </cell>
          <cell r="CA75">
            <v>5.9380905283979715</v>
          </cell>
          <cell r="CB75">
            <v>3080000</v>
          </cell>
          <cell r="CC75">
            <v>16150</v>
          </cell>
          <cell r="CD75">
            <v>190.71207430340559</v>
          </cell>
          <cell r="CE75">
            <v>1802000</v>
          </cell>
          <cell r="CF75">
            <v>16150</v>
          </cell>
          <cell r="CG75">
            <v>111.57894736842105</v>
          </cell>
          <cell r="CH75">
            <v>11479000</v>
          </cell>
          <cell r="CI75">
            <v>47521</v>
          </cell>
          <cell r="CJ75">
            <v>241.55636455461797</v>
          </cell>
          <cell r="CK75">
            <v>20061990</v>
          </cell>
          <cell r="CL75">
            <v>47521</v>
          </cell>
          <cell r="CM75">
            <v>422.17104017171357</v>
          </cell>
          <cell r="CN75" t="str">
            <v>N/A</v>
          </cell>
          <cell r="CO75" t="str">
            <v>N/A</v>
          </cell>
          <cell r="CP75" t="str">
            <v>N/A</v>
          </cell>
          <cell r="CQ75" t="str">
            <v>N/A</v>
          </cell>
          <cell r="CR75">
            <v>1591</v>
          </cell>
          <cell r="CS75">
            <v>42957</v>
          </cell>
          <cell r="CT75">
            <v>1591</v>
          </cell>
          <cell r="CU75">
            <v>27</v>
          </cell>
          <cell r="CV75">
            <v>16</v>
          </cell>
          <cell r="CW75">
            <v>46000</v>
          </cell>
          <cell r="CX75">
            <v>2315000</v>
          </cell>
          <cell r="CY75">
            <v>1.9870410367170625E-2</v>
          </cell>
          <cell r="CZ75">
            <v>882000</v>
          </cell>
          <cell r="DA75">
            <v>47521</v>
          </cell>
          <cell r="DB75">
            <v>18.560215483680899</v>
          </cell>
          <cell r="DC75">
            <v>2716000</v>
          </cell>
          <cell r="DD75">
            <v>47521</v>
          </cell>
          <cell r="DE75">
            <v>57.153679425938009</v>
          </cell>
          <cell r="DF75">
            <v>868000</v>
          </cell>
          <cell r="DG75">
            <v>47521</v>
          </cell>
          <cell r="DH75">
            <v>18.265608888701838</v>
          </cell>
          <cell r="DI75">
            <v>1966.4</v>
          </cell>
          <cell r="DJ75">
            <v>24.166497152156225</v>
          </cell>
          <cell r="DK75">
            <v>6.2649077964120892E-3</v>
          </cell>
          <cell r="DL75">
            <v>2.74</v>
          </cell>
          <cell r="DM75">
            <v>2.29</v>
          </cell>
        </row>
        <row r="76">
          <cell r="B76" t="str">
            <v>Murrumbidgee Shire Council</v>
          </cell>
          <cell r="C76">
            <v>9</v>
          </cell>
          <cell r="D76">
            <v>97000</v>
          </cell>
          <cell r="E76">
            <v>658</v>
          </cell>
          <cell r="F76">
            <v>147.41641337386019</v>
          </cell>
          <cell r="G76">
            <v>1059000</v>
          </cell>
          <cell r="H76">
            <v>510</v>
          </cell>
          <cell r="I76">
            <v>2076.4705882352941</v>
          </cell>
          <cell r="J76">
            <v>17000</v>
          </cell>
          <cell r="K76">
            <v>89</v>
          </cell>
          <cell r="L76">
            <v>191.01123595505618</v>
          </cell>
          <cell r="M76">
            <v>301000</v>
          </cell>
          <cell r="N76">
            <v>2083000</v>
          </cell>
          <cell r="O76">
            <v>0.14450312049927988</v>
          </cell>
          <cell r="P76">
            <v>-42000</v>
          </cell>
          <cell r="Q76">
            <v>1653000</v>
          </cell>
          <cell r="R76">
            <v>-2.5408348457350273E-2</v>
          </cell>
          <cell r="S76">
            <v>45000</v>
          </cell>
          <cell r="T76">
            <v>427000</v>
          </cell>
          <cell r="U76">
            <v>0.1053864168618267</v>
          </cell>
          <cell r="V76">
            <v>1611000</v>
          </cell>
          <cell r="W76">
            <v>4377000</v>
          </cell>
          <cell r="X76">
            <v>0.36806031528444139</v>
          </cell>
          <cell r="Y76">
            <v>472000</v>
          </cell>
          <cell r="Z76">
            <v>4377000</v>
          </cell>
          <cell r="AA76">
            <v>0.10783641763765137</v>
          </cell>
          <cell r="AB76">
            <v>287000</v>
          </cell>
          <cell r="AC76">
            <v>4377000</v>
          </cell>
          <cell r="AD76">
            <v>6.5570025131368517E-2</v>
          </cell>
          <cell r="AE76">
            <v>1862000</v>
          </cell>
          <cell r="AF76">
            <v>4377000</v>
          </cell>
          <cell r="AG76">
            <v>0.4254055289010738</v>
          </cell>
          <cell r="AH76">
            <v>22000</v>
          </cell>
          <cell r="AI76">
            <v>4377000</v>
          </cell>
          <cell r="AJ76">
            <v>5.0262737034498517E-3</v>
          </cell>
          <cell r="AK76">
            <v>123000</v>
          </cell>
          <cell r="AL76">
            <v>4377000</v>
          </cell>
          <cell r="AM76">
            <v>2.8101439342015078E-2</v>
          </cell>
          <cell r="AN76">
            <v>3581000</v>
          </cell>
          <cell r="AO76">
            <v>2661</v>
          </cell>
          <cell r="AP76">
            <v>1345.7346862081924</v>
          </cell>
          <cell r="AQ76">
            <v>1292000</v>
          </cell>
          <cell r="AR76">
            <v>3448000</v>
          </cell>
          <cell r="AS76">
            <v>0.37470997679814383</v>
          </cell>
          <cell r="AT76">
            <v>882000</v>
          </cell>
          <cell r="AU76">
            <v>3448000</v>
          </cell>
          <cell r="AV76">
            <v>0.25580046403712298</v>
          </cell>
          <cell r="AW76">
            <v>8000</v>
          </cell>
          <cell r="AX76">
            <v>3448000</v>
          </cell>
          <cell r="AY76">
            <v>2.3201856148491878E-3</v>
          </cell>
          <cell r="AZ76">
            <v>840000</v>
          </cell>
          <cell r="BA76">
            <v>3448000</v>
          </cell>
          <cell r="BB76">
            <v>0.24361948955916474</v>
          </cell>
          <cell r="BC76">
            <v>426000</v>
          </cell>
          <cell r="BD76">
            <v>3448000</v>
          </cell>
          <cell r="BE76">
            <v>0.12354988399071926</v>
          </cell>
          <cell r="BF76">
            <v>3044000</v>
          </cell>
          <cell r="BG76">
            <v>2661</v>
          </cell>
          <cell r="BH76">
            <v>1143.9308530627584</v>
          </cell>
          <cell r="BI76">
            <v>5425000</v>
          </cell>
          <cell r="BJ76">
            <v>473000</v>
          </cell>
          <cell r="BK76">
            <v>11.469344608879492</v>
          </cell>
          <cell r="BL76">
            <v>81000</v>
          </cell>
          <cell r="BM76">
            <v>3671000</v>
          </cell>
          <cell r="BN76">
            <v>2.2064832470716427E-2</v>
          </cell>
          <cell r="BO76">
            <v>794000</v>
          </cell>
          <cell r="BP76">
            <v>712000</v>
          </cell>
          <cell r="BQ76">
            <v>1.1151685393258426</v>
          </cell>
          <cell r="BR76">
            <v>33</v>
          </cell>
          <cell r="BS76" t="str">
            <v>On Time</v>
          </cell>
          <cell r="BT76" t="str">
            <v>On Time</v>
          </cell>
          <cell r="BU76" t="str">
            <v>On Time</v>
          </cell>
          <cell r="BV76">
            <v>33000</v>
          </cell>
          <cell r="BW76">
            <v>2661</v>
          </cell>
          <cell r="BX76">
            <v>12.401352874859075</v>
          </cell>
          <cell r="BY76">
            <v>10642</v>
          </cell>
          <cell r="BZ76">
            <v>2661</v>
          </cell>
          <cell r="CA76">
            <v>3.9992484028560691</v>
          </cell>
          <cell r="CB76">
            <v>75000</v>
          </cell>
          <cell r="CC76">
            <v>801</v>
          </cell>
          <cell r="CD76">
            <v>93.632958801498134</v>
          </cell>
          <cell r="CE76">
            <v>43280</v>
          </cell>
          <cell r="CF76">
            <v>712</v>
          </cell>
          <cell r="CG76">
            <v>60.786516853932582</v>
          </cell>
          <cell r="CH76">
            <v>17440</v>
          </cell>
          <cell r="CI76">
            <v>2661</v>
          </cell>
          <cell r="CJ76" t="str">
            <v>N/A</v>
          </cell>
          <cell r="CK76">
            <v>393000</v>
          </cell>
          <cell r="CL76">
            <v>2661</v>
          </cell>
          <cell r="CM76">
            <v>147.68883878241263</v>
          </cell>
          <cell r="CN76">
            <v>336.55567490153999</v>
          </cell>
          <cell r="CO76">
            <v>321.47283619087</v>
          </cell>
          <cell r="CP76">
            <v>265.010351966874</v>
          </cell>
          <cell r="CQ76">
            <v>198.784247068653</v>
          </cell>
          <cell r="CR76">
            <v>61</v>
          </cell>
          <cell r="CS76">
            <v>1660</v>
          </cell>
          <cell r="CT76">
            <v>61</v>
          </cell>
          <cell r="CU76">
            <v>27.21311475409836</v>
          </cell>
          <cell r="CV76">
            <v>23</v>
          </cell>
          <cell r="CW76">
            <v>0</v>
          </cell>
          <cell r="CX76">
            <v>88000</v>
          </cell>
          <cell r="CY76">
            <v>0</v>
          </cell>
          <cell r="CZ76">
            <v>70000</v>
          </cell>
          <cell r="DA76">
            <v>2661</v>
          </cell>
          <cell r="DB76">
            <v>26.305900037579857</v>
          </cell>
          <cell r="DC76">
            <v>209000</v>
          </cell>
          <cell r="DD76">
            <v>2661</v>
          </cell>
          <cell r="DE76">
            <v>78.541901540774148</v>
          </cell>
          <cell r="DF76">
            <v>86000</v>
          </cell>
          <cell r="DG76">
            <v>2661</v>
          </cell>
          <cell r="DH76">
            <v>32.31867718902668</v>
          </cell>
          <cell r="DI76">
            <v>3505</v>
          </cell>
          <cell r="DJ76">
            <v>0.75920114122681881</v>
          </cell>
          <cell r="DK76">
            <v>7.8477201566320431E-3</v>
          </cell>
          <cell r="DL76">
            <v>6.78</v>
          </cell>
          <cell r="DM76">
            <v>2.1800000000000002</v>
          </cell>
        </row>
        <row r="77">
          <cell r="B77" t="str">
            <v>Gloucester Shire Council</v>
          </cell>
          <cell r="C77">
            <v>9</v>
          </cell>
          <cell r="D77">
            <v>759000</v>
          </cell>
          <cell r="E77">
            <v>1810</v>
          </cell>
          <cell r="F77">
            <v>419.33701657458562</v>
          </cell>
          <cell r="G77">
            <v>1414000</v>
          </cell>
          <cell r="H77">
            <v>644</v>
          </cell>
          <cell r="I77">
            <v>2195.6521739130435</v>
          </cell>
          <cell r="J77">
            <v>138000</v>
          </cell>
          <cell r="K77">
            <v>202</v>
          </cell>
          <cell r="L77">
            <v>683.16831683168311</v>
          </cell>
          <cell r="M77">
            <v>197000</v>
          </cell>
          <cell r="N77">
            <v>4263000</v>
          </cell>
          <cell r="O77">
            <v>4.6211588083509267E-2</v>
          </cell>
          <cell r="P77">
            <v>173000</v>
          </cell>
          <cell r="Q77">
            <v>3395000</v>
          </cell>
          <cell r="R77">
            <v>5.0957290132547864E-2</v>
          </cell>
          <cell r="S77">
            <v>235000</v>
          </cell>
          <cell r="T77">
            <v>460000</v>
          </cell>
          <cell r="U77">
            <v>0.51086956521739135</v>
          </cell>
          <cell r="V77">
            <v>3568000</v>
          </cell>
          <cell r="W77">
            <v>13099000</v>
          </cell>
          <cell r="X77">
            <v>0.27238720513016262</v>
          </cell>
          <cell r="Y77">
            <v>695000</v>
          </cell>
          <cell r="Z77">
            <v>13099000</v>
          </cell>
          <cell r="AA77">
            <v>5.3057485304221698E-2</v>
          </cell>
          <cell r="AB77">
            <v>285000</v>
          </cell>
          <cell r="AC77">
            <v>13099000</v>
          </cell>
          <cell r="AD77">
            <v>2.1757386060004581E-2</v>
          </cell>
          <cell r="AE77">
            <v>6006000</v>
          </cell>
          <cell r="AF77">
            <v>13099000</v>
          </cell>
          <cell r="AG77">
            <v>0.45850828307504388</v>
          </cell>
          <cell r="AH77">
            <v>2225000</v>
          </cell>
          <cell r="AI77">
            <v>13099000</v>
          </cell>
          <cell r="AJ77">
            <v>0.16986029467898311</v>
          </cell>
          <cell r="AK77">
            <v>320000</v>
          </cell>
          <cell r="AL77">
            <v>13099000</v>
          </cell>
          <cell r="AM77">
            <v>2.4429345751584092E-2</v>
          </cell>
          <cell r="AN77">
            <v>10264000</v>
          </cell>
          <cell r="AO77">
            <v>4931</v>
          </cell>
          <cell r="AP77">
            <v>2081.5250456296899</v>
          </cell>
          <cell r="AQ77">
            <v>3681000</v>
          </cell>
          <cell r="AR77">
            <v>11749000</v>
          </cell>
          <cell r="AS77">
            <v>0.31330325985190227</v>
          </cell>
          <cell r="AT77">
            <v>4743000</v>
          </cell>
          <cell r="AU77">
            <v>11749000</v>
          </cell>
          <cell r="AV77">
            <v>0.40369393139841686</v>
          </cell>
          <cell r="AW77">
            <v>59000</v>
          </cell>
          <cell r="AX77">
            <v>11749000</v>
          </cell>
          <cell r="AY77">
            <v>5.0217039748063665E-3</v>
          </cell>
          <cell r="AZ77">
            <v>2655000</v>
          </cell>
          <cell r="BA77">
            <v>11749000</v>
          </cell>
          <cell r="BB77">
            <v>0.2259766788662865</v>
          </cell>
          <cell r="BC77">
            <v>611000</v>
          </cell>
          <cell r="BD77">
            <v>11749000</v>
          </cell>
          <cell r="BE77">
            <v>5.2004425908587962E-2</v>
          </cell>
          <cell r="BF77">
            <v>10298000</v>
          </cell>
          <cell r="BG77">
            <v>4931</v>
          </cell>
          <cell r="BH77">
            <v>2088.4201987426486</v>
          </cell>
          <cell r="BI77">
            <v>3064000</v>
          </cell>
          <cell r="BJ77">
            <v>1729000</v>
          </cell>
          <cell r="BK77">
            <v>1.7721226142278774</v>
          </cell>
          <cell r="BL77">
            <v>406000</v>
          </cell>
          <cell r="BM77">
            <v>6706000</v>
          </cell>
          <cell r="BN77">
            <v>6.0542797494780795E-2</v>
          </cell>
          <cell r="BO77">
            <v>3206000</v>
          </cell>
          <cell r="BP77">
            <v>2361000</v>
          </cell>
          <cell r="BQ77">
            <v>1.3578991952562474</v>
          </cell>
          <cell r="BR77">
            <v>89</v>
          </cell>
          <cell r="BS77" t="str">
            <v>&lt;=16</v>
          </cell>
          <cell r="BT77" t="str">
            <v>&lt;=16</v>
          </cell>
          <cell r="BU77" t="str">
            <v>On Time</v>
          </cell>
          <cell r="BV77">
            <v>130000</v>
          </cell>
          <cell r="BW77">
            <v>4931</v>
          </cell>
          <cell r="BX77">
            <v>26.363820726019064</v>
          </cell>
          <cell r="BY77">
            <v>52714</v>
          </cell>
          <cell r="BZ77">
            <v>4931</v>
          </cell>
          <cell r="CA77">
            <v>10.69032650577976</v>
          </cell>
          <cell r="CB77">
            <v>194000</v>
          </cell>
          <cell r="CC77">
            <v>1436</v>
          </cell>
          <cell r="CD77">
            <v>135.09749303621169</v>
          </cell>
          <cell r="CE77">
            <v>142964</v>
          </cell>
          <cell r="CF77">
            <v>1436</v>
          </cell>
          <cell r="CG77">
            <v>99.557103064066851</v>
          </cell>
          <cell r="CH77">
            <v>950000</v>
          </cell>
          <cell r="CI77">
            <v>4931</v>
          </cell>
          <cell r="CJ77">
            <v>192.65868992090853</v>
          </cell>
          <cell r="CK77">
            <v>2630000</v>
          </cell>
          <cell r="CL77">
            <v>4931</v>
          </cell>
          <cell r="CM77">
            <v>533.36037314946259</v>
          </cell>
          <cell r="CN77">
            <v>410.86309866257398</v>
          </cell>
          <cell r="CO77">
            <v>553</v>
          </cell>
          <cell r="CP77">
            <v>352.16757258385297</v>
          </cell>
          <cell r="CQ77">
            <v>373</v>
          </cell>
          <cell r="CR77">
            <v>182</v>
          </cell>
          <cell r="CS77">
            <v>5014</v>
          </cell>
          <cell r="CT77">
            <v>182</v>
          </cell>
          <cell r="CU77">
            <v>27.549450549450551</v>
          </cell>
          <cell r="CV77">
            <v>26</v>
          </cell>
          <cell r="CW77">
            <v>0</v>
          </cell>
          <cell r="CX77">
            <v>180000</v>
          </cell>
          <cell r="CY77">
            <v>0</v>
          </cell>
          <cell r="CZ77">
            <v>204000</v>
          </cell>
          <cell r="DA77">
            <v>4931</v>
          </cell>
          <cell r="DB77">
            <v>41.370918677752989</v>
          </cell>
          <cell r="DC77">
            <v>373000</v>
          </cell>
          <cell r="DD77">
            <v>4931</v>
          </cell>
          <cell r="DE77">
            <v>75.643885621577766</v>
          </cell>
          <cell r="DF77">
            <v>154000</v>
          </cell>
          <cell r="DG77">
            <v>4931</v>
          </cell>
          <cell r="DH77">
            <v>31.230987629284122</v>
          </cell>
          <cell r="DI77">
            <v>2951.6</v>
          </cell>
          <cell r="DJ77">
            <v>1.6706193251118038</v>
          </cell>
          <cell r="DK77">
            <v>-2.255995273268252E-3</v>
          </cell>
          <cell r="DL77">
            <v>2.4900000000000002</v>
          </cell>
          <cell r="DM77">
            <v>1.83</v>
          </cell>
        </row>
        <row r="78">
          <cell r="B78" t="str">
            <v>Brewarrina Shire Council</v>
          </cell>
          <cell r="C78">
            <v>9</v>
          </cell>
          <cell r="D78">
            <v>41000</v>
          </cell>
          <cell r="E78">
            <v>486</v>
          </cell>
          <cell r="F78">
            <v>84.362139917695472</v>
          </cell>
          <cell r="G78">
            <v>523000</v>
          </cell>
          <cell r="H78">
            <v>388</v>
          </cell>
          <cell r="I78">
            <v>1347.9381443298969</v>
          </cell>
          <cell r="J78">
            <v>6000</v>
          </cell>
          <cell r="K78">
            <v>65</v>
          </cell>
          <cell r="L78">
            <v>92.307692307692307</v>
          </cell>
          <cell r="M78">
            <v>521000</v>
          </cell>
          <cell r="N78">
            <v>2861000</v>
          </cell>
          <cell r="O78">
            <v>0.18210415938483049</v>
          </cell>
          <cell r="P78">
            <v>21000</v>
          </cell>
          <cell r="Q78">
            <v>1206000</v>
          </cell>
          <cell r="R78">
            <v>1.7412935323383085E-2</v>
          </cell>
          <cell r="S78">
            <v>-1518000</v>
          </cell>
          <cell r="T78">
            <v>3152000</v>
          </cell>
          <cell r="U78">
            <v>-0.48159898477157359</v>
          </cell>
          <cell r="V78">
            <v>1227000</v>
          </cell>
          <cell r="W78">
            <v>8199000</v>
          </cell>
          <cell r="X78">
            <v>0.14965239663373583</v>
          </cell>
          <cell r="Y78">
            <v>1634000</v>
          </cell>
          <cell r="Z78">
            <v>8199000</v>
          </cell>
          <cell r="AA78">
            <v>0.19929259665812904</v>
          </cell>
          <cell r="AB78">
            <v>173000</v>
          </cell>
          <cell r="AC78">
            <v>8199000</v>
          </cell>
          <cell r="AD78">
            <v>2.1100134162702767E-2</v>
          </cell>
          <cell r="AE78">
            <v>3936000</v>
          </cell>
          <cell r="AF78">
            <v>8199000</v>
          </cell>
          <cell r="AG78">
            <v>0.48005854372484447</v>
          </cell>
          <cell r="AH78">
            <v>1197000</v>
          </cell>
          <cell r="AI78">
            <v>8199000</v>
          </cell>
          <cell r="AJ78">
            <v>0.14599341383095499</v>
          </cell>
          <cell r="AK78">
            <v>32000</v>
          </cell>
          <cell r="AL78">
            <v>8199000</v>
          </cell>
          <cell r="AM78">
            <v>3.9029149896328821E-3</v>
          </cell>
          <cell r="AN78">
            <v>6249000</v>
          </cell>
          <cell r="AO78">
            <v>2173</v>
          </cell>
          <cell r="AP78">
            <v>2875.7478140819144</v>
          </cell>
          <cell r="AQ78">
            <v>2940000</v>
          </cell>
          <cell r="AR78">
            <v>8754000</v>
          </cell>
          <cell r="AS78">
            <v>0.33584647018505825</v>
          </cell>
          <cell r="AT78">
            <v>2513000</v>
          </cell>
          <cell r="AU78">
            <v>8754000</v>
          </cell>
          <cell r="AV78">
            <v>0.28706876856294267</v>
          </cell>
          <cell r="AW78">
            <v>53000</v>
          </cell>
          <cell r="AX78">
            <v>8754000</v>
          </cell>
          <cell r="AY78">
            <v>6.0543751427918667E-3</v>
          </cell>
          <cell r="AZ78">
            <v>1353000</v>
          </cell>
          <cell r="BA78">
            <v>8754000</v>
          </cell>
          <cell r="BB78">
            <v>0.15455791638108293</v>
          </cell>
          <cell r="BC78">
            <v>1895000</v>
          </cell>
          <cell r="BD78">
            <v>8754000</v>
          </cell>
          <cell r="BE78">
            <v>0.21647246972812428</v>
          </cell>
          <cell r="BF78">
            <v>8153000</v>
          </cell>
          <cell r="BG78">
            <v>2173</v>
          </cell>
          <cell r="BH78">
            <v>3751.9558214450067</v>
          </cell>
          <cell r="BI78">
            <v>2265000</v>
          </cell>
          <cell r="BJ78">
            <v>1213000</v>
          </cell>
          <cell r="BK78">
            <v>1.8672712283594395</v>
          </cell>
          <cell r="BL78">
            <v>157000</v>
          </cell>
          <cell r="BM78">
            <v>5057000</v>
          </cell>
          <cell r="BN78">
            <v>3.1046074747874235E-2</v>
          </cell>
          <cell r="BO78">
            <v>529000</v>
          </cell>
          <cell r="BP78">
            <v>1256000</v>
          </cell>
          <cell r="BQ78">
            <v>0.42117834394904458</v>
          </cell>
          <cell r="BR78">
            <v>53</v>
          </cell>
          <cell r="BS78" t="str">
            <v>&lt;=2</v>
          </cell>
          <cell r="BT78" t="str">
            <v>&lt;=2</v>
          </cell>
          <cell r="BU78" t="str">
            <v>On Time</v>
          </cell>
          <cell r="BV78">
            <v>66000</v>
          </cell>
          <cell r="BW78">
            <v>2173</v>
          </cell>
          <cell r="BX78">
            <v>30.372756557754258</v>
          </cell>
          <cell r="BY78">
            <v>1878</v>
          </cell>
          <cell r="BZ78">
            <v>2173</v>
          </cell>
          <cell r="CA78">
            <v>0.86424298205246208</v>
          </cell>
          <cell r="CB78">
            <v>83000</v>
          </cell>
          <cell r="CC78">
            <v>498</v>
          </cell>
          <cell r="CD78">
            <v>166.66666666666666</v>
          </cell>
          <cell r="CE78">
            <v>81337</v>
          </cell>
          <cell r="CF78">
            <v>498</v>
          </cell>
          <cell r="CG78">
            <v>163.3273092369478</v>
          </cell>
          <cell r="CH78">
            <v>0</v>
          </cell>
          <cell r="CI78">
            <v>2173</v>
          </cell>
          <cell r="CJ78" t="str">
            <v>N/A</v>
          </cell>
          <cell r="CK78">
            <v>407000</v>
          </cell>
          <cell r="CL78">
            <v>2173</v>
          </cell>
          <cell r="CM78">
            <v>187.29866543948458</v>
          </cell>
          <cell r="CN78">
            <v>574.62338872495695</v>
          </cell>
          <cell r="CO78">
            <v>731.43285821455402</v>
          </cell>
          <cell r="CP78">
            <v>332.69045323047197</v>
          </cell>
          <cell r="CQ78">
            <v>446.42857142857099</v>
          </cell>
          <cell r="CR78">
            <v>17</v>
          </cell>
          <cell r="CS78">
            <v>469</v>
          </cell>
          <cell r="CT78">
            <v>17</v>
          </cell>
          <cell r="CU78">
            <v>27.588235294117649</v>
          </cell>
          <cell r="CV78">
            <v>20</v>
          </cell>
          <cell r="CW78">
            <v>0</v>
          </cell>
          <cell r="CX78">
            <v>29000</v>
          </cell>
          <cell r="CY78">
            <v>0</v>
          </cell>
          <cell r="CZ78">
            <v>1422000</v>
          </cell>
          <cell r="DA78">
            <v>2173</v>
          </cell>
          <cell r="DB78">
            <v>654.39484583525075</v>
          </cell>
          <cell r="DC78">
            <v>336000</v>
          </cell>
          <cell r="DD78">
            <v>2173</v>
          </cell>
          <cell r="DE78">
            <v>154.62494247583984</v>
          </cell>
          <cell r="DF78">
            <v>465000</v>
          </cell>
          <cell r="DG78">
            <v>2173</v>
          </cell>
          <cell r="DH78">
            <v>213.98987574781407</v>
          </cell>
          <cell r="DI78">
            <v>19188</v>
          </cell>
          <cell r="DJ78">
            <v>0.11324786324786325</v>
          </cell>
          <cell r="DK78">
            <v>-4.4498678571909256E-3</v>
          </cell>
          <cell r="DL78">
            <v>54.16</v>
          </cell>
          <cell r="DM78">
            <v>1.1200000000000001</v>
          </cell>
        </row>
        <row r="79">
          <cell r="B79" t="str">
            <v>Blayney Shire Council</v>
          </cell>
          <cell r="C79">
            <v>10</v>
          </cell>
          <cell r="D79">
            <v>746000</v>
          </cell>
          <cell r="E79">
            <v>2483</v>
          </cell>
          <cell r="F79">
            <v>300.44301248489728</v>
          </cell>
          <cell r="G79">
            <v>1247000</v>
          </cell>
          <cell r="H79">
            <v>720</v>
          </cell>
          <cell r="I79">
            <v>1731.9444444444443</v>
          </cell>
          <cell r="J79">
            <v>122000</v>
          </cell>
          <cell r="K79">
            <v>211</v>
          </cell>
          <cell r="L79">
            <v>578.19905213270147</v>
          </cell>
          <cell r="M79">
            <v>568000</v>
          </cell>
          <cell r="N79">
            <v>5130000</v>
          </cell>
          <cell r="O79">
            <v>0.11072124756335283</v>
          </cell>
          <cell r="P79">
            <v>8000</v>
          </cell>
          <cell r="Q79">
            <v>3433000</v>
          </cell>
          <cell r="R79">
            <v>2.3303233323623651E-3</v>
          </cell>
          <cell r="S79">
            <v>-1098000</v>
          </cell>
          <cell r="T79">
            <v>2787000</v>
          </cell>
          <cell r="U79">
            <v>-0.3939720129171152</v>
          </cell>
          <cell r="V79">
            <v>3441000</v>
          </cell>
          <cell r="W79">
            <v>10126000</v>
          </cell>
          <cell r="X79">
            <v>0.33981828955164922</v>
          </cell>
          <cell r="Y79">
            <v>1689000</v>
          </cell>
          <cell r="Z79">
            <v>10126000</v>
          </cell>
          <cell r="AA79">
            <v>0.16679834090460202</v>
          </cell>
          <cell r="AB79">
            <v>318000</v>
          </cell>
          <cell r="AC79">
            <v>10126000</v>
          </cell>
          <cell r="AD79">
            <v>3.1404305747580484E-2</v>
          </cell>
          <cell r="AE79">
            <v>3283000</v>
          </cell>
          <cell r="AF79">
            <v>10126000</v>
          </cell>
          <cell r="AG79">
            <v>0.32421489235631051</v>
          </cell>
          <cell r="AH79">
            <v>1039000</v>
          </cell>
          <cell r="AI79">
            <v>10126000</v>
          </cell>
          <cell r="AJ79">
            <v>0.10260714991111988</v>
          </cell>
          <cell r="AK79">
            <v>356000</v>
          </cell>
          <cell r="AL79">
            <v>10126000</v>
          </cell>
          <cell r="AM79">
            <v>3.5157021528737904E-2</v>
          </cell>
          <cell r="AN79">
            <v>7429000</v>
          </cell>
          <cell r="AO79">
            <v>6611</v>
          </cell>
          <cell r="AP79">
            <v>1123.7331719860838</v>
          </cell>
          <cell r="AQ79">
            <v>3418000</v>
          </cell>
          <cell r="AR79">
            <v>8057000</v>
          </cell>
          <cell r="AS79">
            <v>0.42422737991808368</v>
          </cell>
          <cell r="AT79">
            <v>1759000</v>
          </cell>
          <cell r="AU79">
            <v>8057000</v>
          </cell>
          <cell r="AV79">
            <v>0.21831947374953456</v>
          </cell>
          <cell r="AW79">
            <v>107000</v>
          </cell>
          <cell r="AX79">
            <v>8057000</v>
          </cell>
          <cell r="AY79">
            <v>1.3280377311654462E-2</v>
          </cell>
          <cell r="AZ79">
            <v>1691000</v>
          </cell>
          <cell r="BA79">
            <v>8057000</v>
          </cell>
          <cell r="BB79">
            <v>0.20987960779446443</v>
          </cell>
          <cell r="BC79">
            <v>1082000</v>
          </cell>
          <cell r="BD79">
            <v>8057000</v>
          </cell>
          <cell r="BE79">
            <v>0.13429316122626286</v>
          </cell>
          <cell r="BF79">
            <v>7552000</v>
          </cell>
          <cell r="BG79">
            <v>6611</v>
          </cell>
          <cell r="BH79">
            <v>1142.3385266979276</v>
          </cell>
          <cell r="BI79">
            <v>4917000</v>
          </cell>
          <cell r="BJ79">
            <v>1997000</v>
          </cell>
          <cell r="BK79">
            <v>2.4621932899349024</v>
          </cell>
          <cell r="BL79">
            <v>183000</v>
          </cell>
          <cell r="BM79">
            <v>7767000</v>
          </cell>
          <cell r="BN79">
            <v>2.3561220548474315E-2</v>
          </cell>
          <cell r="BO79">
            <v>2368000</v>
          </cell>
          <cell r="BP79">
            <v>1568000</v>
          </cell>
          <cell r="BQ79">
            <v>1.510204081632653</v>
          </cell>
          <cell r="BR79">
            <v>70</v>
          </cell>
          <cell r="BS79" t="str">
            <v>On Time</v>
          </cell>
          <cell r="BT79" t="str">
            <v>On Time</v>
          </cell>
          <cell r="BU79" t="str">
            <v>On Time</v>
          </cell>
          <cell r="BV79">
            <v>99000</v>
          </cell>
          <cell r="BW79">
            <v>6611</v>
          </cell>
          <cell r="BX79">
            <v>14.97504159733777</v>
          </cell>
          <cell r="BY79">
            <v>17942</v>
          </cell>
          <cell r="BZ79">
            <v>6611</v>
          </cell>
          <cell r="CA79">
            <v>2.7139615791862046</v>
          </cell>
          <cell r="CB79">
            <v>294000</v>
          </cell>
          <cell r="CC79">
            <v>2061</v>
          </cell>
          <cell r="CD79">
            <v>142.64919941775838</v>
          </cell>
          <cell r="CE79">
            <v>461000</v>
          </cell>
          <cell r="CF79">
            <v>1882</v>
          </cell>
          <cell r="CG79">
            <v>244.95217853347503</v>
          </cell>
          <cell r="CH79">
            <v>380480</v>
          </cell>
          <cell r="CI79">
            <v>6611</v>
          </cell>
          <cell r="CJ79">
            <v>57.552563908637119</v>
          </cell>
          <cell r="CK79">
            <v>9000000</v>
          </cell>
          <cell r="CL79">
            <v>6611</v>
          </cell>
          <cell r="CM79">
            <v>1361.3674179397974</v>
          </cell>
          <cell r="CN79" t="str">
            <v>N/A</v>
          </cell>
          <cell r="CO79" t="str">
            <v>N/A</v>
          </cell>
          <cell r="CP79">
            <v>455.84835876097998</v>
          </cell>
          <cell r="CQ79">
            <v>305</v>
          </cell>
          <cell r="CR79">
            <v>186</v>
          </cell>
          <cell r="CS79">
            <v>5227</v>
          </cell>
          <cell r="CT79">
            <v>186</v>
          </cell>
          <cell r="CU79">
            <v>28.102150537634408</v>
          </cell>
          <cell r="CV79">
            <v>37</v>
          </cell>
          <cell r="CW79">
            <v>0</v>
          </cell>
          <cell r="CX79">
            <v>74000</v>
          </cell>
          <cell r="CY79">
            <v>0</v>
          </cell>
          <cell r="CZ79">
            <v>187000</v>
          </cell>
          <cell r="DA79">
            <v>6611</v>
          </cell>
          <cell r="DB79">
            <v>28.286189683860233</v>
          </cell>
          <cell r="DC79">
            <v>606000</v>
          </cell>
          <cell r="DD79">
            <v>6611</v>
          </cell>
          <cell r="DE79">
            <v>91.665406141279689</v>
          </cell>
          <cell r="DF79">
            <v>22000</v>
          </cell>
          <cell r="DG79">
            <v>6611</v>
          </cell>
          <cell r="DH79">
            <v>3.3277870216306158</v>
          </cell>
          <cell r="DI79">
            <v>1524.5</v>
          </cell>
          <cell r="DJ79">
            <v>4.3365037717284354</v>
          </cell>
          <cell r="DK79">
            <v>5.4112054307708934E-3</v>
          </cell>
          <cell r="DL79">
            <v>1.52</v>
          </cell>
          <cell r="DM79">
            <v>1.65</v>
          </cell>
        </row>
        <row r="80">
          <cell r="B80" t="str">
            <v>Quirindi Shire Council</v>
          </cell>
          <cell r="C80">
            <v>9</v>
          </cell>
          <cell r="D80">
            <v>685000</v>
          </cell>
          <cell r="E80">
            <v>1605</v>
          </cell>
          <cell r="F80">
            <v>426.79127725856699</v>
          </cell>
          <cell r="G80">
            <v>1450000</v>
          </cell>
          <cell r="H80">
            <v>594</v>
          </cell>
          <cell r="I80">
            <v>2441.0774410774411</v>
          </cell>
          <cell r="J80">
            <v>238000</v>
          </cell>
          <cell r="K80">
            <v>228</v>
          </cell>
          <cell r="L80">
            <v>1043.859649122807</v>
          </cell>
          <cell r="M80">
            <v>469000</v>
          </cell>
          <cell r="N80">
            <v>4671000</v>
          </cell>
          <cell r="O80">
            <v>0.10040676514664953</v>
          </cell>
          <cell r="P80">
            <v>82000</v>
          </cell>
          <cell r="Q80">
            <v>3053000</v>
          </cell>
          <cell r="R80">
            <v>2.6858827382902063E-2</v>
          </cell>
          <cell r="S80">
            <v>-423000</v>
          </cell>
          <cell r="T80">
            <v>1959000</v>
          </cell>
          <cell r="U80">
            <v>-0.21592649310872894</v>
          </cell>
          <cell r="V80">
            <v>3135000</v>
          </cell>
          <cell r="W80">
            <v>9186000</v>
          </cell>
          <cell r="X80">
            <v>0.34128020901371653</v>
          </cell>
          <cell r="Y80">
            <v>1536000</v>
          </cell>
          <cell r="Z80">
            <v>9186000</v>
          </cell>
          <cell r="AA80">
            <v>0.16721097322011758</v>
          </cell>
          <cell r="AB80">
            <v>377000</v>
          </cell>
          <cell r="AC80">
            <v>9186000</v>
          </cell>
          <cell r="AD80">
            <v>4.1040714130198129E-2</v>
          </cell>
          <cell r="AE80">
            <v>3269000</v>
          </cell>
          <cell r="AF80">
            <v>9186000</v>
          </cell>
          <cell r="AG80">
            <v>0.35586762464620075</v>
          </cell>
          <cell r="AH80">
            <v>859000</v>
          </cell>
          <cell r="AI80">
            <v>9186000</v>
          </cell>
          <cell r="AJ80">
            <v>9.3511865882865225E-2</v>
          </cell>
          <cell r="AK80">
            <v>10000</v>
          </cell>
          <cell r="AL80">
            <v>9186000</v>
          </cell>
          <cell r="AM80">
            <v>1.0886131069018071E-3</v>
          </cell>
          <cell r="AN80">
            <v>6474000</v>
          </cell>
          <cell r="AO80">
            <v>4993</v>
          </cell>
          <cell r="AP80">
            <v>1296.6152613659124</v>
          </cell>
          <cell r="AQ80">
            <v>3478000</v>
          </cell>
          <cell r="AR80">
            <v>8897000</v>
          </cell>
          <cell r="AS80">
            <v>0.39091828706305498</v>
          </cell>
          <cell r="AT80">
            <v>1245000</v>
          </cell>
          <cell r="AU80">
            <v>8897000</v>
          </cell>
          <cell r="AV80">
            <v>0.13993480948634371</v>
          </cell>
          <cell r="AW80">
            <v>24000</v>
          </cell>
          <cell r="AX80">
            <v>8897000</v>
          </cell>
          <cell r="AY80">
            <v>2.6975384961222884E-3</v>
          </cell>
          <cell r="AZ80">
            <v>3269000</v>
          </cell>
          <cell r="BA80">
            <v>8897000</v>
          </cell>
          <cell r="BB80">
            <v>0.36742722265932337</v>
          </cell>
          <cell r="BC80">
            <v>881000</v>
          </cell>
          <cell r="BD80">
            <v>8897000</v>
          </cell>
          <cell r="BE80">
            <v>9.9022142295155671E-2</v>
          </cell>
          <cell r="BF80">
            <v>8142000</v>
          </cell>
          <cell r="BG80">
            <v>4993</v>
          </cell>
          <cell r="BH80">
            <v>1630.6829561385941</v>
          </cell>
          <cell r="BI80">
            <v>5822000</v>
          </cell>
          <cell r="BJ80">
            <v>1131000</v>
          </cell>
          <cell r="BK80">
            <v>5.1476569407603892</v>
          </cell>
          <cell r="BL80">
            <v>184000</v>
          </cell>
          <cell r="BM80">
            <v>5979000</v>
          </cell>
          <cell r="BN80">
            <v>3.0774376986118079E-2</v>
          </cell>
          <cell r="BO80">
            <v>4004000</v>
          </cell>
          <cell r="BP80">
            <v>3054000</v>
          </cell>
          <cell r="BQ80">
            <v>1.3110674525212835</v>
          </cell>
          <cell r="BR80">
            <v>81.599999999999994</v>
          </cell>
          <cell r="BS80" t="str">
            <v>On Time</v>
          </cell>
          <cell r="BT80" t="str">
            <v>On Time</v>
          </cell>
          <cell r="BU80" t="str">
            <v>On Time</v>
          </cell>
          <cell r="BV80">
            <v>150000</v>
          </cell>
          <cell r="BW80">
            <v>4993</v>
          </cell>
          <cell r="BX80">
            <v>30.042058882435409</v>
          </cell>
          <cell r="BY80">
            <v>30213</v>
          </cell>
          <cell r="BZ80">
            <v>4993</v>
          </cell>
          <cell r="CA80">
            <v>6.0510715001001403</v>
          </cell>
          <cell r="CB80">
            <v>98000</v>
          </cell>
          <cell r="CC80">
            <v>1333</v>
          </cell>
          <cell r="CD80">
            <v>73.518379594898718</v>
          </cell>
          <cell r="CE80">
            <v>89699</v>
          </cell>
          <cell r="CF80">
            <v>1333</v>
          </cell>
          <cell r="CG80">
            <v>67.291072768192052</v>
          </cell>
          <cell r="CH80">
            <v>1095000</v>
          </cell>
          <cell r="CI80">
            <v>4993</v>
          </cell>
          <cell r="CJ80">
            <v>219.3070298417785</v>
          </cell>
          <cell r="CK80">
            <v>581620</v>
          </cell>
          <cell r="CL80">
            <v>4993</v>
          </cell>
          <cell r="CM80">
            <v>116.48708191468056</v>
          </cell>
          <cell r="CN80">
            <v>305.09705525344998</v>
          </cell>
          <cell r="CO80">
            <v>316</v>
          </cell>
          <cell r="CP80">
            <v>271.24556258681901</v>
          </cell>
          <cell r="CQ80">
            <v>310.70041516003698</v>
          </cell>
          <cell r="CR80">
            <v>72</v>
          </cell>
          <cell r="CS80">
            <v>2033</v>
          </cell>
          <cell r="CT80">
            <v>72</v>
          </cell>
          <cell r="CU80">
            <v>28.236111111111111</v>
          </cell>
          <cell r="CV80">
            <v>30.5</v>
          </cell>
          <cell r="CW80">
            <v>0</v>
          </cell>
          <cell r="CX80">
            <v>42000</v>
          </cell>
          <cell r="CY80">
            <v>0</v>
          </cell>
          <cell r="CZ80">
            <v>354000</v>
          </cell>
          <cell r="DA80">
            <v>4993</v>
          </cell>
          <cell r="DB80">
            <v>70.899258962547563</v>
          </cell>
          <cell r="DC80">
            <v>385000</v>
          </cell>
          <cell r="DD80">
            <v>4993</v>
          </cell>
          <cell r="DE80">
            <v>77.107951131584215</v>
          </cell>
          <cell r="DF80">
            <v>189000</v>
          </cell>
          <cell r="DG80">
            <v>4993</v>
          </cell>
          <cell r="DH80">
            <v>37.852994191868618</v>
          </cell>
          <cell r="DI80">
            <v>3035</v>
          </cell>
          <cell r="DJ80">
            <v>1.6451400329489292</v>
          </cell>
          <cell r="DK80">
            <v>-7.5933266399919042E-4</v>
          </cell>
          <cell r="DL80">
            <v>7.69</v>
          </cell>
          <cell r="DM80">
            <v>1.39</v>
          </cell>
        </row>
        <row r="81">
          <cell r="B81" t="str">
            <v>Wentworth Shire Council</v>
          </cell>
          <cell r="C81">
            <v>10</v>
          </cell>
          <cell r="D81">
            <v>706000</v>
          </cell>
          <cell r="E81">
            <v>2003</v>
          </cell>
          <cell r="F81">
            <v>352.47129306040938</v>
          </cell>
          <cell r="G81">
            <v>984000</v>
          </cell>
          <cell r="H81">
            <v>898</v>
          </cell>
          <cell r="I81">
            <v>1095.7683741648107</v>
          </cell>
          <cell r="J81">
            <v>221000</v>
          </cell>
          <cell r="K81">
            <v>181</v>
          </cell>
          <cell r="L81">
            <v>1220.9944751381215</v>
          </cell>
          <cell r="M81">
            <v>707000</v>
          </cell>
          <cell r="N81">
            <v>6675000</v>
          </cell>
          <cell r="O81">
            <v>0.10591760299625468</v>
          </cell>
          <cell r="P81">
            <v>120000</v>
          </cell>
          <cell r="Q81">
            <v>3545000</v>
          </cell>
          <cell r="R81">
            <v>3.3850493653032443E-2</v>
          </cell>
          <cell r="S81">
            <v>250000</v>
          </cell>
          <cell r="T81">
            <v>2760000</v>
          </cell>
          <cell r="U81">
            <v>9.0579710144927536E-2</v>
          </cell>
          <cell r="V81">
            <v>3665000</v>
          </cell>
          <cell r="W81">
            <v>13631000</v>
          </cell>
          <cell r="X81">
            <v>0.26887242315310689</v>
          </cell>
          <cell r="Y81">
            <v>3010000</v>
          </cell>
          <cell r="Z81">
            <v>13631000</v>
          </cell>
          <cell r="AA81">
            <v>0.22082018927444794</v>
          </cell>
          <cell r="AB81">
            <v>134000</v>
          </cell>
          <cell r="AC81">
            <v>13631000</v>
          </cell>
          <cell r="AD81">
            <v>9.830533343114959E-3</v>
          </cell>
          <cell r="AE81">
            <v>4945000</v>
          </cell>
          <cell r="AF81">
            <v>13631000</v>
          </cell>
          <cell r="AG81">
            <v>0.36277602523659308</v>
          </cell>
          <cell r="AH81">
            <v>1836000</v>
          </cell>
          <cell r="AI81">
            <v>13631000</v>
          </cell>
          <cell r="AJ81">
            <v>0.13469297923850049</v>
          </cell>
          <cell r="AK81">
            <v>41000</v>
          </cell>
          <cell r="AL81">
            <v>13631000</v>
          </cell>
          <cell r="AM81">
            <v>3.0078497542366666E-3</v>
          </cell>
          <cell r="AN81">
            <v>10261000</v>
          </cell>
          <cell r="AO81">
            <v>7211</v>
          </cell>
          <cell r="AP81">
            <v>1422.964914713632</v>
          </cell>
          <cell r="AQ81">
            <v>3925000</v>
          </cell>
          <cell r="AR81">
            <v>13451000</v>
          </cell>
          <cell r="AS81">
            <v>0.2917998661809531</v>
          </cell>
          <cell r="AT81">
            <v>5452000</v>
          </cell>
          <cell r="AU81">
            <v>13451000</v>
          </cell>
          <cell r="AV81">
            <v>0.40532302431046019</v>
          </cell>
          <cell r="AW81">
            <v>446000</v>
          </cell>
          <cell r="AX81">
            <v>13451000</v>
          </cell>
          <cell r="AY81">
            <v>3.3157386067950337E-2</v>
          </cell>
          <cell r="AZ81">
            <v>2745000</v>
          </cell>
          <cell r="BA81">
            <v>13451000</v>
          </cell>
          <cell r="BB81">
            <v>0.20407404653929076</v>
          </cell>
          <cell r="BC81">
            <v>883000</v>
          </cell>
          <cell r="BD81">
            <v>13451000</v>
          </cell>
          <cell r="BE81">
            <v>6.5645676901345623E-2</v>
          </cell>
          <cell r="BF81">
            <v>11353000</v>
          </cell>
          <cell r="BG81">
            <v>7211</v>
          </cell>
          <cell r="BH81">
            <v>1574.4002218832341</v>
          </cell>
          <cell r="BI81">
            <v>4401000</v>
          </cell>
          <cell r="BJ81">
            <v>2009000</v>
          </cell>
          <cell r="BK81">
            <v>2.1906421105027376</v>
          </cell>
          <cell r="BL81">
            <v>839000</v>
          </cell>
          <cell r="BM81">
            <v>10361000</v>
          </cell>
          <cell r="BN81">
            <v>8.0976739696940456E-2</v>
          </cell>
          <cell r="BO81">
            <v>946000</v>
          </cell>
          <cell r="BP81">
            <v>2059000</v>
          </cell>
          <cell r="BQ81">
            <v>0.45944633317144246</v>
          </cell>
          <cell r="BR81">
            <v>85.5</v>
          </cell>
          <cell r="BS81" t="str">
            <v>Not Received</v>
          </cell>
          <cell r="BT81" t="str">
            <v>Not Received</v>
          </cell>
          <cell r="BU81" t="str">
            <v>On Time</v>
          </cell>
          <cell r="BV81">
            <v>373000</v>
          </cell>
          <cell r="BW81">
            <v>7211</v>
          </cell>
          <cell r="BX81">
            <v>51.726528914158926</v>
          </cell>
          <cell r="BY81">
            <v>40849</v>
          </cell>
          <cell r="BZ81">
            <v>7211</v>
          </cell>
          <cell r="CA81">
            <v>5.6648176397170991</v>
          </cell>
          <cell r="CB81">
            <v>360000</v>
          </cell>
          <cell r="CC81">
            <v>1621</v>
          </cell>
          <cell r="CD81">
            <v>222.08513263417643</v>
          </cell>
          <cell r="CE81">
            <v>245701</v>
          </cell>
          <cell r="CF81">
            <v>2365</v>
          </cell>
          <cell r="CG81">
            <v>103.89048625792812</v>
          </cell>
          <cell r="CH81">
            <v>0</v>
          </cell>
          <cell r="CI81">
            <v>7211</v>
          </cell>
          <cell r="CJ81" t="str">
            <v>N/A</v>
          </cell>
          <cell r="CK81">
            <v>1315000</v>
          </cell>
          <cell r="CL81">
            <v>7211</v>
          </cell>
          <cell r="CM81">
            <v>182.36028290112327</v>
          </cell>
          <cell r="CN81">
            <v>650.73226467015695</v>
          </cell>
          <cell r="CO81">
            <v>725.55000324485695</v>
          </cell>
          <cell r="CP81">
            <v>348.04753820034</v>
          </cell>
          <cell r="CQ81">
            <v>470.71664904321699</v>
          </cell>
          <cell r="CR81">
            <v>247</v>
          </cell>
          <cell r="CS81">
            <v>7165</v>
          </cell>
          <cell r="CT81">
            <v>247</v>
          </cell>
          <cell r="CU81">
            <v>29.008097165991902</v>
          </cell>
          <cell r="CV81">
            <v>21</v>
          </cell>
          <cell r="CW81">
            <v>0</v>
          </cell>
          <cell r="CX81">
            <v>339000</v>
          </cell>
          <cell r="CY81">
            <v>0</v>
          </cell>
          <cell r="CZ81">
            <v>559000</v>
          </cell>
          <cell r="DA81">
            <v>7211</v>
          </cell>
          <cell r="DB81">
            <v>77.520454860629599</v>
          </cell>
          <cell r="DC81">
            <v>834000</v>
          </cell>
          <cell r="DD81">
            <v>7211</v>
          </cell>
          <cell r="DE81">
            <v>115.65663569546525</v>
          </cell>
          <cell r="DF81">
            <v>67000</v>
          </cell>
          <cell r="DG81">
            <v>7211</v>
          </cell>
          <cell r="DH81">
            <v>9.291360421578144</v>
          </cell>
          <cell r="DI81">
            <v>26268.7</v>
          </cell>
          <cell r="DJ81">
            <v>0.27450920677460244</v>
          </cell>
          <cell r="DK81">
            <v>-1.6632939683458581E-4</v>
          </cell>
          <cell r="DL81">
            <v>7.97</v>
          </cell>
          <cell r="DM81">
            <v>3.24</v>
          </cell>
        </row>
        <row r="82">
          <cell r="B82" t="str">
            <v>Sydney, The City of</v>
          </cell>
          <cell r="C82">
            <v>1</v>
          </cell>
          <cell r="D82">
            <v>7415000</v>
          </cell>
          <cell r="E82">
            <v>17161</v>
          </cell>
          <cell r="F82">
            <v>432.08437736728627</v>
          </cell>
          <cell r="G82">
            <v>0</v>
          </cell>
          <cell r="H82">
            <v>0</v>
          </cell>
          <cell r="I82" t="str">
            <v>N/A</v>
          </cell>
          <cell r="J82">
            <v>90615000</v>
          </cell>
          <cell r="K82">
            <v>8865</v>
          </cell>
          <cell r="L82">
            <v>10221.65820642978</v>
          </cell>
          <cell r="M82">
            <v>4432000</v>
          </cell>
          <cell r="N82">
            <v>137478000</v>
          </cell>
          <cell r="O82">
            <v>3.2237885334380774E-2</v>
          </cell>
          <cell r="P82">
            <v>6188000</v>
          </cell>
          <cell r="Q82">
            <v>94828000</v>
          </cell>
          <cell r="R82">
            <v>6.5254987978234272E-2</v>
          </cell>
          <cell r="S82">
            <v>1155000</v>
          </cell>
          <cell r="T82">
            <v>35307000</v>
          </cell>
          <cell r="U82">
            <v>3.271305973319738E-2</v>
          </cell>
          <cell r="V82">
            <v>101016000</v>
          </cell>
          <cell r="W82">
            <v>197791000</v>
          </cell>
          <cell r="X82">
            <v>0.51072091247832307</v>
          </cell>
          <cell r="Y82">
            <v>36462000</v>
          </cell>
          <cell r="Z82">
            <v>197791000</v>
          </cell>
          <cell r="AA82">
            <v>0.18434610270436977</v>
          </cell>
          <cell r="AB82">
            <v>6827000</v>
          </cell>
          <cell r="AC82">
            <v>197791000</v>
          </cell>
          <cell r="AD82">
            <v>3.4516231780010211E-2</v>
          </cell>
          <cell r="AE82">
            <v>3160000</v>
          </cell>
          <cell r="AF82">
            <v>197791000</v>
          </cell>
          <cell r="AG82">
            <v>1.5976460000707817E-2</v>
          </cell>
          <cell r="AH82">
            <v>12932000</v>
          </cell>
          <cell r="AI82">
            <v>197791000</v>
          </cell>
          <cell r="AJ82">
            <v>6.5382145800365027E-2</v>
          </cell>
          <cell r="AK82">
            <v>37394000</v>
          </cell>
          <cell r="AL82">
            <v>197791000</v>
          </cell>
          <cell r="AM82">
            <v>0.18905814723622411</v>
          </cell>
          <cell r="AN82">
            <v>184929000</v>
          </cell>
          <cell r="AO82">
            <v>29538</v>
          </cell>
          <cell r="AP82">
            <v>6260.7150111720493</v>
          </cell>
          <cell r="AQ82">
            <v>58827000</v>
          </cell>
          <cell r="AR82">
            <v>138496000</v>
          </cell>
          <cell r="AS82">
            <v>0.42475594963031421</v>
          </cell>
          <cell r="AT82">
            <v>21766000</v>
          </cell>
          <cell r="AU82">
            <v>138496000</v>
          </cell>
          <cell r="AV82">
            <v>0.15715977356746766</v>
          </cell>
          <cell r="AW82">
            <v>210000</v>
          </cell>
          <cell r="AX82">
            <v>138496000</v>
          </cell>
          <cell r="AY82">
            <v>1.5162892791127541E-3</v>
          </cell>
          <cell r="AZ82">
            <v>21117000</v>
          </cell>
          <cell r="BA82">
            <v>138496000</v>
          </cell>
          <cell r="BB82">
            <v>0.15247371765249537</v>
          </cell>
          <cell r="BC82">
            <v>36576000</v>
          </cell>
          <cell r="BD82">
            <v>138496000</v>
          </cell>
          <cell r="BE82">
            <v>0.26409426987060997</v>
          </cell>
          <cell r="BF82">
            <v>140143000</v>
          </cell>
          <cell r="BG82">
            <v>29538</v>
          </cell>
          <cell r="BH82">
            <v>4744.4986119574787</v>
          </cell>
          <cell r="BI82">
            <v>181807000</v>
          </cell>
          <cell r="BJ82">
            <v>43555000</v>
          </cell>
          <cell r="BK82">
            <v>4.1741935483870964</v>
          </cell>
          <cell r="BL82">
            <v>7125000</v>
          </cell>
          <cell r="BM82">
            <v>182380000</v>
          </cell>
          <cell r="BN82">
            <v>3.9066783638556861E-2</v>
          </cell>
          <cell r="BO82">
            <v>302807000</v>
          </cell>
          <cell r="BP82">
            <v>21117000</v>
          </cell>
          <cell r="BQ82">
            <v>14.339489510820666</v>
          </cell>
          <cell r="BR82">
            <v>1045</v>
          </cell>
          <cell r="BS82" t="str">
            <v>On Time</v>
          </cell>
          <cell r="BT82" t="str">
            <v>On Time</v>
          </cell>
          <cell r="BU82" t="str">
            <v>&lt;=16</v>
          </cell>
          <cell r="BV82">
            <v>2780000</v>
          </cell>
          <cell r="BW82">
            <v>29538</v>
          </cell>
          <cell r="BX82">
            <v>94.116053896675467</v>
          </cell>
          <cell r="BY82">
            <v>784118</v>
          </cell>
          <cell r="BZ82">
            <v>29538</v>
          </cell>
          <cell r="CA82">
            <v>26.546076240774596</v>
          </cell>
          <cell r="CB82">
            <v>2986000</v>
          </cell>
          <cell r="CC82">
            <v>40757</v>
          </cell>
          <cell r="CD82">
            <v>73.26348848050641</v>
          </cell>
          <cell r="CE82">
            <v>1405752</v>
          </cell>
          <cell r="CF82">
            <v>120088</v>
          </cell>
          <cell r="CG82">
            <v>11.706015588568382</v>
          </cell>
          <cell r="CH82">
            <v>2354530</v>
          </cell>
          <cell r="CI82">
            <v>29538</v>
          </cell>
          <cell r="CJ82">
            <v>79.711896540050105</v>
          </cell>
          <cell r="CK82">
            <v>8329474</v>
          </cell>
          <cell r="CL82">
            <v>29538</v>
          </cell>
          <cell r="CM82">
            <v>281.99180716365362</v>
          </cell>
          <cell r="CN82" t="str">
            <v>N/A</v>
          </cell>
          <cell r="CO82" t="str">
            <v>N/A</v>
          </cell>
          <cell r="CP82" t="str">
            <v>N/A</v>
          </cell>
          <cell r="CQ82" t="str">
            <v>N/A</v>
          </cell>
          <cell r="CR82">
            <v>959</v>
          </cell>
          <cell r="CS82">
            <v>27991</v>
          </cell>
          <cell r="CT82">
            <v>959</v>
          </cell>
          <cell r="CU82">
            <v>29.18769551616267</v>
          </cell>
          <cell r="CV82">
            <v>22</v>
          </cell>
          <cell r="CW82">
            <v>297000</v>
          </cell>
          <cell r="CX82">
            <v>4826000</v>
          </cell>
          <cell r="CY82">
            <v>6.1541649399088273E-2</v>
          </cell>
          <cell r="CZ82">
            <v>1170000</v>
          </cell>
          <cell r="DA82">
            <v>29538</v>
          </cell>
          <cell r="DB82">
            <v>39.609993906154784</v>
          </cell>
          <cell r="DC82">
            <v>4563000</v>
          </cell>
          <cell r="DD82">
            <v>29538</v>
          </cell>
          <cell r="DE82">
            <v>154.47897623400365</v>
          </cell>
          <cell r="DF82">
            <v>1623000</v>
          </cell>
          <cell r="DG82">
            <v>29538</v>
          </cell>
          <cell r="DH82">
            <v>54.946171033922404</v>
          </cell>
          <cell r="DI82">
            <v>6.7</v>
          </cell>
          <cell r="DJ82">
            <v>4408.6567164179105</v>
          </cell>
          <cell r="DK82">
            <v>0.12350281361989968</v>
          </cell>
          <cell r="DL82">
            <v>0.93</v>
          </cell>
          <cell r="DM82">
            <v>24.04</v>
          </cell>
        </row>
        <row r="83">
          <cell r="B83" t="str">
            <v>Kempsey Shire Council</v>
          </cell>
          <cell r="C83">
            <v>4</v>
          </cell>
          <cell r="D83">
            <v>4922000</v>
          </cell>
          <cell r="E83">
            <v>11356</v>
          </cell>
          <cell r="F83">
            <v>433.4272631208172</v>
          </cell>
          <cell r="G83">
            <v>1451000</v>
          </cell>
          <cell r="H83">
            <v>1430</v>
          </cell>
          <cell r="I83">
            <v>1014.6853146853147</v>
          </cell>
          <cell r="J83">
            <v>797000</v>
          </cell>
          <cell r="K83">
            <v>756</v>
          </cell>
          <cell r="L83">
            <v>1054.2328042328043</v>
          </cell>
          <cell r="M83">
            <v>1646000</v>
          </cell>
          <cell r="N83">
            <v>22243000</v>
          </cell>
          <cell r="O83">
            <v>7.400080924335746E-2</v>
          </cell>
          <cell r="P83">
            <v>539000</v>
          </cell>
          <cell r="Q83">
            <v>16195000</v>
          </cell>
          <cell r="R83">
            <v>3.3281877122568693E-2</v>
          </cell>
          <cell r="S83">
            <v>525000</v>
          </cell>
          <cell r="T83">
            <v>4984000</v>
          </cell>
          <cell r="U83">
            <v>0.10533707865168539</v>
          </cell>
          <cell r="V83">
            <v>16734000</v>
          </cell>
          <cell r="W83">
            <v>40010000</v>
          </cell>
          <cell r="X83">
            <v>0.41824543864033992</v>
          </cell>
          <cell r="Y83">
            <v>5509000</v>
          </cell>
          <cell r="Z83">
            <v>40010000</v>
          </cell>
          <cell r="AA83">
            <v>0.13769057735566109</v>
          </cell>
          <cell r="AB83">
            <v>1069000</v>
          </cell>
          <cell r="AC83">
            <v>40010000</v>
          </cell>
          <cell r="AD83">
            <v>2.6718320419895025E-2</v>
          </cell>
          <cell r="AE83">
            <v>10925000</v>
          </cell>
          <cell r="AF83">
            <v>40010000</v>
          </cell>
          <cell r="AG83">
            <v>0.273056735816046</v>
          </cell>
          <cell r="AH83">
            <v>5735000</v>
          </cell>
          <cell r="AI83">
            <v>40010000</v>
          </cell>
          <cell r="AJ83">
            <v>0.14333916520869783</v>
          </cell>
          <cell r="AK83">
            <v>38000</v>
          </cell>
          <cell r="AL83">
            <v>40010000</v>
          </cell>
          <cell r="AM83">
            <v>9.4976255936015991E-4</v>
          </cell>
          <cell r="AN83">
            <v>22083000</v>
          </cell>
          <cell r="AO83">
            <v>27594</v>
          </cell>
          <cell r="AP83">
            <v>800.28267014568382</v>
          </cell>
          <cell r="AQ83">
            <v>12468000</v>
          </cell>
          <cell r="AR83">
            <v>35151000</v>
          </cell>
          <cell r="AS83">
            <v>0.35469830161304089</v>
          </cell>
          <cell r="AT83">
            <v>9116000</v>
          </cell>
          <cell r="AU83">
            <v>35151000</v>
          </cell>
          <cell r="AV83">
            <v>0.2593382834058775</v>
          </cell>
          <cell r="AW83">
            <v>1779000</v>
          </cell>
          <cell r="AX83">
            <v>35151000</v>
          </cell>
          <cell r="AY83">
            <v>5.0610224460186051E-2</v>
          </cell>
          <cell r="AZ83">
            <v>9487000</v>
          </cell>
          <cell r="BA83">
            <v>35151000</v>
          </cell>
          <cell r="BB83">
            <v>0.26989274842820971</v>
          </cell>
          <cell r="BC83">
            <v>2301000</v>
          </cell>
          <cell r="BD83">
            <v>35151000</v>
          </cell>
          <cell r="BE83">
            <v>6.5460442092685839E-2</v>
          </cell>
          <cell r="BF83">
            <v>26330000</v>
          </cell>
          <cell r="BG83">
            <v>27594</v>
          </cell>
          <cell r="BH83">
            <v>954.19294049431039</v>
          </cell>
          <cell r="BI83">
            <v>7964000</v>
          </cell>
          <cell r="BJ83">
            <v>6306000</v>
          </cell>
          <cell r="BK83">
            <v>1.2629241991753886</v>
          </cell>
          <cell r="BL83">
            <v>4989000</v>
          </cell>
          <cell r="BM83">
            <v>27548000</v>
          </cell>
          <cell r="BN83">
            <v>0.18110207637578046</v>
          </cell>
          <cell r="BO83">
            <v>7074000</v>
          </cell>
          <cell r="BP83">
            <v>7473000</v>
          </cell>
          <cell r="BQ83">
            <v>0.94660778803693291</v>
          </cell>
          <cell r="BR83">
            <v>286</v>
          </cell>
          <cell r="BS83" t="str">
            <v>On Time</v>
          </cell>
          <cell r="BT83" t="str">
            <v>On Time</v>
          </cell>
          <cell r="BU83" t="str">
            <v>On Time</v>
          </cell>
          <cell r="BV83">
            <v>759000</v>
          </cell>
          <cell r="BW83">
            <v>27594</v>
          </cell>
          <cell r="BX83">
            <v>27.50597956077408</v>
          </cell>
          <cell r="BY83">
            <v>212366</v>
          </cell>
          <cell r="BZ83">
            <v>27594</v>
          </cell>
          <cell r="CA83">
            <v>7.6960933536276004</v>
          </cell>
          <cell r="CB83">
            <v>1063000</v>
          </cell>
          <cell r="CC83">
            <v>9549</v>
          </cell>
          <cell r="CD83">
            <v>111.32055712640067</v>
          </cell>
          <cell r="CE83">
            <v>673000</v>
          </cell>
          <cell r="CF83">
            <v>9925</v>
          </cell>
          <cell r="CG83">
            <v>67.808564231738032</v>
          </cell>
          <cell r="CH83">
            <v>1456000</v>
          </cell>
          <cell r="CI83">
            <v>27594</v>
          </cell>
          <cell r="CJ83">
            <v>52.765093860984273</v>
          </cell>
          <cell r="CK83">
            <v>8868480</v>
          </cell>
          <cell r="CL83">
            <v>27594</v>
          </cell>
          <cell r="CM83">
            <v>321.39160687105891</v>
          </cell>
          <cell r="CN83">
            <v>401.791101918859</v>
          </cell>
          <cell r="CO83">
            <v>290</v>
          </cell>
          <cell r="CP83">
            <v>437.18805787715797</v>
          </cell>
          <cell r="CQ83">
            <v>484</v>
          </cell>
          <cell r="CR83">
            <v>792</v>
          </cell>
          <cell r="CS83">
            <v>23171</v>
          </cell>
          <cell r="CT83">
            <v>792</v>
          </cell>
          <cell r="CU83">
            <v>29.256313131313131</v>
          </cell>
          <cell r="CV83">
            <v>25</v>
          </cell>
          <cell r="CW83">
            <v>1000</v>
          </cell>
          <cell r="CX83">
            <v>1146000</v>
          </cell>
          <cell r="CY83">
            <v>8.7260034904013963E-4</v>
          </cell>
          <cell r="CZ83">
            <v>1862000</v>
          </cell>
          <cell r="DA83">
            <v>27594</v>
          </cell>
          <cell r="DB83">
            <v>67.478437341451041</v>
          </cell>
          <cell r="DC83">
            <v>1580000</v>
          </cell>
          <cell r="DD83">
            <v>27594</v>
          </cell>
          <cell r="DE83">
            <v>57.258824382112053</v>
          </cell>
          <cell r="DF83">
            <v>1590000</v>
          </cell>
          <cell r="DG83">
            <v>27594</v>
          </cell>
          <cell r="DH83">
            <v>57.621222004783647</v>
          </cell>
          <cell r="DI83">
            <v>3379.6</v>
          </cell>
          <cell r="DJ83">
            <v>8.1648715824357918</v>
          </cell>
          <cell r="DK83">
            <v>7.8422651711045344E-3</v>
          </cell>
          <cell r="DL83">
            <v>8.49</v>
          </cell>
          <cell r="DM83">
            <v>2.25</v>
          </cell>
        </row>
        <row r="84">
          <cell r="B84" t="str">
            <v>Tumut Shire Council</v>
          </cell>
          <cell r="C84">
            <v>11</v>
          </cell>
          <cell r="D84">
            <v>1746000</v>
          </cell>
          <cell r="E84">
            <v>4173</v>
          </cell>
          <cell r="F84">
            <v>418.40402588066138</v>
          </cell>
          <cell r="G84">
            <v>1479000</v>
          </cell>
          <cell r="H84">
            <v>1073</v>
          </cell>
          <cell r="I84">
            <v>1378.3783783783783</v>
          </cell>
          <cell r="J84">
            <v>541000</v>
          </cell>
          <cell r="K84">
            <v>409</v>
          </cell>
          <cell r="L84">
            <v>1322.7383863080684</v>
          </cell>
          <cell r="M84">
            <v>1939000</v>
          </cell>
          <cell r="N84">
            <v>13231000</v>
          </cell>
          <cell r="O84">
            <v>0.14654976948076487</v>
          </cell>
          <cell r="P84">
            <v>722000</v>
          </cell>
          <cell r="Q84">
            <v>6798000</v>
          </cell>
          <cell r="R84">
            <v>0.10620770814945572</v>
          </cell>
          <cell r="S84">
            <v>484000</v>
          </cell>
          <cell r="T84">
            <v>5227000</v>
          </cell>
          <cell r="U84">
            <v>9.259613545054525E-2</v>
          </cell>
          <cell r="V84">
            <v>7520000</v>
          </cell>
          <cell r="W84">
            <v>21471000</v>
          </cell>
          <cell r="X84">
            <v>0.35023985841367428</v>
          </cell>
          <cell r="Y84">
            <v>5711000</v>
          </cell>
          <cell r="Z84">
            <v>21471000</v>
          </cell>
          <cell r="AA84">
            <v>0.26598667970751244</v>
          </cell>
          <cell r="AB84">
            <v>624000</v>
          </cell>
          <cell r="AC84">
            <v>21471000</v>
          </cell>
          <cell r="AD84">
            <v>2.906245633645382E-2</v>
          </cell>
          <cell r="AE84">
            <v>4697000</v>
          </cell>
          <cell r="AF84">
            <v>21471000</v>
          </cell>
          <cell r="AG84">
            <v>0.218760188160775</v>
          </cell>
          <cell r="AH84">
            <v>2450000</v>
          </cell>
          <cell r="AI84">
            <v>21471000</v>
          </cell>
          <cell r="AJ84">
            <v>0.11410740067998695</v>
          </cell>
          <cell r="AK84">
            <v>469000</v>
          </cell>
          <cell r="AL84">
            <v>21471000</v>
          </cell>
          <cell r="AM84">
            <v>2.1843416701597503E-2</v>
          </cell>
          <cell r="AN84">
            <v>15524000</v>
          </cell>
          <cell r="AO84">
            <v>11452</v>
          </cell>
          <cell r="AP84">
            <v>1355.5710792874606</v>
          </cell>
          <cell r="AQ84">
            <v>6155000</v>
          </cell>
          <cell r="AR84">
            <v>19061000</v>
          </cell>
          <cell r="AS84">
            <v>0.32291065526467655</v>
          </cell>
          <cell r="AT84">
            <v>5786000</v>
          </cell>
          <cell r="AU84">
            <v>19061000</v>
          </cell>
          <cell r="AV84">
            <v>0.30355175489218822</v>
          </cell>
          <cell r="AW84">
            <v>89000</v>
          </cell>
          <cell r="AX84">
            <v>19061000</v>
          </cell>
          <cell r="AY84">
            <v>4.66921987303919E-3</v>
          </cell>
          <cell r="AZ84">
            <v>5021000</v>
          </cell>
          <cell r="BA84">
            <v>19061000</v>
          </cell>
          <cell r="BB84">
            <v>0.26341744924190758</v>
          </cell>
          <cell r="BC84">
            <v>2010000</v>
          </cell>
          <cell r="BD84">
            <v>19061000</v>
          </cell>
          <cell r="BE84">
            <v>0.10545092072818844</v>
          </cell>
          <cell r="BF84">
            <v>15530000</v>
          </cell>
          <cell r="BG84">
            <v>11452</v>
          </cell>
          <cell r="BH84">
            <v>1356.0950052392595</v>
          </cell>
          <cell r="BI84">
            <v>7566000</v>
          </cell>
          <cell r="BJ84">
            <v>2236000</v>
          </cell>
          <cell r="BK84">
            <v>3.3837209302325579</v>
          </cell>
          <cell r="BL84">
            <v>274000</v>
          </cell>
          <cell r="BM84">
            <v>18668000</v>
          </cell>
          <cell r="BN84">
            <v>1.4677523034068995E-2</v>
          </cell>
          <cell r="BO84">
            <v>2456000</v>
          </cell>
          <cell r="BP84">
            <v>3657000</v>
          </cell>
          <cell r="BQ84">
            <v>0.67158873393491936</v>
          </cell>
          <cell r="BR84">
            <v>112</v>
          </cell>
          <cell r="BS84" t="str">
            <v>On Time</v>
          </cell>
          <cell r="BT84" t="str">
            <v>Not Received</v>
          </cell>
          <cell r="BU84" t="str">
            <v>On Time</v>
          </cell>
          <cell r="BV84">
            <v>305000</v>
          </cell>
          <cell r="BW84">
            <v>11452</v>
          </cell>
          <cell r="BX84">
            <v>26.632902549772965</v>
          </cell>
          <cell r="BY84">
            <v>59559</v>
          </cell>
          <cell r="BZ84">
            <v>11452</v>
          </cell>
          <cell r="CA84">
            <v>5.2007509605309119</v>
          </cell>
          <cell r="CB84">
            <v>736000</v>
          </cell>
          <cell r="CC84">
            <v>3699</v>
          </cell>
          <cell r="CD84">
            <v>198.97269532306029</v>
          </cell>
          <cell r="CE84">
            <v>232000</v>
          </cell>
          <cell r="CF84">
            <v>3699</v>
          </cell>
          <cell r="CG84">
            <v>62.719653960529875</v>
          </cell>
          <cell r="CH84">
            <v>2000000</v>
          </cell>
          <cell r="CI84">
            <v>11452</v>
          </cell>
          <cell r="CJ84">
            <v>174.64198393293748</v>
          </cell>
          <cell r="CK84">
            <v>3500000</v>
          </cell>
          <cell r="CL84">
            <v>11452</v>
          </cell>
          <cell r="CM84">
            <v>305.62347188264062</v>
          </cell>
          <cell r="CN84">
            <v>425.91867554113799</v>
          </cell>
          <cell r="CO84">
            <v>413.390755671291</v>
          </cell>
          <cell r="CP84">
            <v>428.760688907624</v>
          </cell>
          <cell r="CQ84">
            <v>479.45778595933399</v>
          </cell>
          <cell r="CR84">
            <v>391</v>
          </cell>
          <cell r="CS84">
            <v>11488</v>
          </cell>
          <cell r="CT84">
            <v>391</v>
          </cell>
          <cell r="CU84">
            <v>29.381074168797955</v>
          </cell>
          <cell r="CV84">
            <v>19</v>
          </cell>
          <cell r="CW84">
            <v>1000</v>
          </cell>
          <cell r="CX84">
            <v>592000</v>
          </cell>
          <cell r="CY84">
            <v>1.6891891891891893E-3</v>
          </cell>
          <cell r="CZ84">
            <v>359000</v>
          </cell>
          <cell r="DA84">
            <v>11452</v>
          </cell>
          <cell r="DB84">
            <v>31.348236115962276</v>
          </cell>
          <cell r="DC84">
            <v>1066000</v>
          </cell>
          <cell r="DD84">
            <v>11452</v>
          </cell>
          <cell r="DE84">
            <v>93.084177436255672</v>
          </cell>
          <cell r="DF84">
            <v>174000</v>
          </cell>
          <cell r="DG84">
            <v>11452</v>
          </cell>
          <cell r="DH84">
            <v>15.19385260216556</v>
          </cell>
          <cell r="DI84">
            <v>3767.1</v>
          </cell>
          <cell r="DJ84">
            <v>3.0400042472989832</v>
          </cell>
          <cell r="DK84">
            <v>1.314986573294874E-3</v>
          </cell>
          <cell r="DL84">
            <v>2.77</v>
          </cell>
          <cell r="DM84">
            <v>3.51</v>
          </cell>
        </row>
        <row r="85">
          <cell r="B85" t="str">
            <v>Dubbo City Council</v>
          </cell>
          <cell r="C85">
            <v>4</v>
          </cell>
          <cell r="D85">
            <v>6839000</v>
          </cell>
          <cell r="E85">
            <v>13146</v>
          </cell>
          <cell r="F85">
            <v>520.234291799787</v>
          </cell>
          <cell r="G85">
            <v>1151000</v>
          </cell>
          <cell r="H85">
            <v>654</v>
          </cell>
          <cell r="I85">
            <v>1759.9388379204893</v>
          </cell>
          <cell r="J85">
            <v>3820000</v>
          </cell>
          <cell r="K85">
            <v>1205</v>
          </cell>
          <cell r="L85">
            <v>3170.1244813278008</v>
          </cell>
          <cell r="M85">
            <v>3612000</v>
          </cell>
          <cell r="N85">
            <v>36283000</v>
          </cell>
          <cell r="O85">
            <v>9.9550753796543837E-2</v>
          </cell>
          <cell r="P85">
            <v>484000</v>
          </cell>
          <cell r="Q85">
            <v>22251000</v>
          </cell>
          <cell r="R85">
            <v>2.1751831378365016E-2</v>
          </cell>
          <cell r="S85">
            <v>1036000</v>
          </cell>
          <cell r="T85">
            <v>12512000</v>
          </cell>
          <cell r="U85">
            <v>8.2800511508951402E-2</v>
          </cell>
          <cell r="V85">
            <v>22735000</v>
          </cell>
          <cell r="W85">
            <v>54033000</v>
          </cell>
          <cell r="X85">
            <v>0.42076138656006512</v>
          </cell>
          <cell r="Y85">
            <v>13548000</v>
          </cell>
          <cell r="Z85">
            <v>54033000</v>
          </cell>
          <cell r="AA85">
            <v>0.25073566154016991</v>
          </cell>
          <cell r="AB85">
            <v>1828000</v>
          </cell>
          <cell r="AC85">
            <v>54033000</v>
          </cell>
          <cell r="AD85">
            <v>3.3831177243536355E-2</v>
          </cell>
          <cell r="AE85">
            <v>9480000</v>
          </cell>
          <cell r="AF85">
            <v>54033000</v>
          </cell>
          <cell r="AG85">
            <v>0.17544833712731109</v>
          </cell>
          <cell r="AH85">
            <v>5832000</v>
          </cell>
          <cell r="AI85">
            <v>54033000</v>
          </cell>
          <cell r="AJ85">
            <v>0.10793404030870024</v>
          </cell>
          <cell r="AK85">
            <v>610000</v>
          </cell>
          <cell r="AL85">
            <v>54033000</v>
          </cell>
          <cell r="AM85">
            <v>1.1289397220217275E-2</v>
          </cell>
          <cell r="AN85">
            <v>31522000</v>
          </cell>
          <cell r="AO85">
            <v>38866</v>
          </cell>
          <cell r="AP85">
            <v>811.04307106468377</v>
          </cell>
          <cell r="AQ85">
            <v>15577000</v>
          </cell>
          <cell r="AR85">
            <v>48420000</v>
          </cell>
          <cell r="AS85">
            <v>0.32170590665014459</v>
          </cell>
          <cell r="AT85">
            <v>12258000</v>
          </cell>
          <cell r="AU85">
            <v>48420000</v>
          </cell>
          <cell r="AV85">
            <v>0.25315985130111524</v>
          </cell>
          <cell r="AW85">
            <v>67000</v>
          </cell>
          <cell r="AX85">
            <v>48420000</v>
          </cell>
          <cell r="AY85">
            <v>1.3837257331681123E-3</v>
          </cell>
          <cell r="AZ85">
            <v>13600000</v>
          </cell>
          <cell r="BA85">
            <v>48420000</v>
          </cell>
          <cell r="BB85">
            <v>0.2808756712102437</v>
          </cell>
          <cell r="BC85">
            <v>6918000</v>
          </cell>
          <cell r="BD85">
            <v>48420000</v>
          </cell>
          <cell r="BE85">
            <v>0.14287484510532839</v>
          </cell>
          <cell r="BF85">
            <v>35306000</v>
          </cell>
          <cell r="BG85">
            <v>38866</v>
          </cell>
          <cell r="BH85">
            <v>908.40323161632273</v>
          </cell>
          <cell r="BI85">
            <v>20594000</v>
          </cell>
          <cell r="BJ85">
            <v>8105000</v>
          </cell>
          <cell r="BK85">
            <v>2.5409006785934607</v>
          </cell>
          <cell r="BL85">
            <v>225000</v>
          </cell>
          <cell r="BM85">
            <v>44458000</v>
          </cell>
          <cell r="BN85">
            <v>5.0609564082954696E-3</v>
          </cell>
          <cell r="BO85">
            <v>7851000</v>
          </cell>
          <cell r="BP85">
            <v>9725000</v>
          </cell>
          <cell r="BQ85">
            <v>0.80730077120822619</v>
          </cell>
          <cell r="BR85">
            <v>277</v>
          </cell>
          <cell r="BS85" t="str">
            <v>On Time</v>
          </cell>
          <cell r="BT85" t="str">
            <v>On Time</v>
          </cell>
          <cell r="BU85" t="str">
            <v>On Time</v>
          </cell>
          <cell r="BV85">
            <v>944000</v>
          </cell>
          <cell r="BW85">
            <v>38866</v>
          </cell>
          <cell r="BX85">
            <v>24.288581279267227</v>
          </cell>
          <cell r="BY85">
            <v>181618</v>
          </cell>
          <cell r="BZ85">
            <v>38866</v>
          </cell>
          <cell r="CA85">
            <v>4.6729274944681727</v>
          </cell>
          <cell r="CB85">
            <v>1309000</v>
          </cell>
          <cell r="CC85">
            <v>12562</v>
          </cell>
          <cell r="CD85">
            <v>104.20315236427321</v>
          </cell>
          <cell r="CE85">
            <v>1222861</v>
          </cell>
          <cell r="CF85">
            <v>13902</v>
          </cell>
          <cell r="CG85">
            <v>87.962954970507838</v>
          </cell>
          <cell r="CH85">
            <v>1177640</v>
          </cell>
          <cell r="CI85">
            <v>38866</v>
          </cell>
          <cell r="CJ85">
            <v>30.300005145885866</v>
          </cell>
          <cell r="CK85">
            <v>14902640</v>
          </cell>
          <cell r="CL85">
            <v>38866</v>
          </cell>
          <cell r="CM85">
            <v>383.43642258014717</v>
          </cell>
          <cell r="CN85">
            <v>454</v>
          </cell>
          <cell r="CO85">
            <v>522</v>
          </cell>
          <cell r="CP85">
            <v>387.69983373833003</v>
          </cell>
          <cell r="CQ85">
            <v>402</v>
          </cell>
          <cell r="CR85">
            <v>992</v>
          </cell>
          <cell r="CS85">
            <v>30008</v>
          </cell>
          <cell r="CT85">
            <v>992</v>
          </cell>
          <cell r="CU85">
            <v>30.25</v>
          </cell>
          <cell r="CV85">
            <v>23</v>
          </cell>
          <cell r="CW85">
            <v>24000</v>
          </cell>
          <cell r="CX85">
            <v>1900000</v>
          </cell>
          <cell r="CY85">
            <v>1.2631578947368421E-2</v>
          </cell>
          <cell r="CZ85">
            <v>627000</v>
          </cell>
          <cell r="DA85">
            <v>38866</v>
          </cell>
          <cell r="DB85">
            <v>16.132352184428548</v>
          </cell>
          <cell r="DC85">
            <v>4383000</v>
          </cell>
          <cell r="DD85">
            <v>38866</v>
          </cell>
          <cell r="DE85">
            <v>112.7720887150723</v>
          </cell>
          <cell r="DF85">
            <v>2181000</v>
          </cell>
          <cell r="DG85">
            <v>38866</v>
          </cell>
          <cell r="DH85">
            <v>56.115885349662946</v>
          </cell>
          <cell r="DI85">
            <v>3427.8</v>
          </cell>
          <cell r="DJ85">
            <v>11.338467821926599</v>
          </cell>
          <cell r="DK85">
            <v>1.0770138007279328E-2</v>
          </cell>
          <cell r="DL85">
            <v>9.06</v>
          </cell>
          <cell r="DM85">
            <v>2.0299999999999998</v>
          </cell>
        </row>
        <row r="86">
          <cell r="B86" t="str">
            <v>Murrurundi Shire Council</v>
          </cell>
          <cell r="C86">
            <v>9</v>
          </cell>
          <cell r="D86">
            <v>145000</v>
          </cell>
          <cell r="E86">
            <v>699</v>
          </cell>
          <cell r="F86">
            <v>207.43919885550787</v>
          </cell>
          <cell r="G86">
            <v>1280000</v>
          </cell>
          <cell r="H86">
            <v>542</v>
          </cell>
          <cell r="I86">
            <v>2361.6236162361624</v>
          </cell>
          <cell r="J86">
            <v>27000</v>
          </cell>
          <cell r="K86">
            <v>61</v>
          </cell>
          <cell r="L86">
            <v>442.62295081967216</v>
          </cell>
          <cell r="M86">
            <v>297000</v>
          </cell>
          <cell r="N86">
            <v>2480000</v>
          </cell>
          <cell r="O86">
            <v>0.11975806451612903</v>
          </cell>
          <cell r="P86">
            <v>77000</v>
          </cell>
          <cell r="Q86">
            <v>1882000</v>
          </cell>
          <cell r="R86">
            <v>4.0913921360255047E-2</v>
          </cell>
          <cell r="S86">
            <v>258000</v>
          </cell>
          <cell r="T86">
            <v>263000</v>
          </cell>
          <cell r="U86">
            <v>0.98098859315589348</v>
          </cell>
          <cell r="V86">
            <v>1959000</v>
          </cell>
          <cell r="W86">
            <v>4600000</v>
          </cell>
          <cell r="X86">
            <v>0.42586956521739128</v>
          </cell>
          <cell r="Y86">
            <v>521000</v>
          </cell>
          <cell r="Z86">
            <v>4600000</v>
          </cell>
          <cell r="AA86">
            <v>0.11326086956521739</v>
          </cell>
          <cell r="AB86">
            <v>181000</v>
          </cell>
          <cell r="AC86">
            <v>4600000</v>
          </cell>
          <cell r="AD86">
            <v>3.9347826086956521E-2</v>
          </cell>
          <cell r="AE86">
            <v>1767000</v>
          </cell>
          <cell r="AF86">
            <v>4600000</v>
          </cell>
          <cell r="AG86">
            <v>0.38413043478260872</v>
          </cell>
          <cell r="AH86">
            <v>23000</v>
          </cell>
          <cell r="AI86">
            <v>4600000</v>
          </cell>
          <cell r="AJ86">
            <v>5.0000000000000001E-3</v>
          </cell>
          <cell r="AK86">
            <v>149000</v>
          </cell>
          <cell r="AL86">
            <v>4600000</v>
          </cell>
          <cell r="AM86">
            <v>3.239130434782609E-2</v>
          </cell>
          <cell r="AN86">
            <v>3422000</v>
          </cell>
          <cell r="AO86">
            <v>2176</v>
          </cell>
          <cell r="AP86">
            <v>1572.6102941176471</v>
          </cell>
          <cell r="AQ86">
            <v>1960000</v>
          </cell>
          <cell r="AR86">
            <v>4254000</v>
          </cell>
          <cell r="AS86">
            <v>0.460742830277386</v>
          </cell>
          <cell r="AT86">
            <v>1102000</v>
          </cell>
          <cell r="AU86">
            <v>4254000</v>
          </cell>
          <cell r="AV86">
            <v>0.25905030559473435</v>
          </cell>
          <cell r="AW86">
            <v>37000</v>
          </cell>
          <cell r="AX86">
            <v>4254000</v>
          </cell>
          <cell r="AY86">
            <v>8.6976962858486134E-3</v>
          </cell>
          <cell r="AZ86">
            <v>736000</v>
          </cell>
          <cell r="BA86">
            <v>4254000</v>
          </cell>
          <cell r="BB86">
            <v>0.17301363422661026</v>
          </cell>
          <cell r="BC86">
            <v>419000</v>
          </cell>
          <cell r="BD86">
            <v>4254000</v>
          </cell>
          <cell r="BE86">
            <v>9.849553361542078E-2</v>
          </cell>
          <cell r="BF86">
            <v>3854000</v>
          </cell>
          <cell r="BG86">
            <v>2176</v>
          </cell>
          <cell r="BH86">
            <v>1771.1397058823529</v>
          </cell>
          <cell r="BI86">
            <v>1759000</v>
          </cell>
          <cell r="BJ86">
            <v>397000</v>
          </cell>
          <cell r="BK86">
            <v>4.430730478589421</v>
          </cell>
          <cell r="BL86">
            <v>113000</v>
          </cell>
          <cell r="BM86">
            <v>3542000</v>
          </cell>
          <cell r="BN86">
            <v>3.1902879728966688E-2</v>
          </cell>
          <cell r="BO86">
            <v>873000</v>
          </cell>
          <cell r="BP86">
            <v>590000</v>
          </cell>
          <cell r="BQ86">
            <v>1.4796610169491526</v>
          </cell>
          <cell r="BR86">
            <v>43</v>
          </cell>
          <cell r="BS86" t="str">
            <v>&lt;=8</v>
          </cell>
          <cell r="BT86" t="str">
            <v>&lt;=8</v>
          </cell>
          <cell r="BU86" t="str">
            <v>On Time</v>
          </cell>
          <cell r="BV86">
            <v>72000</v>
          </cell>
          <cell r="BW86">
            <v>2176</v>
          </cell>
          <cell r="BX86">
            <v>33.088235294117645</v>
          </cell>
          <cell r="BY86">
            <v>13675</v>
          </cell>
          <cell r="BZ86">
            <v>2176</v>
          </cell>
          <cell r="CA86">
            <v>6.2844669117647056</v>
          </cell>
          <cell r="CB86">
            <v>49000</v>
          </cell>
          <cell r="CC86">
            <v>661</v>
          </cell>
          <cell r="CD86">
            <v>74.130105900151293</v>
          </cell>
          <cell r="CE86">
            <v>32875</v>
          </cell>
          <cell r="CF86">
            <v>597</v>
          </cell>
          <cell r="CG86">
            <v>55.06700167504188</v>
          </cell>
          <cell r="CH86">
            <v>0</v>
          </cell>
          <cell r="CI86">
            <v>2176</v>
          </cell>
          <cell r="CJ86" t="str">
            <v>N/A</v>
          </cell>
          <cell r="CK86">
            <v>0</v>
          </cell>
          <cell r="CL86">
            <v>2176</v>
          </cell>
          <cell r="CM86" t="str">
            <v>N/A</v>
          </cell>
          <cell r="CN86">
            <v>507.81726841635799</v>
          </cell>
          <cell r="CO86">
            <v>437.761069340017</v>
          </cell>
          <cell r="CP86">
            <v>274.87845131361797</v>
          </cell>
          <cell r="CQ86">
            <v>250.043713936003</v>
          </cell>
          <cell r="CR86">
            <v>57</v>
          </cell>
          <cell r="CS86">
            <v>1733</v>
          </cell>
          <cell r="CT86">
            <v>57</v>
          </cell>
          <cell r="CU86">
            <v>30.403508771929825</v>
          </cell>
          <cell r="CV86">
            <v>27</v>
          </cell>
          <cell r="CW86">
            <v>0</v>
          </cell>
          <cell r="CX86">
            <v>54000</v>
          </cell>
          <cell r="CY86">
            <v>0</v>
          </cell>
          <cell r="CZ86">
            <v>49000</v>
          </cell>
          <cell r="DA86">
            <v>2176</v>
          </cell>
          <cell r="DB86">
            <v>22.518382352941178</v>
          </cell>
          <cell r="DC86">
            <v>178000</v>
          </cell>
          <cell r="DD86">
            <v>2176</v>
          </cell>
          <cell r="DE86">
            <v>81.80147058823529</v>
          </cell>
          <cell r="DF86">
            <v>142000</v>
          </cell>
          <cell r="DG86">
            <v>2176</v>
          </cell>
          <cell r="DH86">
            <v>65.257352941176464</v>
          </cell>
          <cell r="DI86">
            <v>2480.6</v>
          </cell>
          <cell r="DJ86">
            <v>0.8772071273079094</v>
          </cell>
          <cell r="DK86">
            <v>-6.9307373779855519E-3</v>
          </cell>
          <cell r="DL86">
            <v>2.39</v>
          </cell>
          <cell r="DM86">
            <v>2.16</v>
          </cell>
        </row>
        <row r="87">
          <cell r="B87" t="str">
            <v>Armidale Dumaresq Council</v>
          </cell>
          <cell r="C87">
            <v>4</v>
          </cell>
          <cell r="D87">
            <v>5257000</v>
          </cell>
          <cell r="E87">
            <v>7938</v>
          </cell>
          <cell r="F87">
            <v>662.25749559082897</v>
          </cell>
          <cell r="G87">
            <v>1421000</v>
          </cell>
          <cell r="H87">
            <v>880</v>
          </cell>
          <cell r="I87">
            <v>1614.7727272727273</v>
          </cell>
          <cell r="J87">
            <v>1214000</v>
          </cell>
          <cell r="K87">
            <v>560</v>
          </cell>
          <cell r="L87">
            <v>2167.8571428571427</v>
          </cell>
          <cell r="M87">
            <v>1727000</v>
          </cell>
          <cell r="N87">
            <v>19313000</v>
          </cell>
          <cell r="O87">
            <v>8.9421633096877756E-2</v>
          </cell>
          <cell r="P87">
            <v>379000</v>
          </cell>
          <cell r="Q87">
            <v>11280000</v>
          </cell>
          <cell r="R87">
            <v>3.3599290780141844E-2</v>
          </cell>
          <cell r="S87">
            <v>-566000</v>
          </cell>
          <cell r="T87">
            <v>8220000</v>
          </cell>
          <cell r="U87">
            <v>-6.8856447688564471E-2</v>
          </cell>
          <cell r="V87">
            <v>11659000</v>
          </cell>
          <cell r="W87">
            <v>28090000</v>
          </cell>
          <cell r="X87">
            <v>0.41505873976504093</v>
          </cell>
          <cell r="Y87">
            <v>7654000</v>
          </cell>
          <cell r="Z87">
            <v>28090000</v>
          </cell>
          <cell r="AA87">
            <v>0.27248131007475968</v>
          </cell>
          <cell r="AB87">
            <v>950000</v>
          </cell>
          <cell r="AC87">
            <v>28090000</v>
          </cell>
          <cell r="AD87">
            <v>3.3819864720541118E-2</v>
          </cell>
          <cell r="AE87">
            <v>5078000</v>
          </cell>
          <cell r="AF87">
            <v>28090000</v>
          </cell>
          <cell r="AG87">
            <v>0.18077607689569242</v>
          </cell>
          <cell r="AH87">
            <v>1999000</v>
          </cell>
          <cell r="AI87">
            <v>28090000</v>
          </cell>
          <cell r="AJ87">
            <v>7.1164115343538628E-2</v>
          </cell>
          <cell r="AK87">
            <v>750000</v>
          </cell>
          <cell r="AL87">
            <v>28090000</v>
          </cell>
          <cell r="AM87">
            <v>2.6699893200427198E-2</v>
          </cell>
          <cell r="AN87">
            <v>19116000</v>
          </cell>
          <cell r="AO87">
            <v>24780</v>
          </cell>
          <cell r="AP87">
            <v>771.42857142857144</v>
          </cell>
          <cell r="AQ87">
            <v>10656000</v>
          </cell>
          <cell r="AR87">
            <v>27727000</v>
          </cell>
          <cell r="AS87">
            <v>0.38431853428066504</v>
          </cell>
          <cell r="AT87">
            <v>6433000</v>
          </cell>
          <cell r="AU87">
            <v>27727000</v>
          </cell>
          <cell r="AV87">
            <v>0.23201211815198183</v>
          </cell>
          <cell r="AW87">
            <v>686000</v>
          </cell>
          <cell r="AX87">
            <v>27727000</v>
          </cell>
          <cell r="AY87">
            <v>2.474122696288816E-2</v>
          </cell>
          <cell r="AZ87">
            <v>6918000</v>
          </cell>
          <cell r="BA87">
            <v>27727000</v>
          </cell>
          <cell r="BB87">
            <v>0.24950409348288671</v>
          </cell>
          <cell r="BC87">
            <v>3034000</v>
          </cell>
          <cell r="BD87">
            <v>27727000</v>
          </cell>
          <cell r="BE87">
            <v>0.10942402712157824</v>
          </cell>
          <cell r="BF87">
            <v>22042000</v>
          </cell>
          <cell r="BG87">
            <v>24780</v>
          </cell>
          <cell r="BH87">
            <v>889.50766747376917</v>
          </cell>
          <cell r="BI87">
            <v>10983000</v>
          </cell>
          <cell r="BJ87">
            <v>4286000</v>
          </cell>
          <cell r="BK87">
            <v>2.5625291647223518</v>
          </cell>
          <cell r="BL87">
            <v>1659000</v>
          </cell>
          <cell r="BM87">
            <v>24242000</v>
          </cell>
          <cell r="BN87">
            <v>6.8434947611583197E-2</v>
          </cell>
          <cell r="BO87">
            <v>3980000</v>
          </cell>
          <cell r="BP87">
            <v>4635000</v>
          </cell>
          <cell r="BQ87">
            <v>0.85868392664509174</v>
          </cell>
          <cell r="BR87">
            <v>211.82</v>
          </cell>
          <cell r="BS87" t="str">
            <v>&lt;=2</v>
          </cell>
          <cell r="BT87" t="str">
            <v>&lt;=2</v>
          </cell>
          <cell r="BU87" t="str">
            <v>On Time</v>
          </cell>
          <cell r="BV87">
            <v>681000</v>
          </cell>
          <cell r="BW87">
            <v>24780</v>
          </cell>
          <cell r="BX87">
            <v>27.481840193704599</v>
          </cell>
          <cell r="BY87">
            <v>208412</v>
          </cell>
          <cell r="BZ87">
            <v>24780</v>
          </cell>
          <cell r="CA87">
            <v>8.4104923325262302</v>
          </cell>
          <cell r="CB87">
            <v>1403000</v>
          </cell>
          <cell r="CC87">
            <v>6837</v>
          </cell>
          <cell r="CD87">
            <v>205.20696211788797</v>
          </cell>
          <cell r="CE87">
            <v>676861</v>
          </cell>
          <cell r="CF87">
            <v>7723</v>
          </cell>
          <cell r="CG87">
            <v>87.64223747248478</v>
          </cell>
          <cell r="CH87">
            <v>11087000</v>
          </cell>
          <cell r="CI87">
            <v>24780</v>
          </cell>
          <cell r="CJ87">
            <v>447.41727199354318</v>
          </cell>
          <cell r="CK87">
            <v>9900000</v>
          </cell>
          <cell r="CL87">
            <v>24780</v>
          </cell>
          <cell r="CM87">
            <v>399.51573849878935</v>
          </cell>
          <cell r="CN87">
            <v>389.72616418571403</v>
          </cell>
          <cell r="CO87">
            <v>547</v>
          </cell>
          <cell r="CP87">
            <v>432</v>
          </cell>
          <cell r="CQ87">
            <v>421.98057286557099</v>
          </cell>
          <cell r="CR87">
            <v>349</v>
          </cell>
          <cell r="CS87">
            <v>10634</v>
          </cell>
          <cell r="CT87">
            <v>349</v>
          </cell>
          <cell r="CU87">
            <v>30.469914040114613</v>
          </cell>
          <cell r="CV87">
            <v>31.5</v>
          </cell>
          <cell r="CW87">
            <v>9000</v>
          </cell>
          <cell r="CX87">
            <v>613000</v>
          </cell>
          <cell r="CY87">
            <v>1.468189233278956E-2</v>
          </cell>
          <cell r="CZ87">
            <v>1743000</v>
          </cell>
          <cell r="DA87">
            <v>24780</v>
          </cell>
          <cell r="DB87">
            <v>70.33898305084746</v>
          </cell>
          <cell r="DC87">
            <v>1065000</v>
          </cell>
          <cell r="DD87">
            <v>24780</v>
          </cell>
          <cell r="DE87">
            <v>42.978208232445517</v>
          </cell>
          <cell r="DF87">
            <v>433000</v>
          </cell>
          <cell r="DG87">
            <v>24780</v>
          </cell>
          <cell r="DH87">
            <v>17.473769168684424</v>
          </cell>
          <cell r="DI87">
            <v>4234.8999999999996</v>
          </cell>
          <cell r="DJ87">
            <v>5.8513778365486795</v>
          </cell>
          <cell r="DK87">
            <v>-3.7902547263006792E-3</v>
          </cell>
          <cell r="DL87">
            <v>5.16</v>
          </cell>
          <cell r="DM87">
            <v>4.78</v>
          </cell>
        </row>
        <row r="88">
          <cell r="B88" t="str">
            <v>Leeton Shire Council</v>
          </cell>
          <cell r="C88">
            <v>11</v>
          </cell>
          <cell r="D88">
            <v>1812000</v>
          </cell>
          <cell r="E88">
            <v>3552</v>
          </cell>
          <cell r="F88">
            <v>510.13513513513516</v>
          </cell>
          <cell r="G88">
            <v>1628000</v>
          </cell>
          <cell r="H88">
            <v>751</v>
          </cell>
          <cell r="I88">
            <v>2167.7762982689746</v>
          </cell>
          <cell r="J88">
            <v>321000</v>
          </cell>
          <cell r="K88">
            <v>448</v>
          </cell>
          <cell r="L88">
            <v>716.51785714285711</v>
          </cell>
          <cell r="M88">
            <v>1201000</v>
          </cell>
          <cell r="N88">
            <v>9066000</v>
          </cell>
          <cell r="O88">
            <v>0.13247297595411428</v>
          </cell>
          <cell r="P88">
            <v>281000</v>
          </cell>
          <cell r="Q88">
            <v>5947000</v>
          </cell>
          <cell r="R88">
            <v>4.7250714646040019E-2</v>
          </cell>
          <cell r="S88">
            <v>164000</v>
          </cell>
          <cell r="T88">
            <v>2674000</v>
          </cell>
          <cell r="U88">
            <v>6.1331338818249814E-2</v>
          </cell>
          <cell r="V88">
            <v>6228000</v>
          </cell>
          <cell r="W88">
            <v>16824000</v>
          </cell>
          <cell r="X88">
            <v>0.37018544935805991</v>
          </cell>
          <cell r="Y88">
            <v>2838000</v>
          </cell>
          <cell r="Z88">
            <v>16824000</v>
          </cell>
          <cell r="AA88">
            <v>0.16868758915834522</v>
          </cell>
          <cell r="AB88">
            <v>433000</v>
          </cell>
          <cell r="AC88">
            <v>16824000</v>
          </cell>
          <cell r="AD88">
            <v>2.5737042320494532E-2</v>
          </cell>
          <cell r="AE88">
            <v>3429000</v>
          </cell>
          <cell r="AF88">
            <v>16824000</v>
          </cell>
          <cell r="AG88">
            <v>0.20381597717546363</v>
          </cell>
          <cell r="AH88">
            <v>3470000</v>
          </cell>
          <cell r="AI88">
            <v>16824000</v>
          </cell>
          <cell r="AJ88">
            <v>0.20625297194484071</v>
          </cell>
          <cell r="AK88">
            <v>426000</v>
          </cell>
          <cell r="AL88">
            <v>16824000</v>
          </cell>
          <cell r="AM88">
            <v>2.5320970042796005E-2</v>
          </cell>
          <cell r="AN88">
            <v>8918000</v>
          </cell>
          <cell r="AO88">
            <v>11978</v>
          </cell>
          <cell r="AP88">
            <v>744.53164134246117</v>
          </cell>
          <cell r="AQ88">
            <v>4986000</v>
          </cell>
          <cell r="AR88">
            <v>10287000</v>
          </cell>
          <cell r="AS88">
            <v>0.48468941382327208</v>
          </cell>
          <cell r="AT88">
            <v>2644000</v>
          </cell>
          <cell r="AU88">
            <v>10287000</v>
          </cell>
          <cell r="AV88">
            <v>0.25702342762710217</v>
          </cell>
          <cell r="AW88">
            <v>124000</v>
          </cell>
          <cell r="AX88">
            <v>10287000</v>
          </cell>
          <cell r="AY88">
            <v>1.2054048799455624E-2</v>
          </cell>
          <cell r="AZ88">
            <v>1851000</v>
          </cell>
          <cell r="BA88">
            <v>10287000</v>
          </cell>
          <cell r="BB88">
            <v>0.17993584135316418</v>
          </cell>
          <cell r="BC88">
            <v>682000</v>
          </cell>
          <cell r="BD88">
            <v>10287000</v>
          </cell>
          <cell r="BE88">
            <v>6.6297268397005935E-2</v>
          </cell>
          <cell r="BF88">
            <v>7878000</v>
          </cell>
          <cell r="BG88">
            <v>11978</v>
          </cell>
          <cell r="BH88">
            <v>657.70579395558525</v>
          </cell>
          <cell r="BI88">
            <v>3814000</v>
          </cell>
          <cell r="BJ88">
            <v>1367000</v>
          </cell>
          <cell r="BK88">
            <v>2.7900512070226773</v>
          </cell>
          <cell r="BL88">
            <v>356000</v>
          </cell>
          <cell r="BM88">
            <v>12179000</v>
          </cell>
          <cell r="BN88">
            <v>2.9230642909926923E-2</v>
          </cell>
          <cell r="BO88">
            <v>3459000</v>
          </cell>
          <cell r="BP88">
            <v>1142000</v>
          </cell>
          <cell r="BQ88">
            <v>3.0288966725043784</v>
          </cell>
          <cell r="BR88">
            <v>89</v>
          </cell>
          <cell r="BS88" t="str">
            <v>On Time</v>
          </cell>
          <cell r="BT88" t="str">
            <v>On Time</v>
          </cell>
          <cell r="BU88" t="str">
            <v>On Time</v>
          </cell>
          <cell r="BV88">
            <v>275000</v>
          </cell>
          <cell r="BW88">
            <v>11978</v>
          </cell>
          <cell r="BX88">
            <v>22.958757722491235</v>
          </cell>
          <cell r="BY88">
            <v>71288</v>
          </cell>
          <cell r="BZ88">
            <v>11978</v>
          </cell>
          <cell r="CA88">
            <v>5.9515778928034733</v>
          </cell>
          <cell r="CB88">
            <v>424000</v>
          </cell>
          <cell r="CC88">
            <v>3611</v>
          </cell>
          <cell r="CD88">
            <v>117.41899750761561</v>
          </cell>
          <cell r="CE88">
            <v>229713</v>
          </cell>
          <cell r="CF88">
            <v>3611</v>
          </cell>
          <cell r="CG88">
            <v>63.614788147327609</v>
          </cell>
          <cell r="CH88">
            <v>0</v>
          </cell>
          <cell r="CI88">
            <v>11978</v>
          </cell>
          <cell r="CJ88" t="str">
            <v>N/A</v>
          </cell>
          <cell r="CK88">
            <v>1980160</v>
          </cell>
          <cell r="CL88">
            <v>11978</v>
          </cell>
          <cell r="CM88">
            <v>165.3164134246118</v>
          </cell>
          <cell r="CN88">
            <v>534.178272616919</v>
          </cell>
          <cell r="CO88">
            <v>422</v>
          </cell>
          <cell r="CP88">
            <v>406.96844209624498</v>
          </cell>
          <cell r="CQ88">
            <v>373</v>
          </cell>
          <cell r="CR88">
            <v>241</v>
          </cell>
          <cell r="CS88">
            <v>7350</v>
          </cell>
          <cell r="CT88">
            <v>241</v>
          </cell>
          <cell r="CU88">
            <v>30.497925311203318</v>
          </cell>
          <cell r="CV88">
            <v>21</v>
          </cell>
          <cell r="CW88">
            <v>0</v>
          </cell>
          <cell r="CX88">
            <v>81000</v>
          </cell>
          <cell r="CY88">
            <v>0</v>
          </cell>
          <cell r="CZ88">
            <v>517000</v>
          </cell>
          <cell r="DA88">
            <v>11978</v>
          </cell>
          <cell r="DB88">
            <v>43.162464518283521</v>
          </cell>
          <cell r="DC88">
            <v>735000</v>
          </cell>
          <cell r="DD88">
            <v>11978</v>
          </cell>
          <cell r="DE88">
            <v>61.362497912840205</v>
          </cell>
          <cell r="DF88">
            <v>160000</v>
          </cell>
          <cell r="DG88">
            <v>11978</v>
          </cell>
          <cell r="DH88">
            <v>13.357822674903991</v>
          </cell>
          <cell r="DI88">
            <v>1167.3</v>
          </cell>
          <cell r="DJ88">
            <v>10.261286730060824</v>
          </cell>
          <cell r="DK88">
            <v>1.0473128488941885E-2</v>
          </cell>
          <cell r="DL88">
            <v>3.03</v>
          </cell>
          <cell r="DM88">
            <v>4.7</v>
          </cell>
        </row>
        <row r="89">
          <cell r="B89" t="str">
            <v>Crookwell Shire Council</v>
          </cell>
          <cell r="C89">
            <v>9</v>
          </cell>
          <cell r="D89">
            <v>406000</v>
          </cell>
          <cell r="E89">
            <v>1313</v>
          </cell>
          <cell r="F89">
            <v>309.21553693830924</v>
          </cell>
          <cell r="G89">
            <v>1951000</v>
          </cell>
          <cell r="H89">
            <v>1522</v>
          </cell>
          <cell r="I89">
            <v>1281.8659658344284</v>
          </cell>
          <cell r="J89">
            <v>56000</v>
          </cell>
          <cell r="K89">
            <v>157</v>
          </cell>
          <cell r="L89">
            <v>356.68789808917199</v>
          </cell>
          <cell r="M89">
            <v>518000</v>
          </cell>
          <cell r="N89">
            <v>6168000</v>
          </cell>
          <cell r="O89">
            <v>8.3981841763942924E-2</v>
          </cell>
          <cell r="P89">
            <v>127000</v>
          </cell>
          <cell r="Q89">
            <v>3404000</v>
          </cell>
          <cell r="R89">
            <v>3.7309048178613399E-2</v>
          </cell>
          <cell r="S89">
            <v>452000</v>
          </cell>
          <cell r="T89">
            <v>2185000</v>
          </cell>
          <cell r="U89">
            <v>0.20686498855835239</v>
          </cell>
          <cell r="V89">
            <v>3531000</v>
          </cell>
          <cell r="W89">
            <v>9800000</v>
          </cell>
          <cell r="X89">
            <v>0.36030612244897958</v>
          </cell>
          <cell r="Y89">
            <v>2637000</v>
          </cell>
          <cell r="Z89">
            <v>9800000</v>
          </cell>
          <cell r="AA89">
            <v>0.26908163265306123</v>
          </cell>
          <cell r="AB89">
            <v>181000</v>
          </cell>
          <cell r="AC89">
            <v>9800000</v>
          </cell>
          <cell r="AD89">
            <v>1.846938775510204E-2</v>
          </cell>
          <cell r="AE89">
            <v>2488000</v>
          </cell>
          <cell r="AF89">
            <v>9800000</v>
          </cell>
          <cell r="AG89">
            <v>0.25387755102040815</v>
          </cell>
          <cell r="AH89">
            <v>872000</v>
          </cell>
          <cell r="AI89">
            <v>9800000</v>
          </cell>
          <cell r="AJ89">
            <v>8.8979591836734692E-2</v>
          </cell>
          <cell r="AK89">
            <v>91000</v>
          </cell>
          <cell r="AL89">
            <v>9800000</v>
          </cell>
          <cell r="AM89">
            <v>9.285714285714286E-3</v>
          </cell>
          <cell r="AN89">
            <v>7437000</v>
          </cell>
          <cell r="AO89">
            <v>4349</v>
          </cell>
          <cell r="AP89">
            <v>1710.04828696252</v>
          </cell>
          <cell r="AQ89">
            <v>2676000</v>
          </cell>
          <cell r="AR89">
            <v>10240000</v>
          </cell>
          <cell r="AS89">
            <v>0.26132812500000002</v>
          </cell>
          <cell r="AT89">
            <v>3017000</v>
          </cell>
          <cell r="AU89">
            <v>10240000</v>
          </cell>
          <cell r="AV89">
            <v>0.29462890624999999</v>
          </cell>
          <cell r="AW89">
            <v>272000</v>
          </cell>
          <cell r="AX89">
            <v>10240000</v>
          </cell>
          <cell r="AY89">
            <v>2.6562499999999999E-2</v>
          </cell>
          <cell r="AZ89">
            <v>3534000</v>
          </cell>
          <cell r="BA89">
            <v>10240000</v>
          </cell>
          <cell r="BB89">
            <v>0.34511718749999998</v>
          </cell>
          <cell r="BC89">
            <v>741000</v>
          </cell>
          <cell r="BD89">
            <v>10240000</v>
          </cell>
          <cell r="BE89">
            <v>7.2363281249999994E-2</v>
          </cell>
          <cell r="BF89">
            <v>9083000</v>
          </cell>
          <cell r="BG89">
            <v>4349</v>
          </cell>
          <cell r="BH89">
            <v>2088.5260979535524</v>
          </cell>
          <cell r="BI89">
            <v>2252000</v>
          </cell>
          <cell r="BJ89">
            <v>997000</v>
          </cell>
          <cell r="BK89">
            <v>2.2587763289869609</v>
          </cell>
          <cell r="BL89">
            <v>489000</v>
          </cell>
          <cell r="BM89">
            <v>7900000</v>
          </cell>
          <cell r="BN89">
            <v>6.1898734177215191E-2</v>
          </cell>
          <cell r="BO89">
            <v>2794000</v>
          </cell>
          <cell r="BP89">
            <v>3383000</v>
          </cell>
          <cell r="BQ89">
            <v>0.82589417676618382</v>
          </cell>
          <cell r="BR89">
            <v>62</v>
          </cell>
          <cell r="BS89" t="str">
            <v>On Time</v>
          </cell>
          <cell r="BT89" t="str">
            <v>On Time</v>
          </cell>
          <cell r="BU89" t="str">
            <v>On Time</v>
          </cell>
          <cell r="BV89">
            <v>130000</v>
          </cell>
          <cell r="BW89">
            <v>4349</v>
          </cell>
          <cell r="BX89">
            <v>29.891929179121636</v>
          </cell>
          <cell r="BY89">
            <v>33791</v>
          </cell>
          <cell r="BZ89">
            <v>4349</v>
          </cell>
          <cell r="CA89">
            <v>7.7698321453207635</v>
          </cell>
          <cell r="CB89">
            <v>135000</v>
          </cell>
          <cell r="CC89">
            <v>1022</v>
          </cell>
          <cell r="CD89">
            <v>132.09393346379647</v>
          </cell>
          <cell r="CE89">
            <v>126000</v>
          </cell>
          <cell r="CF89">
            <v>1022</v>
          </cell>
          <cell r="CG89">
            <v>123.28767123287672</v>
          </cell>
          <cell r="CH89">
            <v>352861</v>
          </cell>
          <cell r="CI89">
            <v>4349</v>
          </cell>
          <cell r="CJ89">
            <v>81.136123246723386</v>
          </cell>
          <cell r="CK89">
            <v>1321000</v>
          </cell>
          <cell r="CL89">
            <v>4349</v>
          </cell>
          <cell r="CM89">
            <v>303.7479880432283</v>
          </cell>
          <cell r="CN89">
            <v>545.26315789473699</v>
          </cell>
          <cell r="CO89">
            <v>426</v>
          </cell>
          <cell r="CP89">
            <v>394.67395015363599</v>
          </cell>
          <cell r="CQ89">
            <v>444</v>
          </cell>
          <cell r="CR89">
            <v>172</v>
          </cell>
          <cell r="CS89">
            <v>5282</v>
          </cell>
          <cell r="CT89">
            <v>172</v>
          </cell>
          <cell r="CU89">
            <v>30.709302325581394</v>
          </cell>
          <cell r="CV89">
            <v>23</v>
          </cell>
          <cell r="CW89">
            <v>0</v>
          </cell>
          <cell r="CX89">
            <v>90000</v>
          </cell>
          <cell r="CY89">
            <v>0</v>
          </cell>
          <cell r="CZ89">
            <v>276000</v>
          </cell>
          <cell r="DA89">
            <v>4349</v>
          </cell>
          <cell r="DB89">
            <v>63.462865026442863</v>
          </cell>
          <cell r="DC89">
            <v>238000</v>
          </cell>
          <cell r="DD89">
            <v>4349</v>
          </cell>
          <cell r="DE89">
            <v>54.725224189468847</v>
          </cell>
          <cell r="DF89">
            <v>137000</v>
          </cell>
          <cell r="DG89">
            <v>4349</v>
          </cell>
          <cell r="DH89">
            <v>31.501494596458954</v>
          </cell>
          <cell r="DI89">
            <v>3612.9</v>
          </cell>
          <cell r="DJ89">
            <v>1.2037421461983449</v>
          </cell>
          <cell r="DK89">
            <v>-3.9086775851604472E-3</v>
          </cell>
          <cell r="DL89">
            <v>1.0900000000000001</v>
          </cell>
          <cell r="DM89">
            <v>1.98</v>
          </cell>
        </row>
        <row r="90">
          <cell r="B90" t="str">
            <v>Grafton City Council</v>
          </cell>
          <cell r="C90">
            <v>4</v>
          </cell>
          <cell r="D90">
            <v>4261000</v>
          </cell>
          <cell r="E90">
            <v>6433</v>
          </cell>
          <cell r="F90">
            <v>662.36592569563186</v>
          </cell>
          <cell r="G90">
            <v>134000</v>
          </cell>
          <cell r="H90">
            <v>103</v>
          </cell>
          <cell r="I90">
            <v>1300.9708737864078</v>
          </cell>
          <cell r="J90">
            <v>1848000</v>
          </cell>
          <cell r="K90">
            <v>594</v>
          </cell>
          <cell r="L90">
            <v>3111.1111111111113</v>
          </cell>
          <cell r="M90">
            <v>1973000</v>
          </cell>
          <cell r="N90">
            <v>16317000</v>
          </cell>
          <cell r="O90">
            <v>0.12091683520254949</v>
          </cell>
          <cell r="P90">
            <v>241000</v>
          </cell>
          <cell r="Q90">
            <v>10211000</v>
          </cell>
          <cell r="R90">
            <v>2.3601997845460777E-2</v>
          </cell>
          <cell r="S90">
            <v>1989000</v>
          </cell>
          <cell r="T90">
            <v>3876000</v>
          </cell>
          <cell r="U90">
            <v>0.51315789473684215</v>
          </cell>
          <cell r="V90">
            <v>10452000</v>
          </cell>
          <cell r="W90">
            <v>20747000</v>
          </cell>
          <cell r="X90">
            <v>0.5037836795681303</v>
          </cell>
          <cell r="Y90">
            <v>5865000</v>
          </cell>
          <cell r="Z90">
            <v>20747000</v>
          </cell>
          <cell r="AA90">
            <v>0.28269147346604329</v>
          </cell>
          <cell r="AB90">
            <v>739000</v>
          </cell>
          <cell r="AC90">
            <v>20747000</v>
          </cell>
          <cell r="AD90">
            <v>3.5619607654118667E-2</v>
          </cell>
          <cell r="AE90">
            <v>3081000</v>
          </cell>
          <cell r="AF90">
            <v>20747000</v>
          </cell>
          <cell r="AG90">
            <v>0.14850339808165036</v>
          </cell>
          <cell r="AH90">
            <v>285000</v>
          </cell>
          <cell r="AI90">
            <v>20747000</v>
          </cell>
          <cell r="AJ90">
            <v>1.3736925820600569E-2</v>
          </cell>
          <cell r="AK90">
            <v>325000</v>
          </cell>
          <cell r="AL90">
            <v>20747000</v>
          </cell>
          <cell r="AM90">
            <v>1.5664915409456789E-2</v>
          </cell>
          <cell r="AN90">
            <v>14937000</v>
          </cell>
          <cell r="AO90">
            <v>17325</v>
          </cell>
          <cell r="AP90">
            <v>862.16450216450221</v>
          </cell>
          <cell r="AQ90">
            <v>6636000</v>
          </cell>
          <cell r="AR90">
            <v>21017000</v>
          </cell>
          <cell r="AS90">
            <v>0.31574439739258697</v>
          </cell>
          <cell r="AT90">
            <v>6832000</v>
          </cell>
          <cell r="AU90">
            <v>21017000</v>
          </cell>
          <cell r="AV90">
            <v>0.32507018128181947</v>
          </cell>
          <cell r="AW90">
            <v>462000</v>
          </cell>
          <cell r="AX90">
            <v>21017000</v>
          </cell>
          <cell r="AY90">
            <v>2.1982204881762384E-2</v>
          </cell>
          <cell r="AZ90">
            <v>4540000</v>
          </cell>
          <cell r="BA90">
            <v>21017000</v>
          </cell>
          <cell r="BB90">
            <v>0.21601560641385545</v>
          </cell>
          <cell r="BC90">
            <v>2547000</v>
          </cell>
          <cell r="BD90">
            <v>21017000</v>
          </cell>
          <cell r="BE90">
            <v>0.12118761002997573</v>
          </cell>
          <cell r="BF90">
            <v>17330000</v>
          </cell>
          <cell r="BG90">
            <v>17325</v>
          </cell>
          <cell r="BH90">
            <v>1000.2886002886003</v>
          </cell>
          <cell r="BI90">
            <v>2806000</v>
          </cell>
          <cell r="BJ90">
            <v>2744000</v>
          </cell>
          <cell r="BK90">
            <v>1.022594752186589</v>
          </cell>
          <cell r="BL90">
            <v>645000</v>
          </cell>
          <cell r="BM90">
            <v>19429000</v>
          </cell>
          <cell r="BN90">
            <v>3.319779710741675E-2</v>
          </cell>
          <cell r="BO90">
            <v>4417000</v>
          </cell>
          <cell r="BP90">
            <v>3872000</v>
          </cell>
          <cell r="BQ90">
            <v>1.140754132231405</v>
          </cell>
          <cell r="BR90">
            <v>140</v>
          </cell>
          <cell r="BS90" t="str">
            <v>On Time</v>
          </cell>
          <cell r="BT90" t="str">
            <v>On Time</v>
          </cell>
          <cell r="BU90" t="str">
            <v>On Time</v>
          </cell>
          <cell r="BV90">
            <v>388000</v>
          </cell>
          <cell r="BW90">
            <v>17325</v>
          </cell>
          <cell r="BX90">
            <v>22.395382395382395</v>
          </cell>
          <cell r="BY90">
            <v>150290</v>
          </cell>
          <cell r="BZ90">
            <v>17325</v>
          </cell>
          <cell r="CA90">
            <v>8.6747474747474751</v>
          </cell>
          <cell r="CB90">
            <v>819000</v>
          </cell>
          <cell r="CC90">
            <v>6352</v>
          </cell>
          <cell r="CD90">
            <v>128.93576826196474</v>
          </cell>
          <cell r="CE90">
            <v>513560</v>
          </cell>
          <cell r="CF90">
            <v>6352</v>
          </cell>
          <cell r="CG90">
            <v>80.850125944584377</v>
          </cell>
          <cell r="CH90">
            <v>7180000</v>
          </cell>
          <cell r="CI90">
            <v>17325</v>
          </cell>
          <cell r="CJ90">
            <v>414.43001443001441</v>
          </cell>
          <cell r="CK90">
            <v>3290000</v>
          </cell>
          <cell r="CL90">
            <v>17325</v>
          </cell>
          <cell r="CM90">
            <v>189.8989898989899</v>
          </cell>
          <cell r="CN90">
            <v>176.74588422729701</v>
          </cell>
          <cell r="CO90">
            <v>546</v>
          </cell>
          <cell r="CP90">
            <v>326.08897570622798</v>
          </cell>
          <cell r="CQ90">
            <v>354</v>
          </cell>
          <cell r="CR90">
            <v>372</v>
          </cell>
          <cell r="CS90">
            <v>11461</v>
          </cell>
          <cell r="CT90">
            <v>372</v>
          </cell>
          <cell r="CU90">
            <v>30.809139784946236</v>
          </cell>
          <cell r="CV90">
            <v>19</v>
          </cell>
          <cell r="CW90">
            <v>7000</v>
          </cell>
          <cell r="CX90">
            <v>588000</v>
          </cell>
          <cell r="CY90">
            <v>1.1904761904761904E-2</v>
          </cell>
          <cell r="CZ90">
            <v>632000</v>
          </cell>
          <cell r="DA90">
            <v>17325</v>
          </cell>
          <cell r="DB90">
            <v>36.479076479076483</v>
          </cell>
          <cell r="DC90">
            <v>1869000</v>
          </cell>
          <cell r="DD90">
            <v>17325</v>
          </cell>
          <cell r="DE90">
            <v>107.87878787878788</v>
          </cell>
          <cell r="DF90">
            <v>186000</v>
          </cell>
          <cell r="DG90">
            <v>17325</v>
          </cell>
          <cell r="DH90">
            <v>10.735930735930737</v>
          </cell>
          <cell r="DI90">
            <v>82.7</v>
          </cell>
          <cell r="DJ90">
            <v>209.49214026602175</v>
          </cell>
          <cell r="DK90">
            <v>-2.2929447457518126E-3</v>
          </cell>
          <cell r="DL90">
            <v>5.42</v>
          </cell>
          <cell r="DM90">
            <v>1.69</v>
          </cell>
        </row>
        <row r="91">
          <cell r="B91" t="str">
            <v>Albury City Council</v>
          </cell>
          <cell r="C91">
            <v>4</v>
          </cell>
          <cell r="D91">
            <v>13547000</v>
          </cell>
          <cell r="E91">
            <v>16908</v>
          </cell>
          <cell r="F91">
            <v>801.21835817364558</v>
          </cell>
          <cell r="G91">
            <v>141000</v>
          </cell>
          <cell r="H91">
            <v>86</v>
          </cell>
          <cell r="I91">
            <v>1639.5348837209303</v>
          </cell>
          <cell r="J91">
            <v>5629000</v>
          </cell>
          <cell r="K91">
            <v>1385</v>
          </cell>
          <cell r="L91">
            <v>4064.2599277978338</v>
          </cell>
          <cell r="M91">
            <v>2653000</v>
          </cell>
          <cell r="N91">
            <v>41664000</v>
          </cell>
          <cell r="O91">
            <v>6.3676075268817203E-2</v>
          </cell>
          <cell r="P91">
            <v>1084000</v>
          </cell>
          <cell r="Q91">
            <v>27672000</v>
          </cell>
          <cell r="R91">
            <v>3.9173171436831453E-2</v>
          </cell>
          <cell r="S91">
            <v>2023000</v>
          </cell>
          <cell r="T91">
            <v>10885000</v>
          </cell>
          <cell r="U91">
            <v>0.18585209003215433</v>
          </cell>
          <cell r="V91">
            <v>28756000</v>
          </cell>
          <cell r="W91">
            <v>58013000</v>
          </cell>
          <cell r="X91">
            <v>0.49568200230982712</v>
          </cell>
          <cell r="Y91">
            <v>12908000</v>
          </cell>
          <cell r="Z91">
            <v>58013000</v>
          </cell>
          <cell r="AA91">
            <v>0.2225018530329409</v>
          </cell>
          <cell r="AB91">
            <v>1173000</v>
          </cell>
          <cell r="AC91">
            <v>58013000</v>
          </cell>
          <cell r="AD91">
            <v>2.0219605950390431E-2</v>
          </cell>
          <cell r="AE91">
            <v>10003000</v>
          </cell>
          <cell r="AF91">
            <v>58013000</v>
          </cell>
          <cell r="AG91">
            <v>0.17242686983951871</v>
          </cell>
          <cell r="AH91">
            <v>3064000</v>
          </cell>
          <cell r="AI91">
            <v>58013000</v>
          </cell>
          <cell r="AJ91">
            <v>5.2815748194370224E-2</v>
          </cell>
          <cell r="AK91">
            <v>2109000</v>
          </cell>
          <cell r="AL91">
            <v>58013000</v>
          </cell>
          <cell r="AM91">
            <v>3.6353920672952615E-2</v>
          </cell>
          <cell r="AN91">
            <v>41278000</v>
          </cell>
          <cell r="AO91">
            <v>44418</v>
          </cell>
          <cell r="AP91">
            <v>929.30793822324279</v>
          </cell>
          <cell r="AQ91">
            <v>21867000</v>
          </cell>
          <cell r="AR91">
            <v>53395000</v>
          </cell>
          <cell r="AS91">
            <v>0.40953272778350031</v>
          </cell>
          <cell r="AT91">
            <v>12021000</v>
          </cell>
          <cell r="AU91">
            <v>53395000</v>
          </cell>
          <cell r="AV91">
            <v>0.22513343946062364</v>
          </cell>
          <cell r="AW91">
            <v>1770000</v>
          </cell>
          <cell r="AX91">
            <v>53395000</v>
          </cell>
          <cell r="AY91">
            <v>3.3149171270718231E-2</v>
          </cell>
          <cell r="AZ91">
            <v>11464000</v>
          </cell>
          <cell r="BA91">
            <v>53395000</v>
          </cell>
          <cell r="BB91">
            <v>0.2147017511002903</v>
          </cell>
          <cell r="BC91">
            <v>6273000</v>
          </cell>
          <cell r="BD91">
            <v>53395000</v>
          </cell>
          <cell r="BE91">
            <v>0.11748291038486749</v>
          </cell>
          <cell r="BF91">
            <v>38029000</v>
          </cell>
          <cell r="BG91">
            <v>44418</v>
          </cell>
          <cell r="BH91">
            <v>856.16191634022243</v>
          </cell>
          <cell r="BI91">
            <v>17474000</v>
          </cell>
          <cell r="BJ91">
            <v>9573000</v>
          </cell>
          <cell r="BK91">
            <v>1.8253421080121175</v>
          </cell>
          <cell r="BL91">
            <v>4048000</v>
          </cell>
          <cell r="BM91">
            <v>49923000</v>
          </cell>
          <cell r="BN91">
            <v>8.1084870700879358E-2</v>
          </cell>
          <cell r="BO91">
            <v>54069000</v>
          </cell>
          <cell r="BP91">
            <v>6972000</v>
          </cell>
          <cell r="BQ91">
            <v>7.7551635111876074</v>
          </cell>
          <cell r="BR91">
            <v>434</v>
          </cell>
          <cell r="BS91" t="str">
            <v>On Time</v>
          </cell>
          <cell r="BT91" t="str">
            <v>On Time</v>
          </cell>
          <cell r="BU91" t="str">
            <v>On Time</v>
          </cell>
          <cell r="BV91">
            <v>1234000</v>
          </cell>
          <cell r="BW91">
            <v>44418</v>
          </cell>
          <cell r="BX91">
            <v>27.78153001035616</v>
          </cell>
          <cell r="BY91">
            <v>319220</v>
          </cell>
          <cell r="BZ91">
            <v>44418</v>
          </cell>
          <cell r="CA91">
            <v>7.1867261020307085</v>
          </cell>
          <cell r="CB91">
            <v>2154000</v>
          </cell>
          <cell r="CC91">
            <v>18274</v>
          </cell>
          <cell r="CD91">
            <v>117.87238699792054</v>
          </cell>
          <cell r="CE91">
            <v>1887975</v>
          </cell>
          <cell r="CF91">
            <v>27411</v>
          </cell>
          <cell r="CG91">
            <v>68.876545912225012</v>
          </cell>
          <cell r="CH91">
            <v>8964710</v>
          </cell>
          <cell r="CI91">
            <v>44418</v>
          </cell>
          <cell r="CJ91">
            <v>201.82606150659643</v>
          </cell>
          <cell r="CK91">
            <v>16362420</v>
          </cell>
          <cell r="CL91">
            <v>44418</v>
          </cell>
          <cell r="CM91">
            <v>368.37363231122515</v>
          </cell>
          <cell r="CN91">
            <v>240.14740347847501</v>
          </cell>
          <cell r="CO91">
            <v>391</v>
          </cell>
          <cell r="CP91">
            <v>426</v>
          </cell>
          <cell r="CQ91">
            <v>422.16435185185202</v>
          </cell>
          <cell r="CR91">
            <v>775</v>
          </cell>
          <cell r="CS91">
            <v>24214</v>
          </cell>
          <cell r="CT91">
            <v>775</v>
          </cell>
          <cell r="CU91">
            <v>31.243870967741934</v>
          </cell>
          <cell r="CV91">
            <v>19</v>
          </cell>
          <cell r="CW91">
            <v>39000</v>
          </cell>
          <cell r="CX91">
            <v>1760000</v>
          </cell>
          <cell r="CY91">
            <v>2.215909090909091E-2</v>
          </cell>
          <cell r="CZ91">
            <v>153000</v>
          </cell>
          <cell r="DA91">
            <v>44418</v>
          </cell>
          <cell r="DB91">
            <v>3.4445495069566392</v>
          </cell>
          <cell r="DC91">
            <v>4118000</v>
          </cell>
          <cell r="DD91">
            <v>44418</v>
          </cell>
          <cell r="DE91">
            <v>92.710162546715296</v>
          </cell>
          <cell r="DF91">
            <v>4785000</v>
          </cell>
          <cell r="DG91">
            <v>44418</v>
          </cell>
          <cell r="DH91">
            <v>107.72659732540862</v>
          </cell>
          <cell r="DI91">
            <v>105.7</v>
          </cell>
          <cell r="DJ91">
            <v>420.22705771050141</v>
          </cell>
          <cell r="DK91">
            <v>8.3457986496329184E-3</v>
          </cell>
          <cell r="DL91">
            <v>1.88</v>
          </cell>
          <cell r="DM91">
            <v>4.5199999999999996</v>
          </cell>
        </row>
        <row r="92">
          <cell r="B92" t="str">
            <v>Penrith City Council</v>
          </cell>
          <cell r="C92">
            <v>7</v>
          </cell>
          <cell r="D92">
            <v>36550000</v>
          </cell>
          <cell r="E92">
            <v>58411</v>
          </cell>
          <cell r="F92">
            <v>625.73830271695397</v>
          </cell>
          <cell r="G92">
            <v>931000</v>
          </cell>
          <cell r="H92">
            <v>379</v>
          </cell>
          <cell r="I92">
            <v>2456.4643799472296</v>
          </cell>
          <cell r="J92">
            <v>9561000</v>
          </cell>
          <cell r="K92">
            <v>2907</v>
          </cell>
          <cell r="L92">
            <v>3288.9576883384934</v>
          </cell>
          <cell r="M92">
            <v>4269000</v>
          </cell>
          <cell r="N92">
            <v>85906000</v>
          </cell>
          <cell r="O92">
            <v>4.9693851418992852E-2</v>
          </cell>
          <cell r="P92">
            <v>5395000</v>
          </cell>
          <cell r="Q92">
            <v>55295000</v>
          </cell>
          <cell r="R92">
            <v>9.7567592006510537E-2</v>
          </cell>
          <cell r="S92">
            <v>1592000</v>
          </cell>
          <cell r="T92">
            <v>23624000</v>
          </cell>
          <cell r="U92">
            <v>6.7389095834744325E-2</v>
          </cell>
          <cell r="V92">
            <v>60690000</v>
          </cell>
          <cell r="W92">
            <v>122719000</v>
          </cell>
          <cell r="X92">
            <v>0.49454444707013584</v>
          </cell>
          <cell r="Y92">
            <v>25216000</v>
          </cell>
          <cell r="Z92">
            <v>122719000</v>
          </cell>
          <cell r="AA92">
            <v>0.20547755441292709</v>
          </cell>
          <cell r="AB92">
            <v>2760000</v>
          </cell>
          <cell r="AC92">
            <v>122719000</v>
          </cell>
          <cell r="AD92">
            <v>2.2490404908775331E-2</v>
          </cell>
          <cell r="AE92">
            <v>17987000</v>
          </cell>
          <cell r="AF92">
            <v>122719000</v>
          </cell>
          <cell r="AG92">
            <v>0.14657062068628329</v>
          </cell>
          <cell r="AH92">
            <v>14912000</v>
          </cell>
          <cell r="AI92">
            <v>122719000</v>
          </cell>
          <cell r="AJ92">
            <v>0.12151337608683252</v>
          </cell>
          <cell r="AK92">
            <v>1154000</v>
          </cell>
          <cell r="AL92">
            <v>122719000</v>
          </cell>
          <cell r="AM92">
            <v>9.403596835045918E-3</v>
          </cell>
          <cell r="AN92">
            <v>107358000</v>
          </cell>
          <cell r="AO92">
            <v>178193</v>
          </cell>
          <cell r="AP92">
            <v>602.48157896213661</v>
          </cell>
          <cell r="AQ92">
            <v>47447000</v>
          </cell>
          <cell r="AR92">
            <v>110375000</v>
          </cell>
          <cell r="AS92">
            <v>0.42987089467723671</v>
          </cell>
          <cell r="AT92">
            <v>29760000</v>
          </cell>
          <cell r="AU92">
            <v>110375000</v>
          </cell>
          <cell r="AV92">
            <v>0.26962627406568518</v>
          </cell>
          <cell r="AW92">
            <v>4141000</v>
          </cell>
          <cell r="AX92">
            <v>110375000</v>
          </cell>
          <cell r="AY92">
            <v>3.7517553793884488E-2</v>
          </cell>
          <cell r="AZ92">
            <v>17167000</v>
          </cell>
          <cell r="BA92">
            <v>110375000</v>
          </cell>
          <cell r="BB92">
            <v>0.1555334088335221</v>
          </cell>
          <cell r="BC92">
            <v>11860000</v>
          </cell>
          <cell r="BD92">
            <v>110375000</v>
          </cell>
          <cell r="BE92">
            <v>0.10745186862967157</v>
          </cell>
          <cell r="BF92">
            <v>110375000</v>
          </cell>
          <cell r="BG92">
            <v>178193</v>
          </cell>
          <cell r="BH92">
            <v>619.41265930760471</v>
          </cell>
          <cell r="BI92">
            <v>26458000</v>
          </cell>
          <cell r="BJ92">
            <v>17609000</v>
          </cell>
          <cell r="BK92">
            <v>1.502527116815265</v>
          </cell>
          <cell r="BL92">
            <v>10537000</v>
          </cell>
          <cell r="BM92">
            <v>99946000</v>
          </cell>
          <cell r="BN92">
            <v>0.10542693054249294</v>
          </cell>
          <cell r="BO92">
            <v>18699000</v>
          </cell>
          <cell r="BP92">
            <v>17167000</v>
          </cell>
          <cell r="BQ92">
            <v>1.0892409856119298</v>
          </cell>
          <cell r="BR92">
            <v>908</v>
          </cell>
          <cell r="BS92" t="str">
            <v>&lt;=2</v>
          </cell>
          <cell r="BT92" t="str">
            <v>On Time</v>
          </cell>
          <cell r="BU92" t="str">
            <v>On Time</v>
          </cell>
          <cell r="BV92">
            <v>3806000</v>
          </cell>
          <cell r="BW92">
            <v>178193</v>
          </cell>
          <cell r="BX92">
            <v>21.358863703961436</v>
          </cell>
          <cell r="BY92">
            <v>736694</v>
          </cell>
          <cell r="BZ92">
            <v>178193</v>
          </cell>
          <cell r="CA92">
            <v>4.1342476977210101</v>
          </cell>
          <cell r="CB92">
            <v>13700000</v>
          </cell>
          <cell r="CC92">
            <v>58790</v>
          </cell>
          <cell r="CD92">
            <v>233.03282871236604</v>
          </cell>
          <cell r="CE92">
            <v>9297177</v>
          </cell>
          <cell r="CF92">
            <v>58790</v>
          </cell>
          <cell r="CG92">
            <v>158.14215002551455</v>
          </cell>
          <cell r="CH92">
            <v>13396000</v>
          </cell>
          <cell r="CI92">
            <v>178193</v>
          </cell>
          <cell r="CJ92">
            <v>75.176914918094425</v>
          </cell>
          <cell r="CK92">
            <v>56923540</v>
          </cell>
          <cell r="CL92">
            <v>178193</v>
          </cell>
          <cell r="CM92">
            <v>319.44879989674115</v>
          </cell>
          <cell r="CN92" t="str">
            <v>N/A</v>
          </cell>
          <cell r="CO92" t="str">
            <v>N/A</v>
          </cell>
          <cell r="CP92" t="str">
            <v>N/A</v>
          </cell>
          <cell r="CQ92" t="str">
            <v>N/A</v>
          </cell>
          <cell r="CR92">
            <v>3117</v>
          </cell>
          <cell r="CS92">
            <v>97951</v>
          </cell>
          <cell r="CT92">
            <v>3117</v>
          </cell>
          <cell r="CU92">
            <v>31.424767404555663</v>
          </cell>
          <cell r="CV92">
            <v>20</v>
          </cell>
          <cell r="CW92">
            <v>397000</v>
          </cell>
          <cell r="CX92">
            <v>4616000</v>
          </cell>
          <cell r="CY92">
            <v>8.6005199306759095E-2</v>
          </cell>
          <cell r="CZ92">
            <v>2308000</v>
          </cell>
          <cell r="DA92">
            <v>178193</v>
          </cell>
          <cell r="DB92">
            <v>12.952248404819494</v>
          </cell>
          <cell r="DC92">
            <v>8171000</v>
          </cell>
          <cell r="DD92">
            <v>178193</v>
          </cell>
          <cell r="DE92">
            <v>45.854775440112689</v>
          </cell>
          <cell r="DF92">
            <v>14510000</v>
          </cell>
          <cell r="DG92">
            <v>178193</v>
          </cell>
          <cell r="DH92">
            <v>81.42856341158182</v>
          </cell>
          <cell r="DI92">
            <v>404.8</v>
          </cell>
          <cell r="DJ92">
            <v>440.20009881422925</v>
          </cell>
          <cell r="DK92">
            <v>9.6851921335932012E-3</v>
          </cell>
          <cell r="DL92">
            <v>1.99</v>
          </cell>
          <cell r="DM92">
            <v>11.89</v>
          </cell>
        </row>
        <row r="93">
          <cell r="B93" t="str">
            <v>Jerilderie Shire Council</v>
          </cell>
          <cell r="C93">
            <v>8</v>
          </cell>
          <cell r="D93">
            <v>40000</v>
          </cell>
          <cell r="E93">
            <v>381</v>
          </cell>
          <cell r="F93">
            <v>104.98687664041995</v>
          </cell>
          <cell r="G93">
            <v>1022000</v>
          </cell>
          <cell r="H93">
            <v>529</v>
          </cell>
          <cell r="I93">
            <v>1931.9470699432893</v>
          </cell>
          <cell r="J93">
            <v>20000</v>
          </cell>
          <cell r="K93">
            <v>147</v>
          </cell>
          <cell r="L93">
            <v>136.05442176870747</v>
          </cell>
          <cell r="M93">
            <v>63000</v>
          </cell>
          <cell r="N93">
            <v>2937000</v>
          </cell>
          <cell r="O93">
            <v>2.1450459652706845E-2</v>
          </cell>
          <cell r="P93">
            <v>71000</v>
          </cell>
          <cell r="Q93">
            <v>1473000</v>
          </cell>
          <cell r="R93">
            <v>4.8200950441276307E-2</v>
          </cell>
          <cell r="S93">
            <v>-175000</v>
          </cell>
          <cell r="T93">
            <v>1568000</v>
          </cell>
          <cell r="U93">
            <v>-0.11160714285714286</v>
          </cell>
          <cell r="V93">
            <v>1544000</v>
          </cell>
          <cell r="W93">
            <v>5796000</v>
          </cell>
          <cell r="X93">
            <v>0.26639061421670118</v>
          </cell>
          <cell r="Y93">
            <v>1393000</v>
          </cell>
          <cell r="Z93">
            <v>5796000</v>
          </cell>
          <cell r="AA93">
            <v>0.24033816425120774</v>
          </cell>
          <cell r="AB93">
            <v>168000</v>
          </cell>
          <cell r="AC93">
            <v>5796000</v>
          </cell>
          <cell r="AD93">
            <v>2.8985507246376812E-2</v>
          </cell>
          <cell r="AE93">
            <v>2006000</v>
          </cell>
          <cell r="AF93">
            <v>5796000</v>
          </cell>
          <cell r="AG93">
            <v>0.34610075914423738</v>
          </cell>
          <cell r="AH93">
            <v>562000</v>
          </cell>
          <cell r="AI93">
            <v>5796000</v>
          </cell>
          <cell r="AJ93">
            <v>9.6963423050379569E-2</v>
          </cell>
          <cell r="AK93">
            <v>123000</v>
          </cell>
          <cell r="AL93">
            <v>5796000</v>
          </cell>
          <cell r="AM93">
            <v>2.1221532091097308E-2</v>
          </cell>
          <cell r="AN93">
            <v>4741000</v>
          </cell>
          <cell r="AO93">
            <v>1908</v>
          </cell>
          <cell r="AP93">
            <v>2484.8008385744233</v>
          </cell>
          <cell r="AQ93">
            <v>1790000</v>
          </cell>
          <cell r="AR93">
            <v>4970000</v>
          </cell>
          <cell r="AS93">
            <v>0.36016096579476864</v>
          </cell>
          <cell r="AT93">
            <v>1561000</v>
          </cell>
          <cell r="AU93">
            <v>4970000</v>
          </cell>
          <cell r="AV93">
            <v>0.31408450704225355</v>
          </cell>
          <cell r="AW93">
            <v>74000</v>
          </cell>
          <cell r="AX93">
            <v>4970000</v>
          </cell>
          <cell r="AY93">
            <v>1.488933601609658E-2</v>
          </cell>
          <cell r="AZ93">
            <v>1066000</v>
          </cell>
          <cell r="BA93">
            <v>4970000</v>
          </cell>
          <cell r="BB93">
            <v>0.21448692152917506</v>
          </cell>
          <cell r="BC93">
            <v>479000</v>
          </cell>
          <cell r="BD93">
            <v>4970000</v>
          </cell>
          <cell r="BE93">
            <v>9.6378269617706236E-2</v>
          </cell>
          <cell r="BF93">
            <v>4591000</v>
          </cell>
          <cell r="BG93">
            <v>1908</v>
          </cell>
          <cell r="BH93">
            <v>2406.1844863731658</v>
          </cell>
          <cell r="BI93">
            <v>3418000</v>
          </cell>
          <cell r="BJ93">
            <v>934000</v>
          </cell>
          <cell r="BK93">
            <v>3.6595289079229123</v>
          </cell>
          <cell r="BL93">
            <v>188000</v>
          </cell>
          <cell r="BM93">
            <v>4636000</v>
          </cell>
          <cell r="BN93">
            <v>4.0552200172562551E-2</v>
          </cell>
          <cell r="BO93">
            <v>1285000</v>
          </cell>
          <cell r="BP93">
            <v>1004000</v>
          </cell>
          <cell r="BQ93">
            <v>1.2798804780876494</v>
          </cell>
          <cell r="BR93">
            <v>43</v>
          </cell>
          <cell r="BS93" t="str">
            <v>Not Received</v>
          </cell>
          <cell r="BT93" t="str">
            <v>On Time</v>
          </cell>
          <cell r="BU93" t="str">
            <v>On Time</v>
          </cell>
          <cell r="BV93">
            <v>38000</v>
          </cell>
          <cell r="BW93">
            <v>1908</v>
          </cell>
          <cell r="BX93">
            <v>19.916142557651991</v>
          </cell>
          <cell r="BY93">
            <v>8443</v>
          </cell>
          <cell r="BZ93">
            <v>1908</v>
          </cell>
          <cell r="CA93">
            <v>4.4250524109014675</v>
          </cell>
          <cell r="CB93">
            <v>34000</v>
          </cell>
          <cell r="CC93">
            <v>400</v>
          </cell>
          <cell r="CD93">
            <v>85</v>
          </cell>
          <cell r="CE93">
            <v>34964</v>
          </cell>
          <cell r="CF93">
            <v>328</v>
          </cell>
          <cell r="CG93">
            <v>106.59756097560975</v>
          </cell>
          <cell r="CH93">
            <v>0</v>
          </cell>
          <cell r="CI93">
            <v>1908</v>
          </cell>
          <cell r="CJ93" t="str">
            <v>N/A</v>
          </cell>
          <cell r="CK93">
            <v>251000</v>
          </cell>
          <cell r="CL93">
            <v>1908</v>
          </cell>
          <cell r="CM93">
            <v>131.55136268343816</v>
          </cell>
          <cell r="CN93">
            <v>542.21002059025398</v>
          </cell>
          <cell r="CO93">
            <v>445</v>
          </cell>
          <cell r="CP93">
            <v>256.80392691573502</v>
          </cell>
          <cell r="CQ93">
            <v>333.93829401088902</v>
          </cell>
          <cell r="CR93">
            <v>18</v>
          </cell>
          <cell r="CS93">
            <v>571</v>
          </cell>
          <cell r="CT93">
            <v>18</v>
          </cell>
          <cell r="CU93">
            <v>31.722222222222221</v>
          </cell>
          <cell r="CV93">
            <v>30.5</v>
          </cell>
          <cell r="CW93">
            <v>0</v>
          </cell>
          <cell r="CX93">
            <v>120000</v>
          </cell>
          <cell r="CY93">
            <v>0</v>
          </cell>
          <cell r="CZ93">
            <v>201000</v>
          </cell>
          <cell r="DA93">
            <v>1908</v>
          </cell>
          <cell r="DB93">
            <v>105.34591194968553</v>
          </cell>
          <cell r="DC93">
            <v>211000</v>
          </cell>
          <cell r="DD93">
            <v>1908</v>
          </cell>
          <cell r="DE93">
            <v>110.58700209643605</v>
          </cell>
          <cell r="DF93">
            <v>5000</v>
          </cell>
          <cell r="DG93">
            <v>1908</v>
          </cell>
          <cell r="DH93">
            <v>2.6205450733752622</v>
          </cell>
          <cell r="DI93">
            <v>3375.4</v>
          </cell>
          <cell r="DJ93">
            <v>0.56526633880428989</v>
          </cell>
          <cell r="DK93">
            <v>-5.0585851229547618E-3</v>
          </cell>
          <cell r="DL93">
            <v>2.11</v>
          </cell>
          <cell r="DM93">
            <v>3.39</v>
          </cell>
        </row>
        <row r="94">
          <cell r="B94" t="str">
            <v>Boorowa Council</v>
          </cell>
          <cell r="C94">
            <v>9</v>
          </cell>
          <cell r="D94">
            <v>258000</v>
          </cell>
          <cell r="E94">
            <v>826</v>
          </cell>
          <cell r="F94">
            <v>312.34866828087166</v>
          </cell>
          <cell r="G94">
            <v>1154000</v>
          </cell>
          <cell r="H94">
            <v>781</v>
          </cell>
          <cell r="I94">
            <v>1477.5928297055057</v>
          </cell>
          <cell r="J94">
            <v>23000</v>
          </cell>
          <cell r="K94">
            <v>61</v>
          </cell>
          <cell r="L94">
            <v>377.04918032786884</v>
          </cell>
          <cell r="M94">
            <v>218000</v>
          </cell>
          <cell r="N94">
            <v>5340000</v>
          </cell>
          <cell r="O94">
            <v>4.0823970037453181E-2</v>
          </cell>
          <cell r="P94">
            <v>81000</v>
          </cell>
          <cell r="Q94">
            <v>1746000</v>
          </cell>
          <cell r="R94">
            <v>4.6391752577319589E-2</v>
          </cell>
          <cell r="S94">
            <v>3116000</v>
          </cell>
          <cell r="T94">
            <v>397000</v>
          </cell>
          <cell r="U94">
            <v>7.8488664987405539</v>
          </cell>
          <cell r="V94">
            <v>1827000</v>
          </cell>
          <cell r="W94">
            <v>7479000</v>
          </cell>
          <cell r="X94">
            <v>0.24428399518652227</v>
          </cell>
          <cell r="Y94">
            <v>3513000</v>
          </cell>
          <cell r="Z94">
            <v>7479000</v>
          </cell>
          <cell r="AA94">
            <v>0.46971520256718813</v>
          </cell>
          <cell r="AB94">
            <v>94000</v>
          </cell>
          <cell r="AC94">
            <v>7479000</v>
          </cell>
          <cell r="AD94">
            <v>1.2568525203904266E-2</v>
          </cell>
          <cell r="AE94">
            <v>1094000</v>
          </cell>
          <cell r="AF94">
            <v>7479000</v>
          </cell>
          <cell r="AG94">
            <v>0.14627624013905602</v>
          </cell>
          <cell r="AH94">
            <v>815000</v>
          </cell>
          <cell r="AI94">
            <v>7479000</v>
          </cell>
          <cell r="AJ94">
            <v>0.10897178767214868</v>
          </cell>
          <cell r="AK94">
            <v>136000</v>
          </cell>
          <cell r="AL94">
            <v>7479000</v>
          </cell>
          <cell r="AM94">
            <v>1.818424923118064E-2</v>
          </cell>
          <cell r="AN94">
            <v>7178000</v>
          </cell>
          <cell r="AO94">
            <v>2438</v>
          </cell>
          <cell r="AP94">
            <v>2944.216570959803</v>
          </cell>
          <cell r="AQ94">
            <v>2655000</v>
          </cell>
          <cell r="AR94">
            <v>7595000</v>
          </cell>
          <cell r="AS94">
            <v>0.34957208689927582</v>
          </cell>
          <cell r="AT94">
            <v>2647000</v>
          </cell>
          <cell r="AU94">
            <v>7595000</v>
          </cell>
          <cell r="AV94">
            <v>0.34851876234364715</v>
          </cell>
          <cell r="AW94">
            <v>122000</v>
          </cell>
          <cell r="AX94">
            <v>7595000</v>
          </cell>
          <cell r="AY94">
            <v>1.6063199473337723E-2</v>
          </cell>
          <cell r="AZ94">
            <v>1786000</v>
          </cell>
          <cell r="BA94">
            <v>7595000</v>
          </cell>
          <cell r="BB94">
            <v>0.23515470704410796</v>
          </cell>
          <cell r="BC94">
            <v>385000</v>
          </cell>
          <cell r="BD94">
            <v>7595000</v>
          </cell>
          <cell r="BE94">
            <v>5.0691244239631339E-2</v>
          </cell>
          <cell r="BF94">
            <v>7131000</v>
          </cell>
          <cell r="BG94">
            <v>2438</v>
          </cell>
          <cell r="BH94">
            <v>2924.9384741591471</v>
          </cell>
          <cell r="BI94">
            <v>3479000</v>
          </cell>
          <cell r="BJ94">
            <v>1524000</v>
          </cell>
          <cell r="BK94">
            <v>2.2828083989501313</v>
          </cell>
          <cell r="BL94">
            <v>205000</v>
          </cell>
          <cell r="BM94">
            <v>6740000</v>
          </cell>
          <cell r="BN94">
            <v>3.0415430267062313E-2</v>
          </cell>
          <cell r="BO94">
            <v>205000</v>
          </cell>
          <cell r="BP94">
            <v>1638000</v>
          </cell>
          <cell r="BQ94">
            <v>0.12515262515262515</v>
          </cell>
          <cell r="BR94">
            <v>55</v>
          </cell>
          <cell r="BS94" t="str">
            <v>On Time</v>
          </cell>
          <cell r="BT94" t="str">
            <v>On Time</v>
          </cell>
          <cell r="BU94" t="str">
            <v>&lt;=2</v>
          </cell>
          <cell r="BV94">
            <v>44000</v>
          </cell>
          <cell r="BW94">
            <v>2438</v>
          </cell>
          <cell r="BX94">
            <v>18.04757998359311</v>
          </cell>
          <cell r="BY94">
            <v>5845</v>
          </cell>
          <cell r="BZ94">
            <v>2438</v>
          </cell>
          <cell r="CA94">
            <v>2.3974569319114027</v>
          </cell>
          <cell r="CB94">
            <v>125000</v>
          </cell>
          <cell r="CC94">
            <v>582</v>
          </cell>
          <cell r="CD94">
            <v>214.77663230240549</v>
          </cell>
          <cell r="CE94">
            <v>78000</v>
          </cell>
          <cell r="CF94">
            <v>582</v>
          </cell>
          <cell r="CG94">
            <v>134.02061855670104</v>
          </cell>
          <cell r="CH94">
            <v>69000</v>
          </cell>
          <cell r="CI94">
            <v>2438</v>
          </cell>
          <cell r="CJ94">
            <v>28.30188679245283</v>
          </cell>
          <cell r="CK94">
            <v>518000</v>
          </cell>
          <cell r="CL94">
            <v>2438</v>
          </cell>
          <cell r="CM94">
            <v>212.46923707957342</v>
          </cell>
          <cell r="CN94">
            <v>488.72739135162601</v>
          </cell>
          <cell r="CO94">
            <v>408.990057855418</v>
          </cell>
          <cell r="CP94">
            <v>154.297534616684</v>
          </cell>
          <cell r="CQ94">
            <v>328.20280669986403</v>
          </cell>
          <cell r="CR94">
            <v>16</v>
          </cell>
          <cell r="CS94">
            <v>511</v>
          </cell>
          <cell r="CT94">
            <v>16</v>
          </cell>
          <cell r="CU94">
            <v>31.9375</v>
          </cell>
          <cell r="CV94">
            <v>21</v>
          </cell>
          <cell r="CW94">
            <v>0</v>
          </cell>
          <cell r="CX94">
            <v>30000</v>
          </cell>
          <cell r="CY94">
            <v>0</v>
          </cell>
          <cell r="CZ94">
            <v>51000</v>
          </cell>
          <cell r="DA94">
            <v>2438</v>
          </cell>
          <cell r="DB94">
            <v>20.918785890073831</v>
          </cell>
          <cell r="DC94">
            <v>189000</v>
          </cell>
          <cell r="DD94">
            <v>2438</v>
          </cell>
          <cell r="DE94">
            <v>77.522559474979488</v>
          </cell>
          <cell r="DF94">
            <v>46000</v>
          </cell>
          <cell r="DG94">
            <v>2438</v>
          </cell>
          <cell r="DH94">
            <v>18.867924528301888</v>
          </cell>
          <cell r="DI94">
            <v>2578.6</v>
          </cell>
          <cell r="DJ94">
            <v>0.94547428837353609</v>
          </cell>
          <cell r="DK94">
            <v>-7.3023943292445104E-3</v>
          </cell>
          <cell r="DL94">
            <v>1.58</v>
          </cell>
          <cell r="DM94">
            <v>1.38</v>
          </cell>
        </row>
        <row r="95">
          <cell r="B95" t="str">
            <v>Ballina Shire Council</v>
          </cell>
          <cell r="C95">
            <v>4</v>
          </cell>
          <cell r="D95">
            <v>6157000</v>
          </cell>
          <cell r="E95">
            <v>13706</v>
          </cell>
          <cell r="F95">
            <v>449.21932000583683</v>
          </cell>
          <cell r="G95">
            <v>987000</v>
          </cell>
          <cell r="H95">
            <v>1081</v>
          </cell>
          <cell r="I95">
            <v>913.04347826086962</v>
          </cell>
          <cell r="J95">
            <v>746000</v>
          </cell>
          <cell r="K95">
            <v>985</v>
          </cell>
          <cell r="L95">
            <v>757.36040609137058</v>
          </cell>
          <cell r="M95">
            <v>2479000</v>
          </cell>
          <cell r="N95">
            <v>26815000</v>
          </cell>
          <cell r="O95">
            <v>9.244825657281372E-2</v>
          </cell>
          <cell r="P95">
            <v>477000</v>
          </cell>
          <cell r="Q95">
            <v>14999000</v>
          </cell>
          <cell r="R95">
            <v>3.1802120141342753E-2</v>
          </cell>
          <cell r="S95">
            <v>-62000</v>
          </cell>
          <cell r="T95">
            <v>11401000</v>
          </cell>
          <cell r="U95">
            <v>-5.4381194632049821E-3</v>
          </cell>
          <cell r="V95">
            <v>15476000</v>
          </cell>
          <cell r="W95">
            <v>38373000</v>
          </cell>
          <cell r="X95">
            <v>0.40330440674432544</v>
          </cell>
          <cell r="Y95">
            <v>11339000</v>
          </cell>
          <cell r="Z95">
            <v>38373000</v>
          </cell>
          <cell r="AA95">
            <v>0.29549422771219347</v>
          </cell>
          <cell r="AB95">
            <v>2516000</v>
          </cell>
          <cell r="AC95">
            <v>38373000</v>
          </cell>
          <cell r="AD95">
            <v>6.5566935084564668E-2</v>
          </cell>
          <cell r="AE95">
            <v>4144000</v>
          </cell>
          <cell r="AF95">
            <v>38373000</v>
          </cell>
          <cell r="AG95">
            <v>0.10799259896281239</v>
          </cell>
          <cell r="AH95">
            <v>4207000</v>
          </cell>
          <cell r="AI95">
            <v>38373000</v>
          </cell>
          <cell r="AJ95">
            <v>0.10963437833893623</v>
          </cell>
          <cell r="AK95">
            <v>691000</v>
          </cell>
          <cell r="AL95">
            <v>38373000</v>
          </cell>
          <cell r="AM95">
            <v>1.8007453157167799E-2</v>
          </cell>
          <cell r="AN95">
            <v>33009000</v>
          </cell>
          <cell r="AO95">
            <v>38852</v>
          </cell>
          <cell r="AP95">
            <v>849.60877174920211</v>
          </cell>
          <cell r="AQ95">
            <v>12831000</v>
          </cell>
          <cell r="AR95">
            <v>38856000</v>
          </cell>
          <cell r="AS95">
            <v>0.33021927115503397</v>
          </cell>
          <cell r="AT95">
            <v>12355000</v>
          </cell>
          <cell r="AU95">
            <v>38856000</v>
          </cell>
          <cell r="AV95">
            <v>0.31796891085031914</v>
          </cell>
          <cell r="AW95">
            <v>504000</v>
          </cell>
          <cell r="AX95">
            <v>38856000</v>
          </cell>
          <cell r="AY95">
            <v>1.2970969734403953E-2</v>
          </cell>
          <cell r="AZ95">
            <v>8687000</v>
          </cell>
          <cell r="BA95">
            <v>38856000</v>
          </cell>
          <cell r="BB95">
            <v>0.22356907556104591</v>
          </cell>
          <cell r="BC95">
            <v>4479000</v>
          </cell>
          <cell r="BD95">
            <v>38856000</v>
          </cell>
          <cell r="BE95">
            <v>0.11527177269919704</v>
          </cell>
          <cell r="BF95">
            <v>29197000</v>
          </cell>
          <cell r="BG95">
            <v>38852</v>
          </cell>
          <cell r="BH95">
            <v>751.49284464120251</v>
          </cell>
          <cell r="BI95">
            <v>26198000</v>
          </cell>
          <cell r="BJ95">
            <v>5886000</v>
          </cell>
          <cell r="BK95">
            <v>4.4509004417261302</v>
          </cell>
          <cell r="BL95">
            <v>1440000</v>
          </cell>
          <cell r="BM95">
            <v>40517000</v>
          </cell>
          <cell r="BN95">
            <v>3.5540637263370929E-2</v>
          </cell>
          <cell r="BO95">
            <v>4479000</v>
          </cell>
          <cell r="BP95">
            <v>6617000</v>
          </cell>
          <cell r="BQ95">
            <v>0.67689285174550395</v>
          </cell>
          <cell r="BR95">
            <v>230</v>
          </cell>
          <cell r="BS95" t="str">
            <v>On Time</v>
          </cell>
          <cell r="BT95" t="str">
            <v>On Time</v>
          </cell>
          <cell r="BU95" t="str">
            <v>On Time</v>
          </cell>
          <cell r="BV95">
            <v>803000</v>
          </cell>
          <cell r="BW95">
            <v>38852</v>
          </cell>
          <cell r="BX95">
            <v>20.668176670441675</v>
          </cell>
          <cell r="BY95">
            <v>391381</v>
          </cell>
          <cell r="BZ95">
            <v>38852</v>
          </cell>
          <cell r="CA95">
            <v>10.07363842273242</v>
          </cell>
          <cell r="CB95">
            <v>1929000</v>
          </cell>
          <cell r="CC95">
            <v>13969</v>
          </cell>
          <cell r="CD95">
            <v>138.09148829551148</v>
          </cell>
          <cell r="CE95">
            <v>356000</v>
          </cell>
          <cell r="CF95">
            <v>13969</v>
          </cell>
          <cell r="CG95">
            <v>25.485002505548</v>
          </cell>
          <cell r="CH95">
            <v>9667560</v>
          </cell>
          <cell r="CI95">
            <v>38852</v>
          </cell>
          <cell r="CJ95">
            <v>248.83043343971997</v>
          </cell>
          <cell r="CK95">
            <v>12816000</v>
          </cell>
          <cell r="CL95">
            <v>38852</v>
          </cell>
          <cell r="CM95">
            <v>329.86718830433438</v>
          </cell>
          <cell r="CN95">
            <v>220.34701044265799</v>
          </cell>
          <cell r="CO95">
            <v>448</v>
          </cell>
          <cell r="CP95">
            <v>344.334351749696</v>
          </cell>
          <cell r="CQ95">
            <v>422</v>
          </cell>
          <cell r="CR95">
            <v>1128</v>
          </cell>
          <cell r="CS95">
            <v>36176</v>
          </cell>
          <cell r="CT95">
            <v>1128</v>
          </cell>
          <cell r="CU95">
            <v>32.070921985815602</v>
          </cell>
          <cell r="CV95">
            <v>25</v>
          </cell>
          <cell r="CW95">
            <v>149000</v>
          </cell>
          <cell r="CX95">
            <v>1766000</v>
          </cell>
          <cell r="CY95">
            <v>8.4371460928652317E-2</v>
          </cell>
          <cell r="CZ95">
            <v>696000</v>
          </cell>
          <cell r="DA95">
            <v>38852</v>
          </cell>
          <cell r="DB95">
            <v>17.914135694430144</v>
          </cell>
          <cell r="DC95">
            <v>2082000</v>
          </cell>
          <cell r="DD95">
            <v>38852</v>
          </cell>
          <cell r="DE95">
            <v>53.58797487902811</v>
          </cell>
          <cell r="DF95">
            <v>114000</v>
          </cell>
          <cell r="DG95">
            <v>38852</v>
          </cell>
          <cell r="DH95">
            <v>2.9342118809842481</v>
          </cell>
          <cell r="DI95">
            <v>484.4</v>
          </cell>
          <cell r="DJ95">
            <v>80.206440957886045</v>
          </cell>
          <cell r="DK95">
            <v>2.0025819309474446E-2</v>
          </cell>
          <cell r="DL95">
            <v>2.4900000000000002</v>
          </cell>
          <cell r="DM95">
            <v>2.85</v>
          </cell>
        </row>
        <row r="96">
          <cell r="B96" t="str">
            <v>Orange City Council</v>
          </cell>
          <cell r="C96">
            <v>4</v>
          </cell>
          <cell r="D96">
            <v>11440000</v>
          </cell>
          <cell r="E96">
            <v>13425</v>
          </cell>
          <cell r="F96">
            <v>852.14152700186219</v>
          </cell>
          <cell r="G96">
            <v>483000</v>
          </cell>
          <cell r="H96">
            <v>380</v>
          </cell>
          <cell r="I96">
            <v>1271.0526315789473</v>
          </cell>
          <cell r="J96">
            <v>3096000</v>
          </cell>
          <cell r="K96">
            <v>1090</v>
          </cell>
          <cell r="L96">
            <v>2840.3669724770643</v>
          </cell>
          <cell r="M96">
            <v>2706000</v>
          </cell>
          <cell r="N96">
            <v>34179000</v>
          </cell>
          <cell r="O96">
            <v>7.9171421048011933E-2</v>
          </cell>
          <cell r="P96">
            <v>536000</v>
          </cell>
          <cell r="Q96">
            <v>25492000</v>
          </cell>
          <cell r="R96">
            <v>2.1026204299388042E-2</v>
          </cell>
          <cell r="S96">
            <v>1511000</v>
          </cell>
          <cell r="T96">
            <v>6640000</v>
          </cell>
          <cell r="U96">
            <v>0.22756024096385541</v>
          </cell>
          <cell r="V96">
            <v>26028000</v>
          </cell>
          <cell r="W96">
            <v>53242000</v>
          </cell>
          <cell r="X96">
            <v>0.48886217647721725</v>
          </cell>
          <cell r="Y96">
            <v>8151000</v>
          </cell>
          <cell r="Z96">
            <v>53242000</v>
          </cell>
          <cell r="AA96">
            <v>0.1530934224860073</v>
          </cell>
          <cell r="AB96">
            <v>1726000</v>
          </cell>
          <cell r="AC96">
            <v>53242000</v>
          </cell>
          <cell r="AD96">
            <v>3.2418015852146799E-2</v>
          </cell>
          <cell r="AE96">
            <v>8234000</v>
          </cell>
          <cell r="AF96">
            <v>53242000</v>
          </cell>
          <cell r="AG96">
            <v>0.15465234213590776</v>
          </cell>
          <cell r="AH96">
            <v>7364000</v>
          </cell>
          <cell r="AI96">
            <v>53242000</v>
          </cell>
          <cell r="AJ96">
            <v>0.13831185905863791</v>
          </cell>
          <cell r="AK96">
            <v>1739000</v>
          </cell>
          <cell r="AL96">
            <v>53242000</v>
          </cell>
          <cell r="AM96">
            <v>3.266218399008302E-2</v>
          </cell>
          <cell r="AN96">
            <v>46746000</v>
          </cell>
          <cell r="AO96">
            <v>37257</v>
          </cell>
          <cell r="AP96">
            <v>1254.6903937515099</v>
          </cell>
          <cell r="AQ96">
            <v>16565000</v>
          </cell>
          <cell r="AR96">
            <v>46005000</v>
          </cell>
          <cell r="AS96">
            <v>0.36006955765677645</v>
          </cell>
          <cell r="AT96">
            <v>17434000</v>
          </cell>
          <cell r="AU96">
            <v>46005000</v>
          </cell>
          <cell r="AV96">
            <v>0.37895880882512772</v>
          </cell>
          <cell r="AW96">
            <v>856000</v>
          </cell>
          <cell r="AX96">
            <v>46005000</v>
          </cell>
          <cell r="AY96">
            <v>1.8606673187696991E-2</v>
          </cell>
          <cell r="AZ96">
            <v>9545000</v>
          </cell>
          <cell r="BA96">
            <v>46005000</v>
          </cell>
          <cell r="BB96">
            <v>0.20747744810346702</v>
          </cell>
          <cell r="BC96">
            <v>1605000</v>
          </cell>
          <cell r="BD96">
            <v>46005000</v>
          </cell>
          <cell r="BE96">
            <v>3.4887512226931858E-2</v>
          </cell>
          <cell r="BF96">
            <v>36363000</v>
          </cell>
          <cell r="BG96">
            <v>37257</v>
          </cell>
          <cell r="BH96">
            <v>976.00450921974391</v>
          </cell>
          <cell r="BI96">
            <v>13265000</v>
          </cell>
          <cell r="BJ96">
            <v>6611000</v>
          </cell>
          <cell r="BK96">
            <v>2.0065043109968235</v>
          </cell>
          <cell r="BL96">
            <v>2922000</v>
          </cell>
          <cell r="BM96">
            <v>41330000</v>
          </cell>
          <cell r="BN96">
            <v>7.0699249939511252E-2</v>
          </cell>
          <cell r="BO96">
            <v>8464000</v>
          </cell>
          <cell r="BP96">
            <v>7645000</v>
          </cell>
          <cell r="BQ96">
            <v>1.1071288423806409</v>
          </cell>
          <cell r="BR96">
            <v>310</v>
          </cell>
          <cell r="BS96" t="str">
            <v>On Time</v>
          </cell>
          <cell r="BT96" t="str">
            <v>On Time</v>
          </cell>
          <cell r="BU96" t="str">
            <v>On Time</v>
          </cell>
          <cell r="BV96">
            <v>1213000</v>
          </cell>
          <cell r="BW96">
            <v>37257</v>
          </cell>
          <cell r="BX96">
            <v>32.557640175000671</v>
          </cell>
          <cell r="BY96">
            <v>314723</v>
          </cell>
          <cell r="BZ96">
            <v>37257</v>
          </cell>
          <cell r="CA96">
            <v>8.4473521754301206</v>
          </cell>
          <cell r="CB96">
            <v>2199000</v>
          </cell>
          <cell r="CC96">
            <v>13710</v>
          </cell>
          <cell r="CD96">
            <v>160.39387308533918</v>
          </cell>
          <cell r="CE96">
            <v>1642000</v>
          </cell>
          <cell r="CF96">
            <v>14959</v>
          </cell>
          <cell r="CG96">
            <v>109.76669563473494</v>
          </cell>
          <cell r="CH96">
            <v>7905450</v>
          </cell>
          <cell r="CI96">
            <v>37257</v>
          </cell>
          <cell r="CJ96">
            <v>212.18697157581127</v>
          </cell>
          <cell r="CK96">
            <v>12999570</v>
          </cell>
          <cell r="CL96">
            <v>37257</v>
          </cell>
          <cell r="CM96">
            <v>348.91617682583137</v>
          </cell>
          <cell r="CN96">
            <v>424.63793225551899</v>
          </cell>
          <cell r="CO96">
            <v>383</v>
          </cell>
          <cell r="CP96">
            <v>250.97895012733201</v>
          </cell>
          <cell r="CQ96">
            <v>264.65069206083899</v>
          </cell>
          <cell r="CR96">
            <v>892</v>
          </cell>
          <cell r="CS96">
            <v>28608</v>
          </cell>
          <cell r="CT96">
            <v>892</v>
          </cell>
          <cell r="CU96">
            <v>32.071748878923763</v>
          </cell>
          <cell r="CV96">
            <v>20</v>
          </cell>
          <cell r="CW96">
            <v>134000</v>
          </cell>
          <cell r="CX96">
            <v>1429000</v>
          </cell>
          <cell r="CY96">
            <v>9.3771868439468165E-2</v>
          </cell>
          <cell r="CZ96">
            <v>191000</v>
          </cell>
          <cell r="DA96">
            <v>37257</v>
          </cell>
          <cell r="DB96">
            <v>5.1265533993611943</v>
          </cell>
          <cell r="DC96">
            <v>3154000</v>
          </cell>
          <cell r="DD96">
            <v>37257</v>
          </cell>
          <cell r="DE96">
            <v>84.655232573744527</v>
          </cell>
          <cell r="DF96">
            <v>4360000</v>
          </cell>
          <cell r="DG96">
            <v>37257</v>
          </cell>
          <cell r="DH96">
            <v>117.02498859274768</v>
          </cell>
          <cell r="DI96">
            <v>284.8</v>
          </cell>
          <cell r="DJ96">
            <v>130.81811797752809</v>
          </cell>
          <cell r="DK96">
            <v>1.1849303231588504E-2</v>
          </cell>
          <cell r="DL96">
            <v>3.92</v>
          </cell>
          <cell r="DM96">
            <v>3.74</v>
          </cell>
        </row>
        <row r="97">
          <cell r="B97" t="str">
            <v>Manilla Shire Council</v>
          </cell>
          <cell r="C97">
            <v>9</v>
          </cell>
          <cell r="D97">
            <v>187000</v>
          </cell>
          <cell r="E97">
            <v>1095</v>
          </cell>
          <cell r="F97">
            <v>170.77625570776254</v>
          </cell>
          <cell r="G97">
            <v>667000</v>
          </cell>
          <cell r="H97">
            <v>433</v>
          </cell>
          <cell r="I97">
            <v>1540.4157043879907</v>
          </cell>
          <cell r="J97">
            <v>44000</v>
          </cell>
          <cell r="K97">
            <v>113</v>
          </cell>
          <cell r="L97">
            <v>389.3805309734513</v>
          </cell>
          <cell r="M97">
            <v>961000</v>
          </cell>
          <cell r="N97">
            <v>3319000</v>
          </cell>
          <cell r="O97">
            <v>0.28954504368785777</v>
          </cell>
          <cell r="P97">
            <v>44000</v>
          </cell>
          <cell r="Q97">
            <v>1824000</v>
          </cell>
          <cell r="R97">
            <v>2.4122807017543858E-2</v>
          </cell>
          <cell r="S97">
            <v>410000</v>
          </cell>
          <cell r="T97">
            <v>1041000</v>
          </cell>
          <cell r="U97">
            <v>0.39385206532180594</v>
          </cell>
          <cell r="V97">
            <v>1868000</v>
          </cell>
          <cell r="W97">
            <v>5952000</v>
          </cell>
          <cell r="X97">
            <v>0.31384408602150538</v>
          </cell>
          <cell r="Y97">
            <v>1451000</v>
          </cell>
          <cell r="Z97">
            <v>5952000</v>
          </cell>
          <cell r="AA97">
            <v>0.24378360215053763</v>
          </cell>
          <cell r="AB97">
            <v>163000</v>
          </cell>
          <cell r="AC97">
            <v>5952000</v>
          </cell>
          <cell r="AD97">
            <v>2.7385752688172043E-2</v>
          </cell>
          <cell r="AE97">
            <v>1869000</v>
          </cell>
          <cell r="AF97">
            <v>5952000</v>
          </cell>
          <cell r="AG97">
            <v>0.31401209677419356</v>
          </cell>
          <cell r="AH97">
            <v>552000</v>
          </cell>
          <cell r="AI97">
            <v>5952000</v>
          </cell>
          <cell r="AJ97">
            <v>9.2741935483870969E-2</v>
          </cell>
          <cell r="AK97">
            <v>49000</v>
          </cell>
          <cell r="AL97">
            <v>5952000</v>
          </cell>
          <cell r="AM97">
            <v>8.2325268817204297E-3</v>
          </cell>
          <cell r="AN97">
            <v>4398000</v>
          </cell>
          <cell r="AO97">
            <v>3297</v>
          </cell>
          <cell r="AP97">
            <v>1333.9399454049135</v>
          </cell>
          <cell r="AQ97">
            <v>2246000</v>
          </cell>
          <cell r="AR97">
            <v>6081000</v>
          </cell>
          <cell r="AS97">
            <v>0.36934714685084691</v>
          </cell>
          <cell r="AT97">
            <v>1961000</v>
          </cell>
          <cell r="AU97">
            <v>6081000</v>
          </cell>
          <cell r="AV97">
            <v>0.32247985528695938</v>
          </cell>
          <cell r="AW97">
            <v>131000</v>
          </cell>
          <cell r="AX97">
            <v>6081000</v>
          </cell>
          <cell r="AY97">
            <v>2.1542509455681633E-2</v>
          </cell>
          <cell r="AZ97">
            <v>1191000</v>
          </cell>
          <cell r="BA97">
            <v>6081000</v>
          </cell>
          <cell r="BB97">
            <v>0.19585594474592993</v>
          </cell>
          <cell r="BC97">
            <v>552000</v>
          </cell>
          <cell r="BD97">
            <v>6081000</v>
          </cell>
          <cell r="BE97">
            <v>9.0774543660582144E-2</v>
          </cell>
          <cell r="BF97">
            <v>5008000</v>
          </cell>
          <cell r="BG97">
            <v>3297</v>
          </cell>
          <cell r="BH97">
            <v>1518.956627236882</v>
          </cell>
          <cell r="BI97">
            <v>2551000</v>
          </cell>
          <cell r="BJ97">
            <v>1205000</v>
          </cell>
          <cell r="BK97">
            <v>2.1170124481327801</v>
          </cell>
          <cell r="BL97">
            <v>469000</v>
          </cell>
          <cell r="BM97">
            <v>4600000</v>
          </cell>
          <cell r="BN97">
            <v>0.10195652173913043</v>
          </cell>
          <cell r="BO97">
            <v>367000</v>
          </cell>
          <cell r="BP97">
            <v>863000</v>
          </cell>
          <cell r="BQ97">
            <v>0.42526071842410196</v>
          </cell>
          <cell r="BR97">
            <v>47</v>
          </cell>
          <cell r="BS97" t="str">
            <v>&lt;=16</v>
          </cell>
          <cell r="BT97" t="str">
            <v>&lt;=16</v>
          </cell>
          <cell r="BU97" t="str">
            <v>On Time</v>
          </cell>
          <cell r="BV97">
            <v>81000</v>
          </cell>
          <cell r="BW97">
            <v>3297</v>
          </cell>
          <cell r="BX97">
            <v>24.56778889899909</v>
          </cell>
          <cell r="BY97">
            <v>18275</v>
          </cell>
          <cell r="BZ97">
            <v>3297</v>
          </cell>
          <cell r="CA97">
            <v>5.5429178040643006</v>
          </cell>
          <cell r="CB97">
            <v>131000</v>
          </cell>
          <cell r="CC97">
            <v>943</v>
          </cell>
          <cell r="CD97">
            <v>138.91834570519617</v>
          </cell>
          <cell r="CE97">
            <v>54545</v>
          </cell>
          <cell r="CF97">
            <v>943</v>
          </cell>
          <cell r="CG97">
            <v>57.841993637327676</v>
          </cell>
          <cell r="CH97">
            <v>415480</v>
          </cell>
          <cell r="CI97">
            <v>3297</v>
          </cell>
          <cell r="CJ97">
            <v>126.01759175007582</v>
          </cell>
          <cell r="CK97">
            <v>455000</v>
          </cell>
          <cell r="CL97">
            <v>3297</v>
          </cell>
          <cell r="CM97">
            <v>138.00424628450105</v>
          </cell>
          <cell r="CN97">
            <v>449.480047298567</v>
          </cell>
          <cell r="CO97">
            <v>443.79276637341201</v>
          </cell>
          <cell r="CP97">
            <v>489.82605291123701</v>
          </cell>
          <cell r="CQ97">
            <v>543.65565075479401</v>
          </cell>
          <cell r="CR97">
            <v>17</v>
          </cell>
          <cell r="CS97">
            <v>560</v>
          </cell>
          <cell r="CT97">
            <v>17</v>
          </cell>
          <cell r="CU97">
            <v>32.941176470588232</v>
          </cell>
          <cell r="CV97">
            <v>24</v>
          </cell>
          <cell r="CW97">
            <v>0</v>
          </cell>
          <cell r="CX97">
            <v>134000</v>
          </cell>
          <cell r="CY97">
            <v>0</v>
          </cell>
          <cell r="CZ97">
            <v>89000</v>
          </cell>
          <cell r="DA97">
            <v>3297</v>
          </cell>
          <cell r="DB97">
            <v>26.994237185319989</v>
          </cell>
          <cell r="DC97">
            <v>317000</v>
          </cell>
          <cell r="DD97">
            <v>3297</v>
          </cell>
          <cell r="DE97">
            <v>96.148013345465571</v>
          </cell>
          <cell r="DF97">
            <v>697000</v>
          </cell>
          <cell r="DG97">
            <v>3297</v>
          </cell>
          <cell r="DH97">
            <v>211.40430694570821</v>
          </cell>
          <cell r="DI97">
            <v>2193.3000000000002</v>
          </cell>
          <cell r="DJ97">
            <v>1.5032143345643549</v>
          </cell>
          <cell r="DK97">
            <v>-1.148594496494848E-3</v>
          </cell>
          <cell r="DL97">
            <v>5.97</v>
          </cell>
          <cell r="DM97">
            <v>1.24</v>
          </cell>
        </row>
        <row r="98">
          <cell r="B98" t="str">
            <v>Eurobodalla Shire Council</v>
          </cell>
          <cell r="C98">
            <v>4</v>
          </cell>
          <cell r="D98">
            <v>9250000</v>
          </cell>
          <cell r="E98">
            <v>20742</v>
          </cell>
          <cell r="F98">
            <v>445.95506701378844</v>
          </cell>
          <cell r="G98">
            <v>321000</v>
          </cell>
          <cell r="H98">
            <v>272</v>
          </cell>
          <cell r="I98">
            <v>1180.1470588235295</v>
          </cell>
          <cell r="J98">
            <v>1443000</v>
          </cell>
          <cell r="K98">
            <v>1101</v>
          </cell>
          <cell r="L98">
            <v>1310.6267029972753</v>
          </cell>
          <cell r="M98">
            <v>3134000</v>
          </cell>
          <cell r="N98">
            <v>35595000</v>
          </cell>
          <cell r="O98">
            <v>8.8046073886781845E-2</v>
          </cell>
          <cell r="P98">
            <v>1565000</v>
          </cell>
          <cell r="Q98">
            <v>23909000</v>
          </cell>
          <cell r="R98">
            <v>6.5456522648375093E-2</v>
          </cell>
          <cell r="S98">
            <v>1997000</v>
          </cell>
          <cell r="T98">
            <v>8124000</v>
          </cell>
          <cell r="U98">
            <v>0.24581486952240275</v>
          </cell>
          <cell r="V98">
            <v>25474000</v>
          </cell>
          <cell r="W98">
            <v>64863000</v>
          </cell>
          <cell r="X98">
            <v>0.39273545781107871</v>
          </cell>
          <cell r="Y98">
            <v>10121000</v>
          </cell>
          <cell r="Z98">
            <v>64863000</v>
          </cell>
          <cell r="AA98">
            <v>0.15603656938470314</v>
          </cell>
          <cell r="AB98">
            <v>1808000</v>
          </cell>
          <cell r="AC98">
            <v>64863000</v>
          </cell>
          <cell r="AD98">
            <v>2.7874134714706383E-2</v>
          </cell>
          <cell r="AE98">
            <v>12848000</v>
          </cell>
          <cell r="AF98">
            <v>64863000</v>
          </cell>
          <cell r="AG98">
            <v>0.19807902810539135</v>
          </cell>
          <cell r="AH98">
            <v>13434000</v>
          </cell>
          <cell r="AI98">
            <v>64863000</v>
          </cell>
          <cell r="AJ98">
            <v>0.2071134545118172</v>
          </cell>
          <cell r="AK98">
            <v>1178000</v>
          </cell>
          <cell r="AL98">
            <v>64863000</v>
          </cell>
          <cell r="AM98">
            <v>1.8161355472303162E-2</v>
          </cell>
          <cell r="AN98">
            <v>36715000</v>
          </cell>
          <cell r="AO98">
            <v>34592</v>
          </cell>
          <cell r="AP98">
            <v>1061.372571692877</v>
          </cell>
          <cell r="AQ98">
            <v>18698000</v>
          </cell>
          <cell r="AR98">
            <v>53914000</v>
          </cell>
          <cell r="AS98">
            <v>0.34681158882664986</v>
          </cell>
          <cell r="AT98">
            <v>15393000</v>
          </cell>
          <cell r="AU98">
            <v>53914000</v>
          </cell>
          <cell r="AV98">
            <v>0.28551025707608413</v>
          </cell>
          <cell r="AW98">
            <v>1991000</v>
          </cell>
          <cell r="AX98">
            <v>53914000</v>
          </cell>
          <cell r="AY98">
            <v>3.6929183514486034E-2</v>
          </cell>
          <cell r="AZ98">
            <v>10538000</v>
          </cell>
          <cell r="BA98">
            <v>53914000</v>
          </cell>
          <cell r="BB98">
            <v>0.19545943539711391</v>
          </cell>
          <cell r="BC98">
            <v>7294000</v>
          </cell>
          <cell r="BD98">
            <v>53914000</v>
          </cell>
          <cell r="BE98">
            <v>0.13528953518566605</v>
          </cell>
          <cell r="BF98">
            <v>38560000</v>
          </cell>
          <cell r="BG98">
            <v>34592</v>
          </cell>
          <cell r="BH98">
            <v>1114.7086031452359</v>
          </cell>
          <cell r="BI98">
            <v>11360000</v>
          </cell>
          <cell r="BJ98">
            <v>8578000</v>
          </cell>
          <cell r="BK98">
            <v>1.3243180228491489</v>
          </cell>
          <cell r="BL98">
            <v>6209000</v>
          </cell>
          <cell r="BM98">
            <v>46088000</v>
          </cell>
          <cell r="BN98">
            <v>0.13472053462940461</v>
          </cell>
          <cell r="BO98">
            <v>9770000</v>
          </cell>
          <cell r="BP98">
            <v>6449000</v>
          </cell>
          <cell r="BQ98">
            <v>1.514963560241898</v>
          </cell>
          <cell r="BR98">
            <v>395</v>
          </cell>
          <cell r="BS98" t="str">
            <v>On Time</v>
          </cell>
          <cell r="BT98" t="str">
            <v>On Time</v>
          </cell>
          <cell r="BU98" t="str">
            <v>On Time</v>
          </cell>
          <cell r="BV98">
            <v>881000</v>
          </cell>
          <cell r="BW98">
            <v>34592</v>
          </cell>
          <cell r="BX98">
            <v>25.46831637372803</v>
          </cell>
          <cell r="BY98">
            <v>288647</v>
          </cell>
          <cell r="BZ98">
            <v>34592</v>
          </cell>
          <cell r="CA98">
            <v>8.3443281683626278</v>
          </cell>
          <cell r="CB98">
            <v>1629000</v>
          </cell>
          <cell r="CC98">
            <v>17862</v>
          </cell>
          <cell r="CD98">
            <v>91.199193819281149</v>
          </cell>
          <cell r="CE98">
            <v>1249475</v>
          </cell>
          <cell r="CF98">
            <v>17862</v>
          </cell>
          <cell r="CG98">
            <v>69.951573172097184</v>
          </cell>
          <cell r="CH98">
            <v>2311000</v>
          </cell>
          <cell r="CI98">
            <v>34592</v>
          </cell>
          <cell r="CJ98">
            <v>66.807354301572616</v>
          </cell>
          <cell r="CK98">
            <v>11912000</v>
          </cell>
          <cell r="CL98">
            <v>34592</v>
          </cell>
          <cell r="CM98">
            <v>344.35707678075858</v>
          </cell>
          <cell r="CN98">
            <v>343.93410528368997</v>
          </cell>
          <cell r="CO98">
            <v>395</v>
          </cell>
          <cell r="CP98">
            <v>430.78379184850098</v>
          </cell>
          <cell r="CQ98">
            <v>461</v>
          </cell>
          <cell r="CR98">
            <v>1339</v>
          </cell>
          <cell r="CS98">
            <v>44575</v>
          </cell>
          <cell r="CT98">
            <v>1339</v>
          </cell>
          <cell r="CU98">
            <v>33.289768483943242</v>
          </cell>
          <cell r="CV98">
            <v>25</v>
          </cell>
          <cell r="CW98">
            <v>93000</v>
          </cell>
          <cell r="CX98">
            <v>2313000</v>
          </cell>
          <cell r="CY98">
            <v>4.0207522697795074E-2</v>
          </cell>
          <cell r="CZ98">
            <v>1651000</v>
          </cell>
          <cell r="DA98">
            <v>34592</v>
          </cell>
          <cell r="DB98">
            <v>47.727798334875118</v>
          </cell>
          <cell r="DC98">
            <v>2014000</v>
          </cell>
          <cell r="DD98">
            <v>34592</v>
          </cell>
          <cell r="DE98">
            <v>58.221554116558742</v>
          </cell>
          <cell r="DF98">
            <v>4073000</v>
          </cell>
          <cell r="DG98">
            <v>34592</v>
          </cell>
          <cell r="DH98">
            <v>117.74398704902868</v>
          </cell>
          <cell r="DI98">
            <v>3422.2</v>
          </cell>
          <cell r="DJ98">
            <v>10.108117585179125</v>
          </cell>
          <cell r="DK98">
            <v>2.1859545398976721E-2</v>
          </cell>
          <cell r="DL98">
            <v>4.17</v>
          </cell>
          <cell r="DM98">
            <v>5.0999999999999996</v>
          </cell>
        </row>
        <row r="99">
          <cell r="B99" t="str">
            <v>Central Darling Shire Council</v>
          </cell>
          <cell r="C99">
            <v>9</v>
          </cell>
          <cell r="D99">
            <v>208000</v>
          </cell>
          <cell r="E99">
            <v>1112</v>
          </cell>
          <cell r="F99">
            <v>187.0503597122302</v>
          </cell>
          <cell r="G99">
            <v>302000</v>
          </cell>
          <cell r="H99">
            <v>290</v>
          </cell>
          <cell r="I99">
            <v>1041.3793103448277</v>
          </cell>
          <cell r="J99">
            <v>30000</v>
          </cell>
          <cell r="K99">
            <v>153</v>
          </cell>
          <cell r="L99">
            <v>196.07843137254903</v>
          </cell>
          <cell r="M99">
            <v>393000</v>
          </cell>
          <cell r="N99">
            <v>3067000</v>
          </cell>
          <cell r="O99">
            <v>0.12813824584284317</v>
          </cell>
          <cell r="P99">
            <v>45000</v>
          </cell>
          <cell r="Q99">
            <v>929000</v>
          </cell>
          <cell r="R99">
            <v>4.843918191603875E-2</v>
          </cell>
          <cell r="S99">
            <v>610000</v>
          </cell>
          <cell r="T99">
            <v>1483000</v>
          </cell>
          <cell r="U99">
            <v>0.41132838840188807</v>
          </cell>
          <cell r="V99">
            <v>974000</v>
          </cell>
          <cell r="W99">
            <v>10170000</v>
          </cell>
          <cell r="X99">
            <v>9.5771878072763023E-2</v>
          </cell>
          <cell r="Y99">
            <v>2093000</v>
          </cell>
          <cell r="Z99">
            <v>10170000</v>
          </cell>
          <cell r="AA99">
            <v>0.20580137659783679</v>
          </cell>
          <cell r="AB99">
            <v>256000</v>
          </cell>
          <cell r="AC99">
            <v>10170000</v>
          </cell>
          <cell r="AD99">
            <v>2.5172074729596854E-2</v>
          </cell>
          <cell r="AE99">
            <v>4653000</v>
          </cell>
          <cell r="AF99">
            <v>10170000</v>
          </cell>
          <cell r="AG99">
            <v>0.45752212389380531</v>
          </cell>
          <cell r="AH99">
            <v>1796000</v>
          </cell>
          <cell r="AI99">
            <v>10170000</v>
          </cell>
          <cell r="AJ99">
            <v>0.17659783677482793</v>
          </cell>
          <cell r="AK99">
            <v>398000</v>
          </cell>
          <cell r="AL99">
            <v>10170000</v>
          </cell>
          <cell r="AM99">
            <v>3.913470993117011E-2</v>
          </cell>
          <cell r="AN99">
            <v>8510000</v>
          </cell>
          <cell r="AO99">
            <v>2422</v>
          </cell>
          <cell r="AP99">
            <v>3513.6251032204791</v>
          </cell>
          <cell r="AQ99">
            <v>2701000</v>
          </cell>
          <cell r="AR99">
            <v>9261000</v>
          </cell>
          <cell r="AS99">
            <v>0.2916531692041896</v>
          </cell>
          <cell r="AT99">
            <v>4009000</v>
          </cell>
          <cell r="AU99">
            <v>9261000</v>
          </cell>
          <cell r="AV99">
            <v>0.43289061656408595</v>
          </cell>
          <cell r="AW99">
            <v>0</v>
          </cell>
          <cell r="AX99">
            <v>9261000</v>
          </cell>
          <cell r="AY99">
            <v>0</v>
          </cell>
          <cell r="AZ99">
            <v>1593000</v>
          </cell>
          <cell r="BA99">
            <v>9261000</v>
          </cell>
          <cell r="BB99">
            <v>0.17201166180758018</v>
          </cell>
          <cell r="BC99">
            <v>958000</v>
          </cell>
          <cell r="BD99">
            <v>9261000</v>
          </cell>
          <cell r="BE99">
            <v>0.10344455242414426</v>
          </cell>
          <cell r="BF99">
            <v>8320000</v>
          </cell>
          <cell r="BG99">
            <v>2422</v>
          </cell>
          <cell r="BH99">
            <v>3435.1775392237819</v>
          </cell>
          <cell r="BI99">
            <v>3462000</v>
          </cell>
          <cell r="BJ99">
            <v>881000</v>
          </cell>
          <cell r="BK99">
            <v>3.9296254256526675</v>
          </cell>
          <cell r="BL99">
            <v>0</v>
          </cell>
          <cell r="BM99">
            <v>8247000</v>
          </cell>
          <cell r="BN99">
            <v>0</v>
          </cell>
          <cell r="BO99">
            <v>1839000</v>
          </cell>
          <cell r="BP99">
            <v>1303000</v>
          </cell>
          <cell r="BQ99">
            <v>1.4113584036838065</v>
          </cell>
          <cell r="BR99">
            <v>48.46</v>
          </cell>
          <cell r="BS99" t="str">
            <v>&lt;=8</v>
          </cell>
          <cell r="BT99" t="str">
            <v>&lt;=16</v>
          </cell>
          <cell r="BU99" t="str">
            <v>&lt;=2</v>
          </cell>
          <cell r="BV99">
            <v>0</v>
          </cell>
          <cell r="BW99">
            <v>2422</v>
          </cell>
          <cell r="BX99" t="str">
            <v>N/A</v>
          </cell>
          <cell r="BZ99">
            <v>2422</v>
          </cell>
          <cell r="CA99" t="str">
            <v>N/A</v>
          </cell>
          <cell r="CB99">
            <v>121000</v>
          </cell>
          <cell r="CC99">
            <v>594</v>
          </cell>
          <cell r="CD99">
            <v>203.7037037037037</v>
          </cell>
          <cell r="CE99">
            <v>89738</v>
          </cell>
          <cell r="CF99">
            <v>584</v>
          </cell>
          <cell r="CG99">
            <v>153.66095890410958</v>
          </cell>
          <cell r="CH99">
            <v>0</v>
          </cell>
          <cell r="CI99">
            <v>2422</v>
          </cell>
          <cell r="CJ99" t="str">
            <v>N/A</v>
          </cell>
          <cell r="CK99">
            <v>0</v>
          </cell>
          <cell r="CL99">
            <v>2422</v>
          </cell>
          <cell r="CM99">
            <v>0</v>
          </cell>
          <cell r="CN99">
            <v>615.18987341772197</v>
          </cell>
          <cell r="CO99">
            <v>1174.4505494505499</v>
          </cell>
          <cell r="CP99">
            <v>291.95630585898698</v>
          </cell>
          <cell r="CQ99">
            <v>304.09356725146199</v>
          </cell>
          <cell r="CR99">
            <v>62</v>
          </cell>
          <cell r="CS99">
            <v>2111</v>
          </cell>
          <cell r="CT99">
            <v>62</v>
          </cell>
          <cell r="CU99">
            <v>34.048387096774192</v>
          </cell>
          <cell r="CV99">
            <v>40.5</v>
          </cell>
          <cell r="CW99">
            <v>0</v>
          </cell>
          <cell r="CX99">
            <v>16000</v>
          </cell>
          <cell r="CY99">
            <v>0</v>
          </cell>
          <cell r="CZ99">
            <v>237000</v>
          </cell>
          <cell r="DA99">
            <v>2422</v>
          </cell>
          <cell r="DB99">
            <v>97.853014037985133</v>
          </cell>
          <cell r="DC99">
            <v>164000</v>
          </cell>
          <cell r="DD99">
            <v>2422</v>
          </cell>
          <cell r="DE99">
            <v>67.712634186622623</v>
          </cell>
          <cell r="DF99">
            <v>476000</v>
          </cell>
          <cell r="DG99">
            <v>2422</v>
          </cell>
          <cell r="DH99">
            <v>196.53179190751445</v>
          </cell>
          <cell r="DI99">
            <v>53510.8</v>
          </cell>
          <cell r="DJ99">
            <v>4.5261891057506144E-2</v>
          </cell>
          <cell r="DK99">
            <v>4.9619607623174744E-4</v>
          </cell>
          <cell r="DL99">
            <v>31.14</v>
          </cell>
          <cell r="DM99">
            <v>1.18</v>
          </cell>
        </row>
        <row r="100">
          <cell r="B100" t="str">
            <v>Lachlan Shire Council</v>
          </cell>
          <cell r="C100">
            <v>10</v>
          </cell>
          <cell r="D100">
            <v>537000</v>
          </cell>
          <cell r="E100">
            <v>2210</v>
          </cell>
          <cell r="F100">
            <v>242.98642533936652</v>
          </cell>
          <cell r="G100">
            <v>2378000</v>
          </cell>
          <cell r="H100">
            <v>1449</v>
          </cell>
          <cell r="I100">
            <v>1641.1318150448585</v>
          </cell>
          <cell r="J100">
            <v>113000</v>
          </cell>
          <cell r="K100">
            <v>393</v>
          </cell>
          <cell r="L100">
            <v>287.53180661577608</v>
          </cell>
          <cell r="M100">
            <v>627000</v>
          </cell>
          <cell r="N100">
            <v>6556000</v>
          </cell>
          <cell r="O100">
            <v>9.563758389261745E-2</v>
          </cell>
          <cell r="P100">
            <v>125000</v>
          </cell>
          <cell r="Q100">
            <v>4271000</v>
          </cell>
          <cell r="R100">
            <v>2.9267150550222429E-2</v>
          </cell>
          <cell r="S100">
            <v>-105000</v>
          </cell>
          <cell r="T100">
            <v>2265000</v>
          </cell>
          <cell r="U100">
            <v>-4.6357615894039736E-2</v>
          </cell>
          <cell r="V100">
            <v>4396000</v>
          </cell>
          <cell r="W100">
            <v>20650000</v>
          </cell>
          <cell r="X100">
            <v>0.21288135593220339</v>
          </cell>
          <cell r="Y100">
            <v>2160000</v>
          </cell>
          <cell r="Z100">
            <v>20650000</v>
          </cell>
          <cell r="AA100">
            <v>0.10460048426150122</v>
          </cell>
          <cell r="AB100">
            <v>1524000</v>
          </cell>
          <cell r="AC100">
            <v>20650000</v>
          </cell>
          <cell r="AD100">
            <v>7.3801452784503632E-2</v>
          </cell>
          <cell r="AE100">
            <v>9635000</v>
          </cell>
          <cell r="AF100">
            <v>20650000</v>
          </cell>
          <cell r="AG100">
            <v>0.46658595641646489</v>
          </cell>
          <cell r="AH100">
            <v>2813000</v>
          </cell>
          <cell r="AI100">
            <v>20650000</v>
          </cell>
          <cell r="AJ100">
            <v>0.13622276029055691</v>
          </cell>
          <cell r="AK100">
            <v>122000</v>
          </cell>
          <cell r="AL100">
            <v>20650000</v>
          </cell>
          <cell r="AM100">
            <v>5.9079903147699758E-3</v>
          </cell>
          <cell r="AN100">
            <v>15761000</v>
          </cell>
          <cell r="AO100">
            <v>7535</v>
          </cell>
          <cell r="AP100">
            <v>2091.7053749170536</v>
          </cell>
          <cell r="AQ100">
            <v>6734000</v>
          </cell>
          <cell r="AR100">
            <v>18237000</v>
          </cell>
          <cell r="AS100">
            <v>0.36924932828864399</v>
          </cell>
          <cell r="AT100">
            <v>4481000</v>
          </cell>
          <cell r="AU100">
            <v>18237000</v>
          </cell>
          <cell r="AV100">
            <v>0.24570927235839227</v>
          </cell>
          <cell r="AW100">
            <v>0</v>
          </cell>
          <cell r="AX100">
            <v>18237000</v>
          </cell>
          <cell r="AY100">
            <v>0</v>
          </cell>
          <cell r="AZ100">
            <v>5680000</v>
          </cell>
          <cell r="BA100">
            <v>18237000</v>
          </cell>
          <cell r="BB100">
            <v>0.31145473487964032</v>
          </cell>
          <cell r="BC100">
            <v>1342000</v>
          </cell>
          <cell r="BD100">
            <v>18237000</v>
          </cell>
          <cell r="BE100">
            <v>7.358666447332346E-2</v>
          </cell>
          <cell r="BF100">
            <v>16182000</v>
          </cell>
          <cell r="BG100">
            <v>7535</v>
          </cell>
          <cell r="BH100">
            <v>2147.5779694757798</v>
          </cell>
          <cell r="BI100">
            <v>14002000</v>
          </cell>
          <cell r="BJ100">
            <v>3235000</v>
          </cell>
          <cell r="BK100">
            <v>4.3282843894899532</v>
          </cell>
          <cell r="BL100">
            <v>0</v>
          </cell>
          <cell r="BM100">
            <v>13519000</v>
          </cell>
          <cell r="BN100">
            <v>0</v>
          </cell>
          <cell r="BO100">
            <v>6858000</v>
          </cell>
          <cell r="BP100">
            <v>5107000</v>
          </cell>
          <cell r="BQ100">
            <v>1.3428627374192286</v>
          </cell>
          <cell r="BR100">
            <v>144</v>
          </cell>
          <cell r="BS100" t="str">
            <v>On Time</v>
          </cell>
          <cell r="BT100" t="str">
            <v>On Time</v>
          </cell>
          <cell r="BU100" t="str">
            <v>On Time</v>
          </cell>
          <cell r="BV100">
            <v>158000</v>
          </cell>
          <cell r="BW100">
            <v>7535</v>
          </cell>
          <cell r="BX100">
            <v>20.968812209688121</v>
          </cell>
          <cell r="BY100">
            <v>36133</v>
          </cell>
          <cell r="BZ100">
            <v>7535</v>
          </cell>
          <cell r="CA100">
            <v>4.7953550099535498</v>
          </cell>
          <cell r="CB100">
            <v>249000</v>
          </cell>
          <cell r="CC100">
            <v>2287</v>
          </cell>
          <cell r="CD100">
            <v>108.87625710537823</v>
          </cell>
          <cell r="CE100">
            <v>121000</v>
          </cell>
          <cell r="CF100">
            <v>2287</v>
          </cell>
          <cell r="CG100">
            <v>52.90773939658942</v>
          </cell>
          <cell r="CH100">
            <v>0</v>
          </cell>
          <cell r="CI100">
            <v>7535</v>
          </cell>
          <cell r="CJ100" t="str">
            <v>N/A</v>
          </cell>
          <cell r="CK100">
            <v>1150000</v>
          </cell>
          <cell r="CL100">
            <v>7535</v>
          </cell>
          <cell r="CM100">
            <v>152.62110152621102</v>
          </cell>
          <cell r="CN100">
            <v>471.88415596123502</v>
          </cell>
          <cell r="CO100">
            <v>496.689230929134</v>
          </cell>
          <cell r="CP100">
            <v>270.231985442341</v>
          </cell>
          <cell r="CQ100">
            <v>374</v>
          </cell>
          <cell r="CR100">
            <v>106</v>
          </cell>
          <cell r="CS100">
            <v>3667</v>
          </cell>
          <cell r="CT100">
            <v>106</v>
          </cell>
          <cell r="CU100">
            <v>34.594339622641506</v>
          </cell>
          <cell r="CV100">
            <v>11</v>
          </cell>
          <cell r="CW100">
            <v>0</v>
          </cell>
          <cell r="CX100">
            <v>123000</v>
          </cell>
          <cell r="CY100">
            <v>0</v>
          </cell>
          <cell r="CZ100">
            <v>472000</v>
          </cell>
          <cell r="DA100">
            <v>7535</v>
          </cell>
          <cell r="DB100">
            <v>62.641008626410084</v>
          </cell>
          <cell r="DC100">
            <v>1223000</v>
          </cell>
          <cell r="DD100">
            <v>7535</v>
          </cell>
          <cell r="DE100">
            <v>162.30922362309224</v>
          </cell>
          <cell r="DF100">
            <v>3086000</v>
          </cell>
          <cell r="DG100">
            <v>7535</v>
          </cell>
          <cell r="DH100">
            <v>409.55540809555407</v>
          </cell>
          <cell r="DI100">
            <v>14973.3</v>
          </cell>
          <cell r="DJ100">
            <v>0.50322908109768727</v>
          </cell>
          <cell r="DK100">
            <v>-1.0847160308546933E-3</v>
          </cell>
          <cell r="DL100">
            <v>11.91</v>
          </cell>
          <cell r="DM100">
            <v>1.04</v>
          </cell>
        </row>
        <row r="101">
          <cell r="B101" t="str">
            <v>Kiama, The Council of the Municipality of</v>
          </cell>
          <cell r="C101">
            <v>4</v>
          </cell>
          <cell r="D101">
            <v>6480000</v>
          </cell>
          <cell r="E101">
            <v>7881</v>
          </cell>
          <cell r="F101">
            <v>822.23068138561098</v>
          </cell>
          <cell r="G101">
            <v>866000</v>
          </cell>
          <cell r="H101">
            <v>460</v>
          </cell>
          <cell r="I101">
            <v>1882.608695652174</v>
          </cell>
          <cell r="J101">
            <v>418000</v>
          </cell>
          <cell r="K101">
            <v>323</v>
          </cell>
          <cell r="L101">
            <v>1294.1176470588234</v>
          </cell>
          <cell r="M101">
            <v>604000</v>
          </cell>
          <cell r="N101">
            <v>19298000</v>
          </cell>
          <cell r="O101">
            <v>3.1298580163747536E-2</v>
          </cell>
          <cell r="P101">
            <v>505000</v>
          </cell>
          <cell r="Q101">
            <v>8896000</v>
          </cell>
          <cell r="R101">
            <v>5.6767086330935253E-2</v>
          </cell>
          <cell r="S101">
            <v>492000</v>
          </cell>
          <cell r="T101">
            <v>9405000</v>
          </cell>
          <cell r="U101">
            <v>5.2312599681020734E-2</v>
          </cell>
          <cell r="V101">
            <v>9401000</v>
          </cell>
          <cell r="W101">
            <v>29590000</v>
          </cell>
          <cell r="X101">
            <v>0.31770868536667796</v>
          </cell>
          <cell r="Y101">
            <v>9897000</v>
          </cell>
          <cell r="Z101">
            <v>29590000</v>
          </cell>
          <cell r="AA101">
            <v>0.33447110510307537</v>
          </cell>
          <cell r="AB101">
            <v>388000</v>
          </cell>
          <cell r="AC101">
            <v>29590000</v>
          </cell>
          <cell r="AD101">
            <v>1.3112538019601216E-2</v>
          </cell>
          <cell r="AE101">
            <v>6403000</v>
          </cell>
          <cell r="AF101">
            <v>29590000</v>
          </cell>
          <cell r="AG101">
            <v>0.21639067252450153</v>
          </cell>
          <cell r="AH101">
            <v>2188000</v>
          </cell>
          <cell r="AI101">
            <v>29590000</v>
          </cell>
          <cell r="AJ101">
            <v>7.3943899966204804E-2</v>
          </cell>
          <cell r="AK101">
            <v>1313000</v>
          </cell>
          <cell r="AL101">
            <v>29590000</v>
          </cell>
          <cell r="AM101">
            <v>4.4373099019939168E-2</v>
          </cell>
          <cell r="AN101">
            <v>28477000</v>
          </cell>
          <cell r="AO101">
            <v>20120</v>
          </cell>
          <cell r="AP101">
            <v>1415.3578528827038</v>
          </cell>
          <cell r="AQ101">
            <v>13581000</v>
          </cell>
          <cell r="AR101">
            <v>30199000</v>
          </cell>
          <cell r="AS101">
            <v>0.4497168780423193</v>
          </cell>
          <cell r="AT101">
            <v>8895000</v>
          </cell>
          <cell r="AU101">
            <v>30199000</v>
          </cell>
          <cell r="AV101">
            <v>0.29454617702572933</v>
          </cell>
          <cell r="AW101">
            <v>385000</v>
          </cell>
          <cell r="AX101">
            <v>30199000</v>
          </cell>
          <cell r="AY101">
            <v>1.2748766515447532E-2</v>
          </cell>
          <cell r="AZ101">
            <v>4232000</v>
          </cell>
          <cell r="BA101">
            <v>30199000</v>
          </cell>
          <cell r="BB101">
            <v>0.14013709063214014</v>
          </cell>
          <cell r="BC101">
            <v>3106000</v>
          </cell>
          <cell r="BD101">
            <v>30199000</v>
          </cell>
          <cell r="BE101">
            <v>0.10285108778436372</v>
          </cell>
          <cell r="BF101">
            <v>30199000</v>
          </cell>
          <cell r="BG101">
            <v>20120</v>
          </cell>
          <cell r="BH101">
            <v>1500.9443339960239</v>
          </cell>
          <cell r="BI101">
            <v>10742000</v>
          </cell>
          <cell r="BJ101">
            <v>7365000</v>
          </cell>
          <cell r="BK101">
            <v>1.458520027155465</v>
          </cell>
          <cell r="BL101">
            <v>1563000</v>
          </cell>
          <cell r="BM101">
            <v>23740000</v>
          </cell>
          <cell r="BN101">
            <v>6.5838247683235041E-2</v>
          </cell>
          <cell r="BO101">
            <v>7293000</v>
          </cell>
          <cell r="BP101">
            <v>4232000</v>
          </cell>
          <cell r="BQ101">
            <v>1.7232986767485823</v>
          </cell>
          <cell r="BR101">
            <v>237</v>
          </cell>
          <cell r="BS101" t="str">
            <v>On Time</v>
          </cell>
          <cell r="BT101" t="str">
            <v>On Time</v>
          </cell>
          <cell r="BU101" t="str">
            <v>On Time</v>
          </cell>
          <cell r="BV101">
            <v>544000</v>
          </cell>
          <cell r="BW101">
            <v>20120</v>
          </cell>
          <cell r="BX101">
            <v>27.037773359840955</v>
          </cell>
          <cell r="BY101">
            <v>161636</v>
          </cell>
          <cell r="BZ101">
            <v>20120</v>
          </cell>
          <cell r="CA101">
            <v>8.0335984095427442</v>
          </cell>
          <cell r="CB101">
            <v>1414000</v>
          </cell>
          <cell r="CC101">
            <v>7732</v>
          </cell>
          <cell r="CD101">
            <v>182.87635799275736</v>
          </cell>
          <cell r="CE101">
            <v>773286</v>
          </cell>
          <cell r="CF101">
            <v>7398</v>
          </cell>
          <cell r="CG101">
            <v>104.52635847526358</v>
          </cell>
          <cell r="CH101">
            <v>2242360</v>
          </cell>
          <cell r="CI101">
            <v>20120</v>
          </cell>
          <cell r="CJ101">
            <v>111.4493041749503</v>
          </cell>
          <cell r="CK101">
            <v>3884670</v>
          </cell>
          <cell r="CL101">
            <v>20120</v>
          </cell>
          <cell r="CM101">
            <v>193.07504970178925</v>
          </cell>
          <cell r="CN101" t="str">
            <v>N/A</v>
          </cell>
          <cell r="CO101" t="str">
            <v>N/A</v>
          </cell>
          <cell r="CP101" t="str">
            <v>N/A</v>
          </cell>
          <cell r="CQ101" t="str">
            <v>N/A</v>
          </cell>
          <cell r="CR101">
            <v>593</v>
          </cell>
          <cell r="CS101">
            <v>20755</v>
          </cell>
          <cell r="CT101">
            <v>593</v>
          </cell>
          <cell r="CU101">
            <v>35</v>
          </cell>
          <cell r="CV101">
            <v>28</v>
          </cell>
          <cell r="CW101">
            <v>81000</v>
          </cell>
          <cell r="CX101">
            <v>939000</v>
          </cell>
          <cell r="CY101">
            <v>8.6261980830670923E-2</v>
          </cell>
          <cell r="CZ101">
            <v>614000</v>
          </cell>
          <cell r="DA101">
            <v>20120</v>
          </cell>
          <cell r="DB101">
            <v>30.516898608349901</v>
          </cell>
          <cell r="DC101">
            <v>2114000</v>
          </cell>
          <cell r="DD101">
            <v>20120</v>
          </cell>
          <cell r="DE101">
            <v>105.06958250497019</v>
          </cell>
          <cell r="DF101">
            <v>6384000</v>
          </cell>
          <cell r="DG101">
            <v>20120</v>
          </cell>
          <cell r="DH101">
            <v>317.29622266401589</v>
          </cell>
          <cell r="DI101">
            <v>257.8</v>
          </cell>
          <cell r="DJ101">
            <v>78.044996121024042</v>
          </cell>
          <cell r="DK101">
            <v>1.5300232149799031E-2</v>
          </cell>
          <cell r="DL101">
            <v>1.03</v>
          </cell>
          <cell r="DM101">
            <v>4.09</v>
          </cell>
        </row>
        <row r="102">
          <cell r="B102" t="str">
            <v>Camden Council</v>
          </cell>
          <cell r="C102">
            <v>6</v>
          </cell>
          <cell r="D102">
            <v>13685000</v>
          </cell>
          <cell r="E102">
            <v>15674</v>
          </cell>
          <cell r="F102">
            <v>873.10195227765723</v>
          </cell>
          <cell r="G102">
            <v>440000</v>
          </cell>
          <cell r="H102">
            <v>306</v>
          </cell>
          <cell r="I102">
            <v>1437.9084967320262</v>
          </cell>
          <cell r="J102">
            <v>2494000</v>
          </cell>
          <cell r="K102">
            <v>945</v>
          </cell>
          <cell r="L102">
            <v>2639.1534391534392</v>
          </cell>
          <cell r="M102">
            <v>1464000</v>
          </cell>
          <cell r="N102">
            <v>23181000</v>
          </cell>
          <cell r="O102">
            <v>6.315517018247703E-2</v>
          </cell>
          <cell r="P102">
            <v>1425000</v>
          </cell>
          <cell r="Q102">
            <v>18522000</v>
          </cell>
          <cell r="R102">
            <v>7.6935536119209585E-2</v>
          </cell>
          <cell r="S102">
            <v>275000</v>
          </cell>
          <cell r="T102">
            <v>2959000</v>
          </cell>
          <cell r="U102">
            <v>9.2936802973977689E-2</v>
          </cell>
          <cell r="V102">
            <v>19947000</v>
          </cell>
          <cell r="W102">
            <v>36072000</v>
          </cell>
          <cell r="X102">
            <v>0.55297737857618101</v>
          </cell>
          <cell r="Y102">
            <v>3234000</v>
          </cell>
          <cell r="Z102">
            <v>36072000</v>
          </cell>
          <cell r="AA102">
            <v>8.9654025282767794E-2</v>
          </cell>
          <cell r="AB102">
            <v>2004000</v>
          </cell>
          <cell r="AC102">
            <v>36072000</v>
          </cell>
          <cell r="AD102">
            <v>5.5555555555555552E-2</v>
          </cell>
          <cell r="AE102">
            <v>3854000</v>
          </cell>
          <cell r="AF102">
            <v>36072000</v>
          </cell>
          <cell r="AG102">
            <v>0.10684187181193169</v>
          </cell>
          <cell r="AH102">
            <v>6418000</v>
          </cell>
          <cell r="AI102">
            <v>36072000</v>
          </cell>
          <cell r="AJ102">
            <v>0.17792193390995786</v>
          </cell>
          <cell r="AK102">
            <v>615000</v>
          </cell>
          <cell r="AL102">
            <v>36072000</v>
          </cell>
          <cell r="AM102">
            <v>1.7049234863606121E-2</v>
          </cell>
          <cell r="AN102">
            <v>29986000</v>
          </cell>
          <cell r="AO102">
            <v>47818</v>
          </cell>
          <cell r="AP102">
            <v>627.08603454765989</v>
          </cell>
          <cell r="AQ102">
            <v>13209000</v>
          </cell>
          <cell r="AR102">
            <v>33045000</v>
          </cell>
          <cell r="AS102">
            <v>0.39972764412165229</v>
          </cell>
          <cell r="AT102">
            <v>8592000</v>
          </cell>
          <cell r="AU102">
            <v>33045000</v>
          </cell>
          <cell r="AV102">
            <v>0.26000907852927824</v>
          </cell>
          <cell r="AW102">
            <v>636000</v>
          </cell>
          <cell r="AX102">
            <v>33045000</v>
          </cell>
          <cell r="AY102">
            <v>1.9246482069904675E-2</v>
          </cell>
          <cell r="AZ102">
            <v>5534000</v>
          </cell>
          <cell r="BA102">
            <v>33045000</v>
          </cell>
          <cell r="BB102">
            <v>0.16746860341957936</v>
          </cell>
          <cell r="BC102">
            <v>5074000</v>
          </cell>
          <cell r="BD102">
            <v>33045000</v>
          </cell>
          <cell r="BE102">
            <v>0.1535481918595854</v>
          </cell>
          <cell r="BF102">
            <v>33045000</v>
          </cell>
          <cell r="BG102">
            <v>47818</v>
          </cell>
          <cell r="BH102">
            <v>691.05776067589613</v>
          </cell>
          <cell r="BI102">
            <v>10297000</v>
          </cell>
          <cell r="BJ102">
            <v>5555000</v>
          </cell>
          <cell r="BK102">
            <v>1.8536453645364537</v>
          </cell>
          <cell r="BL102">
            <v>2280000</v>
          </cell>
          <cell r="BM102">
            <v>28193000</v>
          </cell>
          <cell r="BN102">
            <v>8.0871138225800734E-2</v>
          </cell>
          <cell r="BO102">
            <v>7629000</v>
          </cell>
          <cell r="BP102">
            <v>5534000</v>
          </cell>
          <cell r="BQ102">
            <v>1.3785688471268522</v>
          </cell>
          <cell r="BR102">
            <v>218</v>
          </cell>
          <cell r="BS102" t="str">
            <v>On Time</v>
          </cell>
          <cell r="BT102" t="str">
            <v>Not Received</v>
          </cell>
          <cell r="BU102" t="str">
            <v>&lt;=2</v>
          </cell>
          <cell r="BV102">
            <v>1124000</v>
          </cell>
          <cell r="BW102">
            <v>47818</v>
          </cell>
          <cell r="BX102">
            <v>23.505792797691246</v>
          </cell>
          <cell r="BY102">
            <v>209671</v>
          </cell>
          <cell r="BZ102">
            <v>47818</v>
          </cell>
          <cell r="CA102">
            <v>4.3847714249864067</v>
          </cell>
          <cell r="CB102">
            <v>3494000</v>
          </cell>
          <cell r="CC102">
            <v>16033</v>
          </cell>
          <cell r="CD102">
            <v>217.92552859726814</v>
          </cell>
          <cell r="CE102">
            <v>2051536</v>
          </cell>
          <cell r="CF102">
            <v>14630</v>
          </cell>
          <cell r="CG102">
            <v>140.22802460697199</v>
          </cell>
          <cell r="CH102">
            <v>10011000</v>
          </cell>
          <cell r="CI102">
            <v>47818</v>
          </cell>
          <cell r="CJ102">
            <v>209.35630933957924</v>
          </cell>
          <cell r="CK102">
            <v>10308000</v>
          </cell>
          <cell r="CL102">
            <v>47818</v>
          </cell>
          <cell r="CM102">
            <v>215.5673595717094</v>
          </cell>
          <cell r="CN102" t="str">
            <v>N/A</v>
          </cell>
          <cell r="CO102" t="str">
            <v>N/A</v>
          </cell>
          <cell r="CP102" t="str">
            <v>N/A</v>
          </cell>
          <cell r="CQ102" t="str">
            <v>N/A</v>
          </cell>
          <cell r="CR102">
            <v>1749</v>
          </cell>
          <cell r="CS102">
            <v>61215</v>
          </cell>
          <cell r="CT102">
            <v>1749</v>
          </cell>
          <cell r="CU102">
            <v>35</v>
          </cell>
          <cell r="CV102">
            <v>15</v>
          </cell>
          <cell r="CW102">
            <v>50000</v>
          </cell>
          <cell r="CX102">
            <v>3704000</v>
          </cell>
          <cell r="CY102">
            <v>1.3498920086393088E-2</v>
          </cell>
          <cell r="CZ102">
            <v>724000</v>
          </cell>
          <cell r="DA102">
            <v>47818</v>
          </cell>
          <cell r="DB102">
            <v>15.140741980007528</v>
          </cell>
          <cell r="DC102">
            <v>2471000</v>
          </cell>
          <cell r="DD102">
            <v>47818</v>
          </cell>
          <cell r="DE102">
            <v>51.675101426241163</v>
          </cell>
          <cell r="DF102">
            <v>1304000</v>
          </cell>
          <cell r="DG102">
            <v>47818</v>
          </cell>
          <cell r="DH102">
            <v>27.270065665648918</v>
          </cell>
          <cell r="DI102">
            <v>201.3</v>
          </cell>
          <cell r="DJ102">
            <v>237.54595131644311</v>
          </cell>
          <cell r="DK102">
            <v>6.2385608298723305E-2</v>
          </cell>
          <cell r="DL102">
            <v>1.23</v>
          </cell>
          <cell r="DM102">
            <v>7.29</v>
          </cell>
        </row>
        <row r="103">
          <cell r="B103" t="str">
            <v>Newcastle City Council</v>
          </cell>
          <cell r="C103">
            <v>5</v>
          </cell>
          <cell r="D103">
            <v>36139000</v>
          </cell>
          <cell r="E103">
            <v>55472</v>
          </cell>
          <cell r="F103">
            <v>651.48182867032017</v>
          </cell>
          <cell r="G103">
            <v>38000</v>
          </cell>
          <cell r="H103">
            <v>27</v>
          </cell>
          <cell r="I103">
            <v>1407.4074074074074</v>
          </cell>
          <cell r="J103">
            <v>21060000</v>
          </cell>
          <cell r="K103">
            <v>4214</v>
          </cell>
          <cell r="L103">
            <v>4997.6269577598478</v>
          </cell>
          <cell r="M103">
            <v>8907000</v>
          </cell>
          <cell r="N103">
            <v>94965000</v>
          </cell>
          <cell r="O103">
            <v>9.3792449849944712E-2</v>
          </cell>
          <cell r="P103">
            <v>2543000</v>
          </cell>
          <cell r="Q103">
            <v>65001000</v>
          </cell>
          <cell r="R103">
            <v>3.9122475038845556E-2</v>
          </cell>
          <cell r="S103">
            <v>1293000</v>
          </cell>
          <cell r="T103">
            <v>26128000</v>
          </cell>
          <cell r="U103">
            <v>4.9487140232700552E-2</v>
          </cell>
          <cell r="V103">
            <v>67544000</v>
          </cell>
          <cell r="W103">
            <v>125188000</v>
          </cell>
          <cell r="X103">
            <v>0.53954053104131383</v>
          </cell>
          <cell r="Y103">
            <v>27421000</v>
          </cell>
          <cell r="Z103">
            <v>125188000</v>
          </cell>
          <cell r="AA103">
            <v>0.2190385659967409</v>
          </cell>
          <cell r="AB103">
            <v>4074000</v>
          </cell>
          <cell r="AC103">
            <v>125188000</v>
          </cell>
          <cell r="AD103">
            <v>3.2543055244911655E-2</v>
          </cell>
          <cell r="AE103">
            <v>16660000</v>
          </cell>
          <cell r="AF103">
            <v>125188000</v>
          </cell>
          <cell r="AG103">
            <v>0.13307984790874525</v>
          </cell>
          <cell r="AH103">
            <v>7072000</v>
          </cell>
          <cell r="AI103">
            <v>125188000</v>
          </cell>
          <cell r="AJ103">
            <v>5.6491037479630635E-2</v>
          </cell>
          <cell r="AK103">
            <v>2417000</v>
          </cell>
          <cell r="AL103">
            <v>125188000</v>
          </cell>
          <cell r="AM103">
            <v>1.9306962328657699E-2</v>
          </cell>
          <cell r="AN103">
            <v>120983000</v>
          </cell>
          <cell r="AO103">
            <v>143103</v>
          </cell>
          <cell r="AP103">
            <v>845.42602181645384</v>
          </cell>
          <cell r="AQ103">
            <v>55287000</v>
          </cell>
          <cell r="AR103">
            <v>125206000</v>
          </cell>
          <cell r="AS103">
            <v>0.44156829544909987</v>
          </cell>
          <cell r="AT103">
            <v>29633000</v>
          </cell>
          <cell r="AU103">
            <v>125206000</v>
          </cell>
          <cell r="AV103">
            <v>0.23667396131175822</v>
          </cell>
          <cell r="AW103">
            <v>826000</v>
          </cell>
          <cell r="AX103">
            <v>125206000</v>
          </cell>
          <cell r="AY103">
            <v>6.597127933166142E-3</v>
          </cell>
          <cell r="AZ103">
            <v>26289000</v>
          </cell>
          <cell r="BA103">
            <v>125206000</v>
          </cell>
          <cell r="BB103">
            <v>0.20996597607143427</v>
          </cell>
          <cell r="BC103">
            <v>13171000</v>
          </cell>
          <cell r="BD103">
            <v>125206000</v>
          </cell>
          <cell r="BE103">
            <v>0.10519463923454148</v>
          </cell>
          <cell r="BF103">
            <v>125206000</v>
          </cell>
          <cell r="BG103">
            <v>143103</v>
          </cell>
          <cell r="BH103">
            <v>874.93623474001242</v>
          </cell>
          <cell r="BI103">
            <v>32569000</v>
          </cell>
          <cell r="BJ103">
            <v>17864000</v>
          </cell>
          <cell r="BK103">
            <v>1.8231639050604569</v>
          </cell>
          <cell r="BL103">
            <v>5492000</v>
          </cell>
          <cell r="BM103">
            <v>115852000</v>
          </cell>
          <cell r="BN103">
            <v>4.740531022338846E-2</v>
          </cell>
          <cell r="BO103">
            <v>14081000</v>
          </cell>
          <cell r="BP103">
            <v>26289000</v>
          </cell>
          <cell r="BQ103">
            <v>0.53562326448324393</v>
          </cell>
          <cell r="BR103">
            <v>941</v>
          </cell>
          <cell r="BS103" t="str">
            <v>&lt;=2</v>
          </cell>
          <cell r="BT103" t="str">
            <v>&lt;=2</v>
          </cell>
          <cell r="BU103" t="str">
            <v>On Time</v>
          </cell>
          <cell r="BV103">
            <v>5753000</v>
          </cell>
          <cell r="BW103">
            <v>143103</v>
          </cell>
          <cell r="BX103">
            <v>40.201812680377074</v>
          </cell>
          <cell r="BY103">
            <v>1559474</v>
          </cell>
          <cell r="BZ103">
            <v>143103</v>
          </cell>
          <cell r="CA103">
            <v>10.897563293571762</v>
          </cell>
          <cell r="CB103">
            <v>7988000</v>
          </cell>
          <cell r="CC103">
            <v>55510</v>
          </cell>
          <cell r="CD103">
            <v>143.90199963970457</v>
          </cell>
          <cell r="CE103">
            <v>6364101</v>
          </cell>
          <cell r="CF103">
            <v>55510</v>
          </cell>
          <cell r="CG103">
            <v>114.64782921996037</v>
          </cell>
          <cell r="CH103">
            <v>15375470</v>
          </cell>
          <cell r="CI103">
            <v>143103</v>
          </cell>
          <cell r="CJ103">
            <v>107.44337994311789</v>
          </cell>
          <cell r="CK103">
            <v>44877520</v>
          </cell>
          <cell r="CL103">
            <v>143103</v>
          </cell>
          <cell r="CM103">
            <v>313.60292935857387</v>
          </cell>
          <cell r="CN103" t="str">
            <v>N/A</v>
          </cell>
          <cell r="CO103" t="str">
            <v>N/A</v>
          </cell>
          <cell r="CP103" t="str">
            <v>N/A</v>
          </cell>
          <cell r="CQ103" t="str">
            <v>N/A</v>
          </cell>
          <cell r="CR103">
            <v>2694</v>
          </cell>
          <cell r="CS103">
            <v>96113</v>
          </cell>
          <cell r="CT103">
            <v>2694</v>
          </cell>
          <cell r="CU103">
            <v>35.676688938381588</v>
          </cell>
          <cell r="CV103">
            <v>22</v>
          </cell>
          <cell r="CW103">
            <v>464000</v>
          </cell>
          <cell r="CX103">
            <v>6512000</v>
          </cell>
          <cell r="CY103">
            <v>7.125307125307126E-2</v>
          </cell>
          <cell r="CZ103">
            <v>3947000</v>
          </cell>
          <cell r="DA103">
            <v>143103</v>
          </cell>
          <cell r="DB103">
            <v>27.581532183112863</v>
          </cell>
          <cell r="DC103">
            <v>16155000</v>
          </cell>
          <cell r="DD103">
            <v>143103</v>
          </cell>
          <cell r="DE103">
            <v>112.89071507934844</v>
          </cell>
          <cell r="DF103">
            <v>3724000</v>
          </cell>
          <cell r="DG103">
            <v>143103</v>
          </cell>
          <cell r="DH103">
            <v>26.023214048622322</v>
          </cell>
          <cell r="DI103">
            <v>182.6</v>
          </cell>
          <cell r="DJ103">
            <v>783.69660460021908</v>
          </cell>
          <cell r="DK103">
            <v>7.1077043276761565E-3</v>
          </cell>
          <cell r="DL103">
            <v>1.77</v>
          </cell>
          <cell r="DM103">
            <v>6.83</v>
          </cell>
        </row>
        <row r="104">
          <cell r="B104" t="str">
            <v>Bland Shire Council</v>
          </cell>
          <cell r="C104">
            <v>10</v>
          </cell>
          <cell r="D104">
            <v>587000</v>
          </cell>
          <cell r="E104">
            <v>2022</v>
          </cell>
          <cell r="F104">
            <v>290.30662710187931</v>
          </cell>
          <cell r="G104">
            <v>2784000</v>
          </cell>
          <cell r="H104">
            <v>1519</v>
          </cell>
          <cell r="I104">
            <v>1832.7847267939435</v>
          </cell>
          <cell r="J104">
            <v>235000</v>
          </cell>
          <cell r="K104">
            <v>442</v>
          </cell>
          <cell r="L104">
            <v>531.67420814479635</v>
          </cell>
          <cell r="M104">
            <v>365000</v>
          </cell>
          <cell r="N104">
            <v>5978000</v>
          </cell>
          <cell r="O104">
            <v>6.1057209769153561E-2</v>
          </cell>
          <cell r="P104">
            <v>277000</v>
          </cell>
          <cell r="Q104">
            <v>4300000</v>
          </cell>
          <cell r="R104">
            <v>6.4418604651162795E-2</v>
          </cell>
          <cell r="S104">
            <v>-177000</v>
          </cell>
          <cell r="T104">
            <v>1578000</v>
          </cell>
          <cell r="U104">
            <v>-0.11216730038022814</v>
          </cell>
          <cell r="V104">
            <v>4577000</v>
          </cell>
          <cell r="W104">
            <v>15798000</v>
          </cell>
          <cell r="X104">
            <v>0.28972021774908219</v>
          </cell>
          <cell r="Y104">
            <v>1401000</v>
          </cell>
          <cell r="Z104">
            <v>15798000</v>
          </cell>
          <cell r="AA104">
            <v>8.8682111659703758E-2</v>
          </cell>
          <cell r="AB104">
            <v>546000</v>
          </cell>
          <cell r="AC104">
            <v>15798000</v>
          </cell>
          <cell r="AD104">
            <v>3.4561336878085831E-2</v>
          </cell>
          <cell r="AE104">
            <v>8286000</v>
          </cell>
          <cell r="AF104">
            <v>15798000</v>
          </cell>
          <cell r="AG104">
            <v>0.52449677174325859</v>
          </cell>
          <cell r="AH104">
            <v>896000</v>
          </cell>
          <cell r="AI104">
            <v>15798000</v>
          </cell>
          <cell r="AJ104">
            <v>5.6716040005063931E-2</v>
          </cell>
          <cell r="AK104">
            <v>92000</v>
          </cell>
          <cell r="AL104">
            <v>15798000</v>
          </cell>
          <cell r="AM104">
            <v>5.8235219648056719E-3</v>
          </cell>
          <cell r="AN104">
            <v>14077000</v>
          </cell>
          <cell r="AO104">
            <v>6636</v>
          </cell>
          <cell r="AP104">
            <v>2121.3080168776373</v>
          </cell>
          <cell r="AQ104">
            <v>5806000</v>
          </cell>
          <cell r="AR104">
            <v>13352000</v>
          </cell>
          <cell r="AS104">
            <v>0.43484122228879568</v>
          </cell>
          <cell r="AT104">
            <v>3243000</v>
          </cell>
          <cell r="AU104">
            <v>13352000</v>
          </cell>
          <cell r="AV104">
            <v>0.24288496105452367</v>
          </cell>
          <cell r="AW104">
            <v>5000</v>
          </cell>
          <cell r="AX104">
            <v>13352000</v>
          </cell>
          <cell r="AY104">
            <v>3.7447573397243858E-4</v>
          </cell>
          <cell r="AZ104">
            <v>3105000</v>
          </cell>
          <cell r="BA104">
            <v>13352000</v>
          </cell>
          <cell r="BB104">
            <v>0.23254943079688437</v>
          </cell>
          <cell r="BC104">
            <v>1193000</v>
          </cell>
          <cell r="BD104">
            <v>13352000</v>
          </cell>
          <cell r="BE104">
            <v>8.9349910125823842E-2</v>
          </cell>
          <cell r="BF104">
            <v>12726000</v>
          </cell>
          <cell r="BG104">
            <v>6636</v>
          </cell>
          <cell r="BH104">
            <v>1917.7215189873418</v>
          </cell>
          <cell r="BI104">
            <v>9708000</v>
          </cell>
          <cell r="BJ104">
            <v>1771000</v>
          </cell>
          <cell r="BK104">
            <v>5.4816487859966117</v>
          </cell>
          <cell r="BL104">
            <v>61000</v>
          </cell>
          <cell r="BM104">
            <v>10814000</v>
          </cell>
          <cell r="BN104">
            <v>5.6408359533937488E-3</v>
          </cell>
          <cell r="BO104">
            <v>5163000</v>
          </cell>
          <cell r="BP104">
            <v>2881000</v>
          </cell>
          <cell r="BQ104">
            <v>1.792086081221798</v>
          </cell>
          <cell r="BR104">
            <v>120</v>
          </cell>
          <cell r="BS104" t="str">
            <v>&gt;16</v>
          </cell>
          <cell r="BT104" t="str">
            <v>&gt;16</v>
          </cell>
          <cell r="BU104" t="str">
            <v>Not Received</v>
          </cell>
          <cell r="BV104">
            <v>213000</v>
          </cell>
          <cell r="BW104">
            <v>6636</v>
          </cell>
          <cell r="BX104">
            <v>32.097649186256781</v>
          </cell>
          <cell r="BY104">
            <v>43164</v>
          </cell>
          <cell r="BZ104">
            <v>6636</v>
          </cell>
          <cell r="CA104">
            <v>6.5045207956600359</v>
          </cell>
          <cell r="CB104">
            <v>221000</v>
          </cell>
          <cell r="CC104">
            <v>2003</v>
          </cell>
          <cell r="CD104">
            <v>110.33449825262107</v>
          </cell>
          <cell r="CE104">
            <v>98896</v>
          </cell>
          <cell r="CF104">
            <v>1678</v>
          </cell>
          <cell r="CG104">
            <v>58.936829558998809</v>
          </cell>
          <cell r="CH104">
            <v>20500</v>
          </cell>
          <cell r="CI104">
            <v>6636</v>
          </cell>
          <cell r="CJ104">
            <v>3.0892103676913805</v>
          </cell>
          <cell r="CK104">
            <v>3001000</v>
          </cell>
          <cell r="CL104">
            <v>6636</v>
          </cell>
          <cell r="CM104">
            <v>452.23025919228451</v>
          </cell>
          <cell r="CN104" t="str">
            <v>N/A</v>
          </cell>
          <cell r="CO104" t="str">
            <v>N/A</v>
          </cell>
          <cell r="CP104">
            <v>382</v>
          </cell>
          <cell r="CQ104">
            <v>356</v>
          </cell>
          <cell r="CR104">
            <v>105</v>
          </cell>
          <cell r="CS104">
            <v>3749</v>
          </cell>
          <cell r="CT104">
            <v>105</v>
          </cell>
          <cell r="CU104">
            <v>35.704761904761902</v>
          </cell>
          <cell r="CV104">
            <v>27</v>
          </cell>
          <cell r="CW104">
            <v>0</v>
          </cell>
          <cell r="CX104">
            <v>116000</v>
          </cell>
          <cell r="CY104">
            <v>0</v>
          </cell>
          <cell r="CZ104">
            <v>300000</v>
          </cell>
          <cell r="DA104">
            <v>6636</v>
          </cell>
          <cell r="DB104">
            <v>45.207956600361662</v>
          </cell>
          <cell r="DC104">
            <v>812000</v>
          </cell>
          <cell r="DD104">
            <v>6636</v>
          </cell>
          <cell r="DE104">
            <v>122.36286919831224</v>
          </cell>
          <cell r="DF104">
            <v>3547000</v>
          </cell>
          <cell r="DG104">
            <v>6636</v>
          </cell>
          <cell r="DH104">
            <v>534.50874020494268</v>
          </cell>
          <cell r="DI104">
            <v>8559.7999999999993</v>
          </cell>
          <cell r="DJ104">
            <v>0.77525175821865</v>
          </cell>
          <cell r="DK104">
            <v>-1.2311240537229429E-3</v>
          </cell>
          <cell r="DL104">
            <v>1.86</v>
          </cell>
          <cell r="DM104">
            <v>1.22</v>
          </cell>
        </row>
        <row r="105">
          <cell r="B105" t="str">
            <v>Wakool, The Council of the Shire of</v>
          </cell>
          <cell r="C105">
            <v>9</v>
          </cell>
          <cell r="D105">
            <v>395000</v>
          </cell>
          <cell r="E105">
            <v>1388</v>
          </cell>
          <cell r="F105">
            <v>284.58213256484152</v>
          </cell>
          <cell r="G105">
            <v>1609000</v>
          </cell>
          <cell r="H105">
            <v>843</v>
          </cell>
          <cell r="I105">
            <v>1908.6595492289443</v>
          </cell>
          <cell r="J105">
            <v>82000</v>
          </cell>
          <cell r="K105">
            <v>236</v>
          </cell>
          <cell r="L105">
            <v>347.45762711864404</v>
          </cell>
          <cell r="M105">
            <v>359000</v>
          </cell>
          <cell r="N105">
            <v>3941000</v>
          </cell>
          <cell r="O105">
            <v>9.1093631058107083E-2</v>
          </cell>
          <cell r="P105">
            <v>166000</v>
          </cell>
          <cell r="Q105">
            <v>3293000</v>
          </cell>
          <cell r="R105">
            <v>5.0409960522320073E-2</v>
          </cell>
          <cell r="S105">
            <v>-350000</v>
          </cell>
          <cell r="T105">
            <v>832000</v>
          </cell>
          <cell r="U105">
            <v>-0.42067307692307693</v>
          </cell>
          <cell r="V105">
            <v>3459000</v>
          </cell>
          <cell r="W105">
            <v>12164000</v>
          </cell>
          <cell r="X105">
            <v>0.28436369615258139</v>
          </cell>
          <cell r="Y105">
            <v>482000</v>
          </cell>
          <cell r="Z105">
            <v>12164000</v>
          </cell>
          <cell r="AA105">
            <v>3.9625123314699112E-2</v>
          </cell>
          <cell r="AB105">
            <v>173000</v>
          </cell>
          <cell r="AC105">
            <v>12164000</v>
          </cell>
          <cell r="AD105">
            <v>1.4222295297599474E-2</v>
          </cell>
          <cell r="AE105">
            <v>5057000</v>
          </cell>
          <cell r="AF105">
            <v>12164000</v>
          </cell>
          <cell r="AG105">
            <v>0.41573495560670831</v>
          </cell>
          <cell r="AH105">
            <v>2549000</v>
          </cell>
          <cell r="AI105">
            <v>12164000</v>
          </cell>
          <cell r="AJ105">
            <v>0.20955277869121999</v>
          </cell>
          <cell r="AK105">
            <v>444000</v>
          </cell>
          <cell r="AL105">
            <v>12164000</v>
          </cell>
          <cell r="AM105">
            <v>3.6501150937191716E-2</v>
          </cell>
          <cell r="AN105">
            <v>7812000</v>
          </cell>
          <cell r="AO105">
            <v>4891</v>
          </cell>
          <cell r="AP105">
            <v>1597.2193825393581</v>
          </cell>
          <cell r="AQ105">
            <v>2826000</v>
          </cell>
          <cell r="AR105">
            <v>8120000</v>
          </cell>
          <cell r="AS105">
            <v>0.34802955665024632</v>
          </cell>
          <cell r="AT105">
            <v>1941000</v>
          </cell>
          <cell r="AU105">
            <v>8120000</v>
          </cell>
          <cell r="AV105">
            <v>0.23903940886699507</v>
          </cell>
          <cell r="AW105">
            <v>193000</v>
          </cell>
          <cell r="AX105">
            <v>8120000</v>
          </cell>
          <cell r="AY105">
            <v>2.376847290640394E-2</v>
          </cell>
          <cell r="AZ105">
            <v>2102000</v>
          </cell>
          <cell r="BA105">
            <v>8120000</v>
          </cell>
          <cell r="BB105">
            <v>0.2588669950738916</v>
          </cell>
          <cell r="BC105">
            <v>1058000</v>
          </cell>
          <cell r="BD105">
            <v>8120000</v>
          </cell>
          <cell r="BE105">
            <v>0.13029556650246304</v>
          </cell>
          <cell r="BF105">
            <v>6819000</v>
          </cell>
          <cell r="BG105">
            <v>4891</v>
          </cell>
          <cell r="BH105">
            <v>1394.1934164792476</v>
          </cell>
          <cell r="BI105">
            <v>1916000</v>
          </cell>
          <cell r="BJ105">
            <v>1142000</v>
          </cell>
          <cell r="BK105">
            <v>1.6777583187390543</v>
          </cell>
          <cell r="BL105">
            <v>818000</v>
          </cell>
          <cell r="BM105">
            <v>6830000</v>
          </cell>
          <cell r="BN105">
            <v>0.11976573938506589</v>
          </cell>
          <cell r="BO105">
            <v>5283000</v>
          </cell>
          <cell r="BP105">
            <v>1832000</v>
          </cell>
          <cell r="BQ105">
            <v>2.8837336244541483</v>
          </cell>
          <cell r="BR105">
            <v>78</v>
          </cell>
          <cell r="BS105" t="str">
            <v>&lt;=4</v>
          </cell>
          <cell r="BT105" t="str">
            <v>On Time</v>
          </cell>
          <cell r="BU105" t="str">
            <v>On Time</v>
          </cell>
          <cell r="BV105">
            <v>118000</v>
          </cell>
          <cell r="BW105">
            <v>4891</v>
          </cell>
          <cell r="BX105">
            <v>24.125945614393785</v>
          </cell>
          <cell r="BY105">
            <v>33449</v>
          </cell>
          <cell r="BZ105">
            <v>4891</v>
          </cell>
          <cell r="CA105">
            <v>6.8388877530157428</v>
          </cell>
          <cell r="CB105">
            <v>211000</v>
          </cell>
          <cell r="CC105">
            <v>1086</v>
          </cell>
          <cell r="CD105">
            <v>194.29097605893185</v>
          </cell>
          <cell r="CE105">
            <v>127621</v>
          </cell>
          <cell r="CF105">
            <v>1083</v>
          </cell>
          <cell r="CG105">
            <v>117.84025854108957</v>
          </cell>
          <cell r="CH105">
            <v>317694</v>
          </cell>
          <cell r="CI105">
            <v>4891</v>
          </cell>
          <cell r="CJ105">
            <v>64.954814966264564</v>
          </cell>
          <cell r="CK105">
            <v>873600</v>
          </cell>
          <cell r="CL105">
            <v>4891</v>
          </cell>
          <cell r="CM105">
            <v>178.61378041300347</v>
          </cell>
          <cell r="CN105">
            <v>490.38258296343298</v>
          </cell>
          <cell r="CO105">
            <v>533</v>
          </cell>
          <cell r="CP105">
            <v>438.13722788646999</v>
          </cell>
          <cell r="CQ105">
            <v>420</v>
          </cell>
          <cell r="CR105">
            <v>133</v>
          </cell>
          <cell r="CS105">
            <v>4751</v>
          </cell>
          <cell r="CT105">
            <v>133</v>
          </cell>
          <cell r="CU105">
            <v>35.721804511278194</v>
          </cell>
          <cell r="CV105">
            <v>26</v>
          </cell>
          <cell r="CW105">
            <v>8000</v>
          </cell>
          <cell r="CX105">
            <v>249000</v>
          </cell>
          <cell r="CY105">
            <v>3.2128514056224897E-2</v>
          </cell>
          <cell r="CZ105">
            <v>506000</v>
          </cell>
          <cell r="DA105">
            <v>4891</v>
          </cell>
          <cell r="DB105">
            <v>103.45532610918012</v>
          </cell>
          <cell r="DC105">
            <v>263000</v>
          </cell>
          <cell r="DD105">
            <v>4891</v>
          </cell>
          <cell r="DE105">
            <v>53.772234716826823</v>
          </cell>
          <cell r="DF105">
            <v>213000</v>
          </cell>
          <cell r="DG105">
            <v>4891</v>
          </cell>
          <cell r="DH105">
            <v>43.549376405643017</v>
          </cell>
          <cell r="DI105">
            <v>7519.7</v>
          </cell>
          <cell r="DJ105">
            <v>0.65042488397143505</v>
          </cell>
          <cell r="DK105">
            <v>-1.1410437651296901E-3</v>
          </cell>
          <cell r="DL105">
            <v>1.78</v>
          </cell>
          <cell r="DM105">
            <v>2.99</v>
          </cell>
        </row>
        <row r="106">
          <cell r="B106" t="str">
            <v>Greater Taree City Council</v>
          </cell>
          <cell r="C106">
            <v>4</v>
          </cell>
          <cell r="D106">
            <v>8293000</v>
          </cell>
          <cell r="E106">
            <v>18482</v>
          </cell>
          <cell r="F106">
            <v>448.70684990801863</v>
          </cell>
          <cell r="G106">
            <v>1466000</v>
          </cell>
          <cell r="H106">
            <v>1817</v>
          </cell>
          <cell r="I106">
            <v>806.82443588332421</v>
          </cell>
          <cell r="J106">
            <v>2046000</v>
          </cell>
          <cell r="K106">
            <v>1178</v>
          </cell>
          <cell r="L106">
            <v>1736.8421052631579</v>
          </cell>
          <cell r="M106">
            <v>951000</v>
          </cell>
          <cell r="N106">
            <v>17454000</v>
          </cell>
          <cell r="O106">
            <v>5.448607768992781E-2</v>
          </cell>
          <cell r="P106">
            <v>767000</v>
          </cell>
          <cell r="Q106">
            <v>13047000</v>
          </cell>
          <cell r="R106">
            <v>5.878746071893922E-2</v>
          </cell>
          <cell r="S106">
            <v>569000</v>
          </cell>
          <cell r="T106">
            <v>3071000</v>
          </cell>
          <cell r="U106">
            <v>0.18528166720937805</v>
          </cell>
          <cell r="V106">
            <v>13814000</v>
          </cell>
          <cell r="W106">
            <v>36937000</v>
          </cell>
          <cell r="X106">
            <v>0.3739881419714649</v>
          </cell>
          <cell r="Y106">
            <v>3640000</v>
          </cell>
          <cell r="Z106">
            <v>36937000</v>
          </cell>
          <cell r="AA106">
            <v>9.8546173213850605E-2</v>
          </cell>
          <cell r="AB106">
            <v>431000</v>
          </cell>
          <cell r="AC106">
            <v>36937000</v>
          </cell>
          <cell r="AD106">
            <v>1.1668516663508136E-2</v>
          </cell>
          <cell r="AE106">
            <v>7859000</v>
          </cell>
          <cell r="AF106">
            <v>36937000</v>
          </cell>
          <cell r="AG106">
            <v>0.21276768551858569</v>
          </cell>
          <cell r="AH106">
            <v>10111000</v>
          </cell>
          <cell r="AI106">
            <v>36937000</v>
          </cell>
          <cell r="AJ106">
            <v>0.27373636191352846</v>
          </cell>
          <cell r="AK106">
            <v>1082000</v>
          </cell>
          <cell r="AL106">
            <v>36937000</v>
          </cell>
          <cell r="AM106">
            <v>2.9293120719062187E-2</v>
          </cell>
          <cell r="AN106">
            <v>27448000</v>
          </cell>
          <cell r="AO106">
            <v>45099</v>
          </cell>
          <cell r="AP106">
            <v>608.6165990376727</v>
          </cell>
          <cell r="AQ106">
            <v>10750000</v>
          </cell>
          <cell r="AR106">
            <v>33628000</v>
          </cell>
          <cell r="AS106">
            <v>0.31967408112287382</v>
          </cell>
          <cell r="AT106">
            <v>8603000</v>
          </cell>
          <cell r="AU106">
            <v>33628000</v>
          </cell>
          <cell r="AV106">
            <v>0.25582847626977517</v>
          </cell>
          <cell r="AW106">
            <v>778000</v>
          </cell>
          <cell r="AX106">
            <v>33628000</v>
          </cell>
          <cell r="AY106">
            <v>2.3135482336148448E-2</v>
          </cell>
          <cell r="AZ106">
            <v>11216000</v>
          </cell>
          <cell r="BA106">
            <v>33628000</v>
          </cell>
          <cell r="BB106">
            <v>0.33353158082550255</v>
          </cell>
          <cell r="BC106">
            <v>2281000</v>
          </cell>
          <cell r="BD106">
            <v>33628000</v>
          </cell>
          <cell r="BE106">
            <v>6.7830379445700015E-2</v>
          </cell>
          <cell r="BF106">
            <v>33628000</v>
          </cell>
          <cell r="BG106">
            <v>45099</v>
          </cell>
          <cell r="BH106">
            <v>745.64846227189071</v>
          </cell>
          <cell r="BI106">
            <v>5252000</v>
          </cell>
          <cell r="BJ106">
            <v>4640000</v>
          </cell>
          <cell r="BK106">
            <v>1.1318965517241379</v>
          </cell>
          <cell r="BL106">
            <v>2540000</v>
          </cell>
          <cell r="BM106">
            <v>24264000</v>
          </cell>
          <cell r="BN106">
            <v>0.10468183316848005</v>
          </cell>
          <cell r="BO106">
            <v>11471000</v>
          </cell>
          <cell r="BP106">
            <v>11216000</v>
          </cell>
          <cell r="BQ106">
            <v>1.0227353780313837</v>
          </cell>
          <cell r="BR106">
            <v>219</v>
          </cell>
          <cell r="BS106" t="str">
            <v>On Time</v>
          </cell>
          <cell r="BT106" t="str">
            <v>On Time</v>
          </cell>
          <cell r="BU106" t="str">
            <v>On Time</v>
          </cell>
          <cell r="BV106">
            <v>698000</v>
          </cell>
          <cell r="BW106">
            <v>45099</v>
          </cell>
          <cell r="BX106">
            <v>15.477061575644694</v>
          </cell>
          <cell r="BY106">
            <v>343027</v>
          </cell>
          <cell r="BZ106">
            <v>45099</v>
          </cell>
          <cell r="CA106">
            <v>7.6060888268032549</v>
          </cell>
          <cell r="CB106">
            <v>1845000</v>
          </cell>
          <cell r="CC106">
            <v>17993</v>
          </cell>
          <cell r="CD106">
            <v>102.53987661868504</v>
          </cell>
          <cell r="CE106">
            <v>2606153</v>
          </cell>
          <cell r="CF106">
            <v>17993</v>
          </cell>
          <cell r="CG106">
            <v>144.84260545767799</v>
          </cell>
          <cell r="CH106">
            <v>5810840</v>
          </cell>
          <cell r="CI106">
            <v>45099</v>
          </cell>
          <cell r="CJ106">
            <v>128.84631588283554</v>
          </cell>
          <cell r="CK106">
            <v>11106700</v>
          </cell>
          <cell r="CL106">
            <v>45099</v>
          </cell>
          <cell r="CM106">
            <v>246.27375329829928</v>
          </cell>
          <cell r="CN106" t="str">
            <v>N/A</v>
          </cell>
          <cell r="CO106" t="str">
            <v>N/A</v>
          </cell>
          <cell r="CP106" t="str">
            <v>N/A</v>
          </cell>
          <cell r="CQ106" t="str">
            <v>N/A</v>
          </cell>
          <cell r="CR106">
            <v>1351</v>
          </cell>
          <cell r="CS106">
            <v>48296</v>
          </cell>
          <cell r="CT106">
            <v>1351</v>
          </cell>
          <cell r="CU106">
            <v>35.748334566987417</v>
          </cell>
          <cell r="CV106">
            <v>24</v>
          </cell>
          <cell r="CW106">
            <v>22000</v>
          </cell>
          <cell r="CX106">
            <v>1206000</v>
          </cell>
          <cell r="CY106">
            <v>1.824212271973466E-2</v>
          </cell>
          <cell r="CZ106">
            <v>1124000</v>
          </cell>
          <cell r="DA106">
            <v>45099</v>
          </cell>
          <cell r="DB106">
            <v>24.922947293731568</v>
          </cell>
          <cell r="DC106">
            <v>2967000</v>
          </cell>
          <cell r="DD106">
            <v>45099</v>
          </cell>
          <cell r="DE106">
            <v>65.788598416816342</v>
          </cell>
          <cell r="DF106">
            <v>706000</v>
          </cell>
          <cell r="DG106">
            <v>45099</v>
          </cell>
          <cell r="DH106">
            <v>15.654449100866982</v>
          </cell>
          <cell r="DI106">
            <v>3730.4</v>
          </cell>
          <cell r="DJ106">
            <v>12.089588247909072</v>
          </cell>
          <cell r="DK106">
            <v>6.9082286502228918E-3</v>
          </cell>
          <cell r="DL106">
            <v>3.76</v>
          </cell>
          <cell r="DM106">
            <v>2.63</v>
          </cell>
        </row>
        <row r="107">
          <cell r="B107" t="str">
            <v>Blacktown City Council</v>
          </cell>
          <cell r="C107">
            <v>3</v>
          </cell>
          <cell r="D107">
            <v>51805000</v>
          </cell>
          <cell r="E107">
            <v>87108</v>
          </cell>
          <cell r="F107">
            <v>594.72149515543924</v>
          </cell>
          <cell r="G107">
            <v>621000</v>
          </cell>
          <cell r="H107">
            <v>222</v>
          </cell>
          <cell r="I107">
            <v>2797.2972972972975</v>
          </cell>
          <cell r="J107">
            <v>17668000</v>
          </cell>
          <cell r="K107">
            <v>3886</v>
          </cell>
          <cell r="L107">
            <v>4546.5774575398864</v>
          </cell>
          <cell r="M107">
            <v>2600000</v>
          </cell>
          <cell r="N107">
            <v>100693000</v>
          </cell>
          <cell r="O107">
            <v>2.5821060053826977E-2</v>
          </cell>
          <cell r="P107">
            <v>3686000</v>
          </cell>
          <cell r="Q107">
            <v>82764000</v>
          </cell>
          <cell r="R107">
            <v>4.4536271808999078E-2</v>
          </cell>
          <cell r="S107">
            <v>1372000</v>
          </cell>
          <cell r="T107">
            <v>12871000</v>
          </cell>
          <cell r="U107">
            <v>0.10659622406961386</v>
          </cell>
          <cell r="V107">
            <v>86450000</v>
          </cell>
          <cell r="W107">
            <v>176065000</v>
          </cell>
          <cell r="X107">
            <v>0.49101184221736288</v>
          </cell>
          <cell r="Y107">
            <v>14243000</v>
          </cell>
          <cell r="Z107">
            <v>176065000</v>
          </cell>
          <cell r="AA107">
            <v>8.0896259904012724E-2</v>
          </cell>
          <cell r="AB107">
            <v>7845000</v>
          </cell>
          <cell r="AC107">
            <v>176065000</v>
          </cell>
          <cell r="AD107">
            <v>4.4557407775537447E-2</v>
          </cell>
          <cell r="AE107">
            <v>30421000</v>
          </cell>
          <cell r="AF107">
            <v>176065000</v>
          </cell>
          <cell r="AG107">
            <v>0.17278277908726891</v>
          </cell>
          <cell r="AH107">
            <v>32230000</v>
          </cell>
          <cell r="AI107">
            <v>176065000</v>
          </cell>
          <cell r="AJ107">
            <v>0.18305739357623604</v>
          </cell>
          <cell r="AK107">
            <v>4876000</v>
          </cell>
          <cell r="AL107">
            <v>176065000</v>
          </cell>
          <cell r="AM107">
            <v>2.7694317439581971E-2</v>
          </cell>
          <cell r="AN107">
            <v>146946000</v>
          </cell>
          <cell r="AO107">
            <v>269855</v>
          </cell>
          <cell r="AP107">
            <v>544.53688091752974</v>
          </cell>
          <cell r="AQ107">
            <v>63059000</v>
          </cell>
          <cell r="AR107">
            <v>137356000</v>
          </cell>
          <cell r="AS107">
            <v>0.45909170331110399</v>
          </cell>
          <cell r="AT107">
            <v>18868000</v>
          </cell>
          <cell r="AU107">
            <v>137356000</v>
          </cell>
          <cell r="AV107">
            <v>0.13736567750953727</v>
          </cell>
          <cell r="AW107">
            <v>0</v>
          </cell>
          <cell r="AX107">
            <v>137356000</v>
          </cell>
          <cell r="AY107">
            <v>0</v>
          </cell>
          <cell r="AZ107">
            <v>26249000</v>
          </cell>
          <cell r="BA107">
            <v>137356000</v>
          </cell>
          <cell r="BB107">
            <v>0.19110195404641953</v>
          </cell>
          <cell r="BC107">
            <v>29180000</v>
          </cell>
          <cell r="BD107">
            <v>137356000</v>
          </cell>
          <cell r="BE107">
            <v>0.21244066513293922</v>
          </cell>
          <cell r="BF107">
            <v>137356000</v>
          </cell>
          <cell r="BG107">
            <v>269855</v>
          </cell>
          <cell r="BH107">
            <v>508.99927738970928</v>
          </cell>
          <cell r="BI107">
            <v>87039000</v>
          </cell>
          <cell r="BJ107">
            <v>21081000</v>
          </cell>
          <cell r="BK107">
            <v>4.1287889568806033</v>
          </cell>
          <cell r="BL107">
            <v>0</v>
          </cell>
          <cell r="BM107">
            <v>134123000</v>
          </cell>
          <cell r="BN107">
            <v>0</v>
          </cell>
          <cell r="BO107">
            <v>48410000</v>
          </cell>
          <cell r="BP107">
            <v>26249000</v>
          </cell>
          <cell r="BQ107">
            <v>1.8442607337422379</v>
          </cell>
          <cell r="BR107">
            <v>1221</v>
          </cell>
          <cell r="BS107" t="str">
            <v>&lt;=2</v>
          </cell>
          <cell r="BT107" t="str">
            <v>&lt;=4</v>
          </cell>
          <cell r="BU107" t="str">
            <v>On Time</v>
          </cell>
          <cell r="BV107">
            <v>3456000</v>
          </cell>
          <cell r="BW107">
            <v>269855</v>
          </cell>
          <cell r="BX107">
            <v>12.806877767690056</v>
          </cell>
          <cell r="BY107">
            <v>846998</v>
          </cell>
          <cell r="BZ107">
            <v>269855</v>
          </cell>
          <cell r="CA107">
            <v>3.1387152359600528</v>
          </cell>
          <cell r="CB107">
            <v>16151000</v>
          </cell>
          <cell r="CC107">
            <v>85617</v>
          </cell>
          <cell r="CD107">
            <v>188.64244250557715</v>
          </cell>
          <cell r="CE107">
            <v>7581618</v>
          </cell>
          <cell r="CF107">
            <v>85617</v>
          </cell>
          <cell r="CG107">
            <v>88.552717334174289</v>
          </cell>
          <cell r="CH107">
            <v>21452000</v>
          </cell>
          <cell r="CI107">
            <v>269855</v>
          </cell>
          <cell r="CJ107">
            <v>79.494543365881682</v>
          </cell>
          <cell r="CK107">
            <v>83793000</v>
          </cell>
          <cell r="CL107">
            <v>269855</v>
          </cell>
          <cell r="CM107">
            <v>310.51120045950603</v>
          </cell>
          <cell r="CN107" t="str">
            <v>N/A</v>
          </cell>
          <cell r="CO107" t="str">
            <v>N/A</v>
          </cell>
          <cell r="CP107" t="str">
            <v>N/A</v>
          </cell>
          <cell r="CQ107" t="str">
            <v>N/A</v>
          </cell>
          <cell r="CR107">
            <v>4602</v>
          </cell>
          <cell r="CS107">
            <v>165810</v>
          </cell>
          <cell r="CT107">
            <v>4602</v>
          </cell>
          <cell r="CU107">
            <v>36.02998696219035</v>
          </cell>
          <cell r="CV107">
            <v>26</v>
          </cell>
          <cell r="CW107">
            <v>597000</v>
          </cell>
          <cell r="CX107">
            <v>5522000</v>
          </cell>
          <cell r="CY107">
            <v>0.10811300253531329</v>
          </cell>
          <cell r="CZ107">
            <v>1793000</v>
          </cell>
          <cell r="DA107">
            <v>269855</v>
          </cell>
          <cell r="DB107">
            <v>6.6443089807489208</v>
          </cell>
          <cell r="DC107">
            <v>15751000</v>
          </cell>
          <cell r="DD107">
            <v>269855</v>
          </cell>
          <cell r="DE107">
            <v>58.368383020511018</v>
          </cell>
          <cell r="DF107">
            <v>15144000</v>
          </cell>
          <cell r="DG107">
            <v>269855</v>
          </cell>
          <cell r="DH107">
            <v>56.119026884808505</v>
          </cell>
          <cell r="DI107">
            <v>240</v>
          </cell>
          <cell r="DJ107">
            <v>1124.3958333333333</v>
          </cell>
          <cell r="DK107">
            <v>1.9798959780383374E-2</v>
          </cell>
          <cell r="DL107">
            <v>2.37</v>
          </cell>
          <cell r="DM107">
            <v>23.77</v>
          </cell>
        </row>
        <row r="108">
          <cell r="B108" t="str">
            <v>Coolah Shire Council</v>
          </cell>
          <cell r="C108">
            <v>9</v>
          </cell>
          <cell r="D108">
            <v>325000</v>
          </cell>
          <cell r="E108">
            <v>1324</v>
          </cell>
          <cell r="F108">
            <v>245.46827794561935</v>
          </cell>
          <cell r="G108">
            <v>1602000</v>
          </cell>
          <cell r="H108">
            <v>822</v>
          </cell>
          <cell r="I108">
            <v>1948.905109489051</v>
          </cell>
          <cell r="J108">
            <v>42000</v>
          </cell>
          <cell r="K108">
            <v>168</v>
          </cell>
          <cell r="L108">
            <v>250</v>
          </cell>
          <cell r="M108">
            <v>243000</v>
          </cell>
          <cell r="N108">
            <v>4950000</v>
          </cell>
          <cell r="O108">
            <v>4.9090909090909088E-2</v>
          </cell>
          <cell r="P108">
            <v>143000</v>
          </cell>
          <cell r="Q108">
            <v>2316000</v>
          </cell>
          <cell r="R108">
            <v>6.1744386873920552E-2</v>
          </cell>
          <cell r="S108">
            <v>-195000</v>
          </cell>
          <cell r="T108">
            <v>2686000</v>
          </cell>
          <cell r="U108">
            <v>-7.2598659717051373E-2</v>
          </cell>
          <cell r="V108">
            <v>2459000</v>
          </cell>
          <cell r="W108">
            <v>9204000</v>
          </cell>
          <cell r="X108">
            <v>0.26716644936983919</v>
          </cell>
          <cell r="Y108">
            <v>2491000</v>
          </cell>
          <cell r="Z108">
            <v>9204000</v>
          </cell>
          <cell r="AA108">
            <v>0.27064319860930031</v>
          </cell>
          <cell r="AB108">
            <v>240000</v>
          </cell>
          <cell r="AC108">
            <v>9204000</v>
          </cell>
          <cell r="AD108">
            <v>2.607561929595828E-2</v>
          </cell>
          <cell r="AE108">
            <v>2710000</v>
          </cell>
          <cell r="AF108">
            <v>9204000</v>
          </cell>
          <cell r="AG108">
            <v>0.29443720121686223</v>
          </cell>
          <cell r="AH108">
            <v>1098000</v>
          </cell>
          <cell r="AI108">
            <v>9204000</v>
          </cell>
          <cell r="AJ108">
            <v>0.11929595827900913</v>
          </cell>
          <cell r="AK108">
            <v>206000</v>
          </cell>
          <cell r="AL108">
            <v>9204000</v>
          </cell>
          <cell r="AM108">
            <v>2.2381573229030855E-2</v>
          </cell>
          <cell r="AN108">
            <v>7676000</v>
          </cell>
          <cell r="AO108">
            <v>3941</v>
          </cell>
          <cell r="AP108">
            <v>1947.7290027911697</v>
          </cell>
          <cell r="AQ108">
            <v>2953000</v>
          </cell>
          <cell r="AR108">
            <v>9472000</v>
          </cell>
          <cell r="AS108">
            <v>0.31176097972972971</v>
          </cell>
          <cell r="AT108">
            <v>2675000</v>
          </cell>
          <cell r="AU108">
            <v>9472000</v>
          </cell>
          <cell r="AV108">
            <v>0.28241131756756754</v>
          </cell>
          <cell r="AW108">
            <v>32000</v>
          </cell>
          <cell r="AX108">
            <v>9472000</v>
          </cell>
          <cell r="AY108">
            <v>3.3783783783783786E-3</v>
          </cell>
          <cell r="AZ108">
            <v>3046000</v>
          </cell>
          <cell r="BA108">
            <v>9472000</v>
          </cell>
          <cell r="BB108">
            <v>0.32157939189189189</v>
          </cell>
          <cell r="BC108">
            <v>766000</v>
          </cell>
          <cell r="BD108">
            <v>9472000</v>
          </cell>
          <cell r="BE108">
            <v>8.0869932432432429E-2</v>
          </cell>
          <cell r="BF108">
            <v>8755000</v>
          </cell>
          <cell r="BG108">
            <v>3941</v>
          </cell>
          <cell r="BH108">
            <v>2221.5173813752854</v>
          </cell>
          <cell r="BI108">
            <v>3306000</v>
          </cell>
          <cell r="BJ108">
            <v>1295000</v>
          </cell>
          <cell r="BK108">
            <v>2.5528957528957528</v>
          </cell>
          <cell r="BL108">
            <v>44000</v>
          </cell>
          <cell r="BM108">
            <v>7203000</v>
          </cell>
          <cell r="BN108">
            <v>6.1085658753297235E-3</v>
          </cell>
          <cell r="BO108">
            <v>1995000</v>
          </cell>
          <cell r="BP108">
            <v>2934000</v>
          </cell>
          <cell r="BQ108">
            <v>0.67995910020449901</v>
          </cell>
          <cell r="BR108">
            <v>72</v>
          </cell>
          <cell r="BS108" t="str">
            <v>&lt;=2</v>
          </cell>
          <cell r="BT108" t="str">
            <v>&lt;=2</v>
          </cell>
          <cell r="BU108" t="str">
            <v>On Time</v>
          </cell>
          <cell r="BV108">
            <v>80000</v>
          </cell>
          <cell r="BW108">
            <v>3941</v>
          </cell>
          <cell r="BX108">
            <v>20.299416391778735</v>
          </cell>
          <cell r="BY108">
            <v>12927</v>
          </cell>
          <cell r="BZ108">
            <v>3941</v>
          </cell>
          <cell r="CA108">
            <v>3.2801319462065464</v>
          </cell>
          <cell r="CB108">
            <v>93000</v>
          </cell>
          <cell r="CC108">
            <v>800</v>
          </cell>
          <cell r="CD108">
            <v>116.25</v>
          </cell>
          <cell r="CE108">
            <v>55897</v>
          </cell>
          <cell r="CF108">
            <v>800</v>
          </cell>
          <cell r="CG108">
            <v>69.871250000000003</v>
          </cell>
          <cell r="CH108">
            <v>580</v>
          </cell>
          <cell r="CI108">
            <v>3941</v>
          </cell>
          <cell r="CJ108" t="str">
            <v>N/A</v>
          </cell>
          <cell r="CK108">
            <v>2640000</v>
          </cell>
          <cell r="CL108">
            <v>3941</v>
          </cell>
          <cell r="CM108">
            <v>669.88074092869829</v>
          </cell>
          <cell r="CN108">
            <v>372.58093687827801</v>
          </cell>
          <cell r="CO108">
            <v>484</v>
          </cell>
          <cell r="CP108">
            <v>256.60569105691098</v>
          </cell>
          <cell r="CQ108">
            <v>210</v>
          </cell>
          <cell r="CR108">
            <v>46</v>
          </cell>
          <cell r="CS108">
            <v>1664</v>
          </cell>
          <cell r="CT108">
            <v>46</v>
          </cell>
          <cell r="CU108">
            <v>36.173913043478258</v>
          </cell>
          <cell r="CV108">
            <v>27</v>
          </cell>
          <cell r="CW108">
            <v>0</v>
          </cell>
          <cell r="CX108">
            <v>66000</v>
          </cell>
          <cell r="CY108">
            <v>0</v>
          </cell>
          <cell r="CZ108">
            <v>110000</v>
          </cell>
          <cell r="DA108">
            <v>3941</v>
          </cell>
          <cell r="DB108">
            <v>27.911697538695762</v>
          </cell>
          <cell r="DC108">
            <v>297000</v>
          </cell>
          <cell r="DD108">
            <v>3941</v>
          </cell>
          <cell r="DE108">
            <v>75.361583354478554</v>
          </cell>
          <cell r="DF108">
            <v>188000</v>
          </cell>
          <cell r="DG108">
            <v>3941</v>
          </cell>
          <cell r="DH108">
            <v>47.703628520680027</v>
          </cell>
          <cell r="DI108">
            <v>4803.8</v>
          </cell>
          <cell r="DJ108">
            <v>0.82039218951663262</v>
          </cell>
          <cell r="DK108">
            <v>2.6084642548651615E-3</v>
          </cell>
          <cell r="DL108">
            <v>2.7</v>
          </cell>
          <cell r="DM108">
            <v>2.44</v>
          </cell>
        </row>
        <row r="109">
          <cell r="B109" t="str">
            <v>Wollondilly Shire Council</v>
          </cell>
          <cell r="C109">
            <v>6</v>
          </cell>
          <cell r="D109">
            <v>7981000</v>
          </cell>
          <cell r="E109">
            <v>13399</v>
          </cell>
          <cell r="F109">
            <v>595.64146578102839</v>
          </cell>
          <cell r="G109">
            <v>860000</v>
          </cell>
          <cell r="H109">
            <v>483</v>
          </cell>
          <cell r="I109">
            <v>1780.5383022774326</v>
          </cell>
          <cell r="J109">
            <v>442000</v>
          </cell>
          <cell r="K109">
            <v>491</v>
          </cell>
          <cell r="L109">
            <v>900.20366598778003</v>
          </cell>
          <cell r="M109">
            <v>1154000</v>
          </cell>
          <cell r="N109">
            <v>17701000</v>
          </cell>
          <cell r="O109">
            <v>6.5194056832947295E-2</v>
          </cell>
          <cell r="P109">
            <v>903000</v>
          </cell>
          <cell r="Q109">
            <v>11162000</v>
          </cell>
          <cell r="R109">
            <v>8.0899480379860236E-2</v>
          </cell>
          <cell r="S109">
            <v>1158000</v>
          </cell>
          <cell r="T109">
            <v>4478000</v>
          </cell>
          <cell r="U109">
            <v>0.2585975882090219</v>
          </cell>
          <cell r="V109">
            <v>12065000</v>
          </cell>
          <cell r="W109">
            <v>26895000</v>
          </cell>
          <cell r="X109">
            <v>0.44859639338166946</v>
          </cell>
          <cell r="Y109">
            <v>5636000</v>
          </cell>
          <cell r="Z109">
            <v>26895000</v>
          </cell>
          <cell r="AA109">
            <v>0.20955567949432979</v>
          </cell>
          <cell r="AB109">
            <v>753000</v>
          </cell>
          <cell r="AC109">
            <v>26895000</v>
          </cell>
          <cell r="AD109">
            <v>2.7997769102063582E-2</v>
          </cell>
          <cell r="AE109">
            <v>6755000</v>
          </cell>
          <cell r="AF109">
            <v>26895000</v>
          </cell>
          <cell r="AG109">
            <v>0.25116192600855175</v>
          </cell>
          <cell r="AH109">
            <v>1537000</v>
          </cell>
          <cell r="AI109">
            <v>26895000</v>
          </cell>
          <cell r="AJ109">
            <v>5.7148168804610523E-2</v>
          </cell>
          <cell r="AK109">
            <v>149000</v>
          </cell>
          <cell r="AL109">
            <v>26895000</v>
          </cell>
          <cell r="AM109">
            <v>5.540063208774865E-3</v>
          </cell>
          <cell r="AN109">
            <v>22804000</v>
          </cell>
          <cell r="AO109">
            <v>38944</v>
          </cell>
          <cell r="AP109">
            <v>585.55875102711582</v>
          </cell>
          <cell r="AQ109">
            <v>10336000</v>
          </cell>
          <cell r="AR109">
            <v>25640000</v>
          </cell>
          <cell r="AS109">
            <v>0.40312012480499221</v>
          </cell>
          <cell r="AT109">
            <v>6878000</v>
          </cell>
          <cell r="AU109">
            <v>25640000</v>
          </cell>
          <cell r="AV109">
            <v>0.26825273010920436</v>
          </cell>
          <cell r="AW109">
            <v>265000</v>
          </cell>
          <cell r="AX109">
            <v>25640000</v>
          </cell>
          <cell r="AY109">
            <v>1.0335413416536661E-2</v>
          </cell>
          <cell r="AZ109">
            <v>5612000</v>
          </cell>
          <cell r="BA109">
            <v>25640000</v>
          </cell>
          <cell r="BB109">
            <v>0.21887675507020282</v>
          </cell>
          <cell r="BC109">
            <v>2549000</v>
          </cell>
          <cell r="BD109">
            <v>25640000</v>
          </cell>
          <cell r="BE109">
            <v>9.9414976599063967E-2</v>
          </cell>
          <cell r="BF109">
            <v>25640000</v>
          </cell>
          <cell r="BG109">
            <v>38944</v>
          </cell>
          <cell r="BH109">
            <v>658.38126540673784</v>
          </cell>
          <cell r="BI109">
            <v>9454000</v>
          </cell>
          <cell r="BJ109">
            <v>4012000</v>
          </cell>
          <cell r="BK109">
            <v>2.3564307078763709</v>
          </cell>
          <cell r="BL109">
            <v>484000</v>
          </cell>
          <cell r="BM109">
            <v>21415000</v>
          </cell>
          <cell r="BN109">
            <v>2.2600980621060005E-2</v>
          </cell>
          <cell r="BO109">
            <v>17839000</v>
          </cell>
          <cell r="BP109">
            <v>5612000</v>
          </cell>
          <cell r="BQ109">
            <v>3.1787241625089093</v>
          </cell>
          <cell r="BR109">
            <v>178</v>
          </cell>
          <cell r="BS109" t="str">
            <v>On Time</v>
          </cell>
          <cell r="BT109" t="str">
            <v>&lt;=4</v>
          </cell>
          <cell r="BU109" t="str">
            <v>On Time</v>
          </cell>
          <cell r="BV109">
            <v>810000</v>
          </cell>
          <cell r="BW109">
            <v>38944</v>
          </cell>
          <cell r="BX109">
            <v>20.799096138044373</v>
          </cell>
          <cell r="BY109">
            <v>123846</v>
          </cell>
          <cell r="BZ109">
            <v>38944</v>
          </cell>
          <cell r="CA109">
            <v>3.1801047658175841</v>
          </cell>
          <cell r="CB109">
            <v>2486000</v>
          </cell>
          <cell r="CC109">
            <v>12211</v>
          </cell>
          <cell r="CD109">
            <v>203.58692981737778</v>
          </cell>
          <cell r="CE109">
            <v>2221742</v>
          </cell>
          <cell r="CF109">
            <v>11852</v>
          </cell>
          <cell r="CG109">
            <v>187.45713803577456</v>
          </cell>
          <cell r="CH109">
            <v>2333540</v>
          </cell>
          <cell r="CI109">
            <v>38944</v>
          </cell>
          <cell r="CJ109">
            <v>59.920398520953164</v>
          </cell>
          <cell r="CK109">
            <v>8520000</v>
          </cell>
          <cell r="CL109">
            <v>38944</v>
          </cell>
          <cell r="CM109">
            <v>218.77567789646673</v>
          </cell>
          <cell r="CN109" t="str">
            <v>N/A</v>
          </cell>
          <cell r="CO109" t="str">
            <v>N/A</v>
          </cell>
          <cell r="CP109" t="str">
            <v>N/A</v>
          </cell>
          <cell r="CQ109" t="str">
            <v>N/A</v>
          </cell>
          <cell r="CR109">
            <v>1420</v>
          </cell>
          <cell r="CS109">
            <v>51638</v>
          </cell>
          <cell r="CT109">
            <v>1420</v>
          </cell>
          <cell r="CU109">
            <v>36.364788732394366</v>
          </cell>
          <cell r="CV109">
            <v>29</v>
          </cell>
          <cell r="CW109">
            <v>82000</v>
          </cell>
          <cell r="CX109">
            <v>2482000</v>
          </cell>
          <cell r="CY109">
            <v>3.3037872683319904E-2</v>
          </cell>
          <cell r="CZ109">
            <v>502000</v>
          </cell>
          <cell r="DA109">
            <v>38944</v>
          </cell>
          <cell r="DB109">
            <v>12.890304026294165</v>
          </cell>
          <cell r="DC109">
            <v>1740000</v>
          </cell>
          <cell r="DD109">
            <v>38944</v>
          </cell>
          <cell r="DE109">
            <v>44.679539852095317</v>
          </cell>
          <cell r="DF109">
            <v>1355000</v>
          </cell>
          <cell r="DG109">
            <v>38944</v>
          </cell>
          <cell r="DH109">
            <v>34.793549712407561</v>
          </cell>
          <cell r="DI109">
            <v>2556.6</v>
          </cell>
          <cell r="DJ109">
            <v>15.232730970820622</v>
          </cell>
          <cell r="DK109">
            <v>2.005079049043279E-2</v>
          </cell>
          <cell r="DL109">
            <v>1.56</v>
          </cell>
          <cell r="DM109">
            <v>5.48</v>
          </cell>
        </row>
        <row r="110">
          <cell r="B110" t="str">
            <v>Liverpool City Council</v>
          </cell>
          <cell r="C110">
            <v>7</v>
          </cell>
          <cell r="D110">
            <v>30235000</v>
          </cell>
          <cell r="E110">
            <v>50459</v>
          </cell>
          <cell r="F110">
            <v>599.19934996730024</v>
          </cell>
          <cell r="G110">
            <v>356000</v>
          </cell>
          <cell r="H110">
            <v>177</v>
          </cell>
          <cell r="I110">
            <v>2011.2994350282486</v>
          </cell>
          <cell r="J110">
            <v>9813000</v>
          </cell>
          <cell r="K110">
            <v>2817</v>
          </cell>
          <cell r="L110">
            <v>3483.4930777422792</v>
          </cell>
          <cell r="M110">
            <v>2615000</v>
          </cell>
          <cell r="N110">
            <v>60532000</v>
          </cell>
          <cell r="O110">
            <v>4.3200290755302982E-2</v>
          </cell>
          <cell r="P110">
            <v>2089000</v>
          </cell>
          <cell r="Q110">
            <v>50114000</v>
          </cell>
          <cell r="R110">
            <v>4.1684958295087199E-2</v>
          </cell>
          <cell r="S110">
            <v>449000</v>
          </cell>
          <cell r="T110">
            <v>7880000</v>
          </cell>
          <cell r="U110">
            <v>5.6979695431472084E-2</v>
          </cell>
          <cell r="V110">
            <v>52203000</v>
          </cell>
          <cell r="W110">
            <v>92705000</v>
          </cell>
          <cell r="X110">
            <v>0.56310878593387625</v>
          </cell>
          <cell r="Y110">
            <v>8329000</v>
          </cell>
          <cell r="Z110">
            <v>92705000</v>
          </cell>
          <cell r="AA110">
            <v>8.9844129227118277E-2</v>
          </cell>
          <cell r="AB110">
            <v>5158000</v>
          </cell>
          <cell r="AC110">
            <v>92705000</v>
          </cell>
          <cell r="AD110">
            <v>5.5638854430721106E-2</v>
          </cell>
          <cell r="AE110">
            <v>13395000</v>
          </cell>
          <cell r="AF110">
            <v>92705000</v>
          </cell>
          <cell r="AG110">
            <v>0.14449058842565127</v>
          </cell>
          <cell r="AH110">
            <v>10025000</v>
          </cell>
          <cell r="AI110">
            <v>92705000</v>
          </cell>
          <cell r="AJ110">
            <v>0.10813871959441239</v>
          </cell>
          <cell r="AK110">
            <v>3595000</v>
          </cell>
          <cell r="AL110">
            <v>92705000</v>
          </cell>
          <cell r="AM110">
            <v>3.8778922388220699E-2</v>
          </cell>
          <cell r="AN110">
            <v>81166000</v>
          </cell>
          <cell r="AO110">
            <v>163310</v>
          </cell>
          <cell r="AP110">
            <v>497.0056946910783</v>
          </cell>
          <cell r="AQ110">
            <v>36950000</v>
          </cell>
          <cell r="AR110">
            <v>88588000</v>
          </cell>
          <cell r="AS110">
            <v>0.41709938140605951</v>
          </cell>
          <cell r="AT110">
            <v>20837000</v>
          </cell>
          <cell r="AU110">
            <v>88588000</v>
          </cell>
          <cell r="AV110">
            <v>0.23521244412335757</v>
          </cell>
          <cell r="AW110">
            <v>3150000</v>
          </cell>
          <cell r="AX110">
            <v>88588000</v>
          </cell>
          <cell r="AY110">
            <v>3.5557863367498985E-2</v>
          </cell>
          <cell r="AZ110">
            <v>16439000</v>
          </cell>
          <cell r="BA110">
            <v>88588000</v>
          </cell>
          <cell r="BB110">
            <v>0.18556689393597328</v>
          </cell>
          <cell r="BC110">
            <v>11212000</v>
          </cell>
          <cell r="BD110">
            <v>88588000</v>
          </cell>
          <cell r="BE110">
            <v>0.12656341716711067</v>
          </cell>
          <cell r="BF110">
            <v>88588000</v>
          </cell>
          <cell r="BG110">
            <v>163310</v>
          </cell>
          <cell r="BH110">
            <v>542.45300349029458</v>
          </cell>
          <cell r="BI110">
            <v>36230000</v>
          </cell>
          <cell r="BJ110">
            <v>26242000</v>
          </cell>
          <cell r="BK110">
            <v>1.3806112338998553</v>
          </cell>
          <cell r="BL110">
            <v>6062000</v>
          </cell>
          <cell r="BM110">
            <v>77537000</v>
          </cell>
          <cell r="BN110">
            <v>7.8182029224757213E-2</v>
          </cell>
          <cell r="BO110">
            <v>10643000</v>
          </cell>
          <cell r="BP110">
            <v>16439000</v>
          </cell>
          <cell r="BQ110">
            <v>0.64742380923413834</v>
          </cell>
          <cell r="BR110">
            <v>598</v>
          </cell>
          <cell r="BS110" t="str">
            <v>On Time</v>
          </cell>
          <cell r="BT110" t="str">
            <v>On Time</v>
          </cell>
          <cell r="BU110" t="str">
            <v>On Time</v>
          </cell>
          <cell r="BV110">
            <v>4866000</v>
          </cell>
          <cell r="BW110">
            <v>163310</v>
          </cell>
          <cell r="BX110">
            <v>29.796093319453799</v>
          </cell>
          <cell r="BY110">
            <v>690454</v>
          </cell>
          <cell r="BZ110">
            <v>163310</v>
          </cell>
          <cell r="CA110">
            <v>4.2278733696650539</v>
          </cell>
          <cell r="CB110">
            <v>10134000</v>
          </cell>
          <cell r="CC110">
            <v>50636</v>
          </cell>
          <cell r="CD110">
            <v>200.13429180819969</v>
          </cell>
          <cell r="CE110">
            <v>6386365</v>
          </cell>
          <cell r="CF110">
            <v>50636</v>
          </cell>
          <cell r="CG110">
            <v>126.12301524606998</v>
          </cell>
          <cell r="CH110">
            <v>9397840</v>
          </cell>
          <cell r="CI110">
            <v>163310</v>
          </cell>
          <cell r="CJ110">
            <v>57.546016777907049</v>
          </cell>
          <cell r="CK110">
            <v>51335140</v>
          </cell>
          <cell r="CL110">
            <v>163310</v>
          </cell>
          <cell r="CM110">
            <v>314.34168146469904</v>
          </cell>
          <cell r="CN110" t="str">
            <v>N/A</v>
          </cell>
          <cell r="CO110" t="str">
            <v>N/A</v>
          </cell>
          <cell r="CP110" t="str">
            <v>N/A</v>
          </cell>
          <cell r="CQ110" t="str">
            <v>N/A</v>
          </cell>
          <cell r="CR110">
            <v>2581</v>
          </cell>
          <cell r="CS110">
            <v>94185</v>
          </cell>
          <cell r="CT110">
            <v>2581</v>
          </cell>
          <cell r="CU110">
            <v>36.491669895389386</v>
          </cell>
          <cell r="CV110">
            <v>26</v>
          </cell>
          <cell r="CW110">
            <v>248000</v>
          </cell>
          <cell r="CX110">
            <v>4310000</v>
          </cell>
          <cell r="CY110">
            <v>5.754060324825986E-2</v>
          </cell>
          <cell r="CZ110">
            <v>888000</v>
          </cell>
          <cell r="DA110">
            <v>163310</v>
          </cell>
          <cell r="DB110">
            <v>5.4375114812320131</v>
          </cell>
          <cell r="DC110">
            <v>3708000</v>
          </cell>
          <cell r="DD110">
            <v>163310</v>
          </cell>
          <cell r="DE110">
            <v>22.705284428387728</v>
          </cell>
          <cell r="DF110">
            <v>4984000</v>
          </cell>
          <cell r="DG110">
            <v>163310</v>
          </cell>
          <cell r="DH110">
            <v>30.518645520788684</v>
          </cell>
          <cell r="DI110">
            <v>305.39999999999998</v>
          </cell>
          <cell r="DJ110">
            <v>534.74132285527185</v>
          </cell>
          <cell r="DK110">
            <v>4.475023774736675E-2</v>
          </cell>
          <cell r="DL110">
            <v>1.32</v>
          </cell>
          <cell r="DM110">
            <v>30.31</v>
          </cell>
        </row>
        <row r="111">
          <cell r="B111" t="str">
            <v>Shoalhaven City Council</v>
          </cell>
          <cell r="C111">
            <v>5</v>
          </cell>
          <cell r="D111">
            <v>24543000</v>
          </cell>
          <cell r="E111">
            <v>48591</v>
          </cell>
          <cell r="F111">
            <v>505.09353583997034</v>
          </cell>
          <cell r="G111">
            <v>1284000</v>
          </cell>
          <cell r="H111">
            <v>931</v>
          </cell>
          <cell r="I111">
            <v>1379.1621911922664</v>
          </cell>
          <cell r="J111">
            <v>2945000</v>
          </cell>
          <cell r="K111">
            <v>1916</v>
          </cell>
          <cell r="L111">
            <v>1537.0563674321504</v>
          </cell>
          <cell r="M111">
            <v>6892000</v>
          </cell>
          <cell r="N111">
            <v>95436000</v>
          </cell>
          <cell r="O111">
            <v>7.22159352864747E-2</v>
          </cell>
          <cell r="P111">
            <v>2873000</v>
          </cell>
          <cell r="Q111">
            <v>61803000</v>
          </cell>
          <cell r="R111">
            <v>4.6486416516997559E-2</v>
          </cell>
          <cell r="S111">
            <v>3984000</v>
          </cell>
          <cell r="T111">
            <v>26776000</v>
          </cell>
          <cell r="U111">
            <v>0.14878996115924709</v>
          </cell>
          <cell r="V111">
            <v>64676000</v>
          </cell>
          <cell r="W111">
            <v>132582000</v>
          </cell>
          <cell r="X111">
            <v>0.4878188592719977</v>
          </cell>
          <cell r="Y111">
            <v>30760000</v>
          </cell>
          <cell r="Z111">
            <v>132582000</v>
          </cell>
          <cell r="AA111">
            <v>0.23200736148195078</v>
          </cell>
          <cell r="AB111">
            <v>3820000</v>
          </cell>
          <cell r="AC111">
            <v>132582000</v>
          </cell>
          <cell r="AD111">
            <v>2.8812357635274774E-2</v>
          </cell>
          <cell r="AE111">
            <v>22565000</v>
          </cell>
          <cell r="AF111">
            <v>132582000</v>
          </cell>
          <cell r="AG111">
            <v>0.17019655760208777</v>
          </cell>
          <cell r="AH111">
            <v>9163000</v>
          </cell>
          <cell r="AI111">
            <v>132582000</v>
          </cell>
          <cell r="AJ111">
            <v>6.9111945814665635E-2</v>
          </cell>
          <cell r="AK111">
            <v>1598000</v>
          </cell>
          <cell r="AL111">
            <v>132582000</v>
          </cell>
          <cell r="AM111">
            <v>1.2052918194023321E-2</v>
          </cell>
          <cell r="AN111">
            <v>82074000</v>
          </cell>
          <cell r="AO111">
            <v>89317</v>
          </cell>
          <cell r="AP111">
            <v>918.90681505200575</v>
          </cell>
          <cell r="AQ111">
            <v>37956000</v>
          </cell>
          <cell r="AR111">
            <v>103625000</v>
          </cell>
          <cell r="AS111">
            <v>0.3662822677925211</v>
          </cell>
          <cell r="AT111">
            <v>28497000</v>
          </cell>
          <cell r="AU111">
            <v>103625000</v>
          </cell>
          <cell r="AV111">
            <v>0.27500120627261759</v>
          </cell>
          <cell r="AW111">
            <v>3377000</v>
          </cell>
          <cell r="AX111">
            <v>103625000</v>
          </cell>
          <cell r="AY111">
            <v>3.2588661037394454E-2</v>
          </cell>
          <cell r="AZ111">
            <v>21289000</v>
          </cell>
          <cell r="BA111">
            <v>103625000</v>
          </cell>
          <cell r="BB111">
            <v>0.20544270205066345</v>
          </cell>
          <cell r="BC111">
            <v>12506000</v>
          </cell>
          <cell r="BD111">
            <v>103625000</v>
          </cell>
          <cell r="BE111">
            <v>0.12068516284680338</v>
          </cell>
          <cell r="BF111">
            <v>81164000</v>
          </cell>
          <cell r="BG111">
            <v>89317</v>
          </cell>
          <cell r="BH111">
            <v>908.71838507786867</v>
          </cell>
          <cell r="BI111">
            <v>24568000</v>
          </cell>
          <cell r="BJ111">
            <v>17271000</v>
          </cell>
          <cell r="BK111">
            <v>1.4225001447513173</v>
          </cell>
          <cell r="BL111">
            <v>16732000</v>
          </cell>
          <cell r="BM111">
            <v>112489000</v>
          </cell>
          <cell r="BN111">
            <v>0.14874343269119647</v>
          </cell>
          <cell r="BO111">
            <v>21758000</v>
          </cell>
          <cell r="BP111">
            <v>14110000</v>
          </cell>
          <cell r="BQ111">
            <v>1.5420269312544295</v>
          </cell>
          <cell r="BR111">
            <v>685</v>
          </cell>
          <cell r="BS111" t="str">
            <v>On Time</v>
          </cell>
          <cell r="BT111" t="str">
            <v>&lt;=2</v>
          </cell>
          <cell r="BU111" t="str">
            <v>On Time</v>
          </cell>
          <cell r="BV111">
            <v>1506000</v>
          </cell>
          <cell r="BW111">
            <v>89317</v>
          </cell>
          <cell r="BX111">
            <v>16.861291803352106</v>
          </cell>
          <cell r="BY111">
            <v>674705</v>
          </cell>
          <cell r="BZ111">
            <v>89317</v>
          </cell>
          <cell r="CA111">
            <v>7.5540490612089526</v>
          </cell>
          <cell r="CB111">
            <v>7389000</v>
          </cell>
          <cell r="CC111">
            <v>46553</v>
          </cell>
          <cell r="CD111">
            <v>158.72231649947372</v>
          </cell>
          <cell r="CE111">
            <v>3530817</v>
          </cell>
          <cell r="CF111">
            <v>44123</v>
          </cell>
          <cell r="CG111">
            <v>80.022142646692203</v>
          </cell>
          <cell r="CH111">
            <v>20323510</v>
          </cell>
          <cell r="CI111">
            <v>89317</v>
          </cell>
          <cell r="CJ111">
            <v>227.54358072931245</v>
          </cell>
          <cell r="CK111">
            <v>31892760</v>
          </cell>
          <cell r="CL111">
            <v>89317</v>
          </cell>
          <cell r="CM111">
            <v>357.07379334281268</v>
          </cell>
          <cell r="CN111">
            <v>260.78075057355301</v>
          </cell>
          <cell r="CO111">
            <v>281</v>
          </cell>
          <cell r="CP111">
            <v>493.527431552628</v>
          </cell>
          <cell r="CQ111">
            <v>354</v>
          </cell>
          <cell r="CR111">
            <v>3091</v>
          </cell>
          <cell r="CS111">
            <v>113749</v>
          </cell>
          <cell r="CT111">
            <v>3091</v>
          </cell>
          <cell r="CU111">
            <v>36.800064703979295</v>
          </cell>
          <cell r="CV111">
            <v>23</v>
          </cell>
          <cell r="CW111">
            <v>128000</v>
          </cell>
          <cell r="CX111">
            <v>4455000</v>
          </cell>
          <cell r="CY111">
            <v>2.8731762065095399E-2</v>
          </cell>
          <cell r="CZ111">
            <v>3748000</v>
          </cell>
          <cell r="DA111">
            <v>89317</v>
          </cell>
          <cell r="DB111">
            <v>41.962896201171112</v>
          </cell>
          <cell r="DC111">
            <v>3871000</v>
          </cell>
          <cell r="DD111">
            <v>89317</v>
          </cell>
          <cell r="DE111">
            <v>43.34001365921381</v>
          </cell>
          <cell r="DF111">
            <v>1939000</v>
          </cell>
          <cell r="DG111">
            <v>89317</v>
          </cell>
          <cell r="DH111">
            <v>21.709193098738201</v>
          </cell>
          <cell r="DI111">
            <v>4568</v>
          </cell>
          <cell r="DJ111">
            <v>19.552758318739055</v>
          </cell>
          <cell r="DK111">
            <v>2.0088683636175775E-2</v>
          </cell>
          <cell r="DL111">
            <v>3.6</v>
          </cell>
          <cell r="DM111">
            <v>4.41</v>
          </cell>
        </row>
        <row r="112">
          <cell r="B112" t="str">
            <v>Yarrowlumla Shire Council</v>
          </cell>
          <cell r="C112">
            <v>11</v>
          </cell>
          <cell r="D112">
            <v>1828000</v>
          </cell>
          <cell r="E112">
            <v>3954</v>
          </cell>
          <cell r="F112">
            <v>462.31664137582197</v>
          </cell>
          <cell r="G112">
            <v>749000</v>
          </cell>
          <cell r="H112">
            <v>574</v>
          </cell>
          <cell r="I112">
            <v>1304.8780487804879</v>
          </cell>
          <cell r="J112">
            <v>145000</v>
          </cell>
          <cell r="K112">
            <v>242</v>
          </cell>
          <cell r="L112">
            <v>599.17355371900828</v>
          </cell>
          <cell r="M112">
            <v>396000</v>
          </cell>
          <cell r="N112">
            <v>5628000</v>
          </cell>
          <cell r="O112">
            <v>7.0362473347547971E-2</v>
          </cell>
          <cell r="P112">
            <v>196000</v>
          </cell>
          <cell r="Q112">
            <v>3714000</v>
          </cell>
          <cell r="R112">
            <v>5.2773290253096392E-2</v>
          </cell>
          <cell r="S112">
            <v>272000</v>
          </cell>
          <cell r="T112">
            <v>1446000</v>
          </cell>
          <cell r="U112">
            <v>0.18810511756569848</v>
          </cell>
          <cell r="V112">
            <v>3910000</v>
          </cell>
          <cell r="W112">
            <v>12405000</v>
          </cell>
          <cell r="X112">
            <v>0.31519548569125355</v>
          </cell>
          <cell r="Y112">
            <v>1718000</v>
          </cell>
          <cell r="Z112">
            <v>12405000</v>
          </cell>
          <cell r="AA112">
            <v>0.13849254332930269</v>
          </cell>
          <cell r="AB112">
            <v>378000</v>
          </cell>
          <cell r="AC112">
            <v>12405000</v>
          </cell>
          <cell r="AD112">
            <v>3.0471584038694075E-2</v>
          </cell>
          <cell r="AE112">
            <v>3631000</v>
          </cell>
          <cell r="AF112">
            <v>12405000</v>
          </cell>
          <cell r="AG112">
            <v>0.29270455461507455</v>
          </cell>
          <cell r="AH112">
            <v>2749000</v>
          </cell>
          <cell r="AI112">
            <v>12405000</v>
          </cell>
          <cell r="AJ112">
            <v>0.22160419185812172</v>
          </cell>
          <cell r="AK112">
            <v>19000</v>
          </cell>
          <cell r="AL112">
            <v>12405000</v>
          </cell>
          <cell r="AM112">
            <v>1.5316404675534058E-3</v>
          </cell>
          <cell r="AN112">
            <v>8551000</v>
          </cell>
          <cell r="AO112">
            <v>10866</v>
          </cell>
          <cell r="AP112">
            <v>786.95011963924162</v>
          </cell>
          <cell r="AQ112">
            <v>3025000</v>
          </cell>
          <cell r="AR112">
            <v>9436000</v>
          </cell>
          <cell r="AS112">
            <v>0.32058075455701568</v>
          </cell>
          <cell r="AT112">
            <v>4130000</v>
          </cell>
          <cell r="AU112">
            <v>9436000</v>
          </cell>
          <cell r="AV112">
            <v>0.43768545994065283</v>
          </cell>
          <cell r="AW112">
            <v>149000</v>
          </cell>
          <cell r="AX112">
            <v>9436000</v>
          </cell>
          <cell r="AY112">
            <v>1.5790589232725732E-2</v>
          </cell>
          <cell r="AZ112">
            <v>1285000</v>
          </cell>
          <cell r="BA112">
            <v>9436000</v>
          </cell>
          <cell r="BB112">
            <v>0.13618058499364138</v>
          </cell>
          <cell r="BC112">
            <v>847000</v>
          </cell>
          <cell r="BD112">
            <v>9436000</v>
          </cell>
          <cell r="BE112">
            <v>8.9762611275964396E-2</v>
          </cell>
          <cell r="BF112">
            <v>8322000</v>
          </cell>
          <cell r="BG112">
            <v>10866</v>
          </cell>
          <cell r="BH112">
            <v>765.87520706791827</v>
          </cell>
          <cell r="BI112">
            <v>3550000</v>
          </cell>
          <cell r="BJ112">
            <v>1849000</v>
          </cell>
          <cell r="BK112">
            <v>1.9199567333693888</v>
          </cell>
          <cell r="BL112">
            <v>1010000</v>
          </cell>
          <cell r="BM112">
            <v>7350000</v>
          </cell>
          <cell r="BN112">
            <v>0.13741496598639455</v>
          </cell>
          <cell r="BO112">
            <v>2707000</v>
          </cell>
          <cell r="BP112">
            <v>1156000</v>
          </cell>
          <cell r="BQ112">
            <v>2.3416955017301038</v>
          </cell>
          <cell r="BR112">
            <v>56</v>
          </cell>
          <cell r="BS112" t="str">
            <v>Not Received</v>
          </cell>
          <cell r="BT112" t="str">
            <v>Not Received</v>
          </cell>
          <cell r="BU112" t="str">
            <v>&lt;=8</v>
          </cell>
          <cell r="BV112">
            <v>135000</v>
          </cell>
          <cell r="BW112">
            <v>10866</v>
          </cell>
          <cell r="BX112">
            <v>12.424075096631695</v>
          </cell>
          <cell r="BY112">
            <v>55092</v>
          </cell>
          <cell r="BZ112">
            <v>10866</v>
          </cell>
          <cell r="CA112">
            <v>5.0701270016565436</v>
          </cell>
          <cell r="CB112">
            <v>186000</v>
          </cell>
          <cell r="CC112">
            <v>879</v>
          </cell>
          <cell r="CD112">
            <v>211.60409556313994</v>
          </cell>
          <cell r="CE112">
            <v>48213</v>
          </cell>
          <cell r="CF112">
            <v>879</v>
          </cell>
          <cell r="CG112">
            <v>54.849829351535838</v>
          </cell>
          <cell r="CH112">
            <v>363135</v>
          </cell>
          <cell r="CI112">
            <v>10866</v>
          </cell>
          <cell r="CJ112">
            <v>33.419381557150743</v>
          </cell>
          <cell r="CK112">
            <v>598000</v>
          </cell>
          <cell r="CL112">
            <v>10866</v>
          </cell>
          <cell r="CM112">
            <v>55.034051168783364</v>
          </cell>
          <cell r="CN112">
            <v>434</v>
          </cell>
          <cell r="CO112">
            <v>439</v>
          </cell>
          <cell r="CP112">
            <v>527</v>
          </cell>
          <cell r="CQ112">
            <v>451</v>
          </cell>
          <cell r="CR112">
            <v>578</v>
          </cell>
          <cell r="CS112">
            <v>22542</v>
          </cell>
          <cell r="CT112">
            <v>578</v>
          </cell>
          <cell r="CU112">
            <v>39</v>
          </cell>
          <cell r="CV112">
            <v>34</v>
          </cell>
          <cell r="CW112">
            <v>27000</v>
          </cell>
          <cell r="CX112">
            <v>406000</v>
          </cell>
          <cell r="CY112">
            <v>6.6502463054187194E-2</v>
          </cell>
          <cell r="CZ112">
            <v>223000</v>
          </cell>
          <cell r="DA112">
            <v>10866</v>
          </cell>
          <cell r="DB112">
            <v>20.52273145591754</v>
          </cell>
          <cell r="DC112">
            <v>261000</v>
          </cell>
          <cell r="DD112">
            <v>10866</v>
          </cell>
          <cell r="DE112">
            <v>24.019878520154609</v>
          </cell>
          <cell r="DF112">
            <v>54000</v>
          </cell>
          <cell r="DG112">
            <v>10866</v>
          </cell>
          <cell r="DH112">
            <v>4.9696300386526779</v>
          </cell>
          <cell r="DI112">
            <v>2972.2</v>
          </cell>
          <cell r="DJ112">
            <v>3.6558778009555213</v>
          </cell>
          <cell r="DK112">
            <v>2.7579971995412622E-2</v>
          </cell>
          <cell r="DL112">
            <v>0.94</v>
          </cell>
          <cell r="DM112">
            <v>6.27</v>
          </cell>
        </row>
        <row r="113">
          <cell r="B113" t="str">
            <v>Scone Shire Council</v>
          </cell>
          <cell r="C113">
            <v>10</v>
          </cell>
          <cell r="D113">
            <v>1407000</v>
          </cell>
          <cell r="E113">
            <v>3052</v>
          </cell>
          <cell r="F113">
            <v>461.00917431192659</v>
          </cell>
          <cell r="G113">
            <v>1673000</v>
          </cell>
          <cell r="H113">
            <v>839</v>
          </cell>
          <cell r="I113">
            <v>1994.0405244338499</v>
          </cell>
          <cell r="J113">
            <v>333000</v>
          </cell>
          <cell r="K113">
            <v>364</v>
          </cell>
          <cell r="L113">
            <v>914.83516483516485</v>
          </cell>
          <cell r="M113">
            <v>1146000</v>
          </cell>
          <cell r="N113">
            <v>7497000</v>
          </cell>
          <cell r="O113">
            <v>0.15286114445778312</v>
          </cell>
          <cell r="P113">
            <v>298000</v>
          </cell>
          <cell r="Q113">
            <v>5031000</v>
          </cell>
          <cell r="R113">
            <v>5.9232756907175513E-2</v>
          </cell>
          <cell r="S113">
            <v>377000</v>
          </cell>
          <cell r="T113">
            <v>1791000</v>
          </cell>
          <cell r="U113">
            <v>0.21049692908989392</v>
          </cell>
          <cell r="V113">
            <v>5329000</v>
          </cell>
          <cell r="W113">
            <v>13250000</v>
          </cell>
          <cell r="X113">
            <v>0.40218867924528301</v>
          </cell>
          <cell r="Y113">
            <v>2168000</v>
          </cell>
          <cell r="Z113">
            <v>13250000</v>
          </cell>
          <cell r="AA113">
            <v>0.16362264150943395</v>
          </cell>
          <cell r="AB113">
            <v>422000</v>
          </cell>
          <cell r="AC113">
            <v>13250000</v>
          </cell>
          <cell r="AD113">
            <v>3.1849056603773587E-2</v>
          </cell>
          <cell r="AE113">
            <v>4273000</v>
          </cell>
          <cell r="AF113">
            <v>13250000</v>
          </cell>
          <cell r="AG113">
            <v>0.32249056603773585</v>
          </cell>
          <cell r="AH113">
            <v>757000</v>
          </cell>
          <cell r="AI113">
            <v>13250000</v>
          </cell>
          <cell r="AJ113">
            <v>5.7132075471698116E-2</v>
          </cell>
          <cell r="AK113">
            <v>301000</v>
          </cell>
          <cell r="AL113">
            <v>13250000</v>
          </cell>
          <cell r="AM113">
            <v>2.2716981132075473E-2</v>
          </cell>
          <cell r="AN113">
            <v>9814000</v>
          </cell>
          <cell r="AO113">
            <v>9910</v>
          </cell>
          <cell r="AP113">
            <v>990.31281533804236</v>
          </cell>
          <cell r="AQ113">
            <v>4448000</v>
          </cell>
          <cell r="AR113">
            <v>12039000</v>
          </cell>
          <cell r="AS113">
            <v>0.36946590248359501</v>
          </cell>
          <cell r="AT113">
            <v>3864000</v>
          </cell>
          <cell r="AU113">
            <v>12039000</v>
          </cell>
          <cell r="AV113">
            <v>0.32095689010715178</v>
          </cell>
          <cell r="AW113">
            <v>22000</v>
          </cell>
          <cell r="AX113">
            <v>12039000</v>
          </cell>
          <cell r="AY113">
            <v>1.8273943018523133E-3</v>
          </cell>
          <cell r="AZ113">
            <v>2367000</v>
          </cell>
          <cell r="BA113">
            <v>12039000</v>
          </cell>
          <cell r="BB113">
            <v>0.19661101420383753</v>
          </cell>
          <cell r="BC113">
            <v>1338000</v>
          </cell>
          <cell r="BD113">
            <v>12039000</v>
          </cell>
          <cell r="BE113">
            <v>0.11113879890356342</v>
          </cell>
          <cell r="BF113">
            <v>10011000</v>
          </cell>
          <cell r="BG113">
            <v>9910</v>
          </cell>
          <cell r="BH113">
            <v>1010.191725529768</v>
          </cell>
          <cell r="BI113">
            <v>3398000</v>
          </cell>
          <cell r="BJ113">
            <v>732000</v>
          </cell>
          <cell r="BK113">
            <v>4.6420765027322402</v>
          </cell>
          <cell r="BL113">
            <v>78000</v>
          </cell>
          <cell r="BM113">
            <v>10108000</v>
          </cell>
          <cell r="BN113">
            <v>7.7166600712307081E-3</v>
          </cell>
          <cell r="BO113">
            <v>1664000</v>
          </cell>
          <cell r="BP113">
            <v>1826000</v>
          </cell>
          <cell r="BQ113">
            <v>0.91128148959474264</v>
          </cell>
          <cell r="BR113">
            <v>95</v>
          </cell>
          <cell r="BS113" t="str">
            <v>On Time</v>
          </cell>
          <cell r="BT113" t="str">
            <v>On Time</v>
          </cell>
          <cell r="BU113" t="str">
            <v>On Time</v>
          </cell>
          <cell r="BV113">
            <v>215000</v>
          </cell>
          <cell r="BW113">
            <v>9910</v>
          </cell>
          <cell r="BX113">
            <v>21.695257315842582</v>
          </cell>
          <cell r="BY113">
            <v>44278</v>
          </cell>
          <cell r="BZ113">
            <v>9910</v>
          </cell>
          <cell r="CA113">
            <v>4.4680121089808278</v>
          </cell>
          <cell r="CB113">
            <v>450000</v>
          </cell>
          <cell r="CC113">
            <v>2860</v>
          </cell>
          <cell r="CD113">
            <v>157.34265734265733</v>
          </cell>
          <cell r="CE113">
            <v>510012</v>
          </cell>
          <cell r="CF113">
            <v>2860</v>
          </cell>
          <cell r="CG113">
            <v>178.32587412587412</v>
          </cell>
          <cell r="CH113">
            <v>1063360</v>
          </cell>
          <cell r="CI113">
            <v>9910</v>
          </cell>
          <cell r="CJ113">
            <v>107.30171543895055</v>
          </cell>
          <cell r="CK113">
            <v>3826480</v>
          </cell>
          <cell r="CL113">
            <v>9910</v>
          </cell>
          <cell r="CM113">
            <v>386.1231079717457</v>
          </cell>
          <cell r="CN113">
            <v>491.442339647724</v>
          </cell>
          <cell r="CO113">
            <v>381.39702471989398</v>
          </cell>
          <cell r="CP113">
            <v>308.625692429438</v>
          </cell>
          <cell r="CQ113">
            <v>366.92566566243602</v>
          </cell>
          <cell r="CR113">
            <v>202</v>
          </cell>
          <cell r="CS113">
            <v>8080</v>
          </cell>
          <cell r="CT113">
            <v>202</v>
          </cell>
          <cell r="CU113">
            <v>40</v>
          </cell>
          <cell r="CV113">
            <v>31</v>
          </cell>
          <cell r="CW113">
            <v>0</v>
          </cell>
          <cell r="CX113">
            <v>309000</v>
          </cell>
          <cell r="CY113">
            <v>0</v>
          </cell>
          <cell r="CZ113">
            <v>140000</v>
          </cell>
          <cell r="DA113">
            <v>9910</v>
          </cell>
          <cell r="DB113">
            <v>14.127144298688194</v>
          </cell>
          <cell r="DC113">
            <v>560000</v>
          </cell>
          <cell r="DD113">
            <v>9910</v>
          </cell>
          <cell r="DE113">
            <v>56.508577194752775</v>
          </cell>
          <cell r="DF113">
            <v>874000</v>
          </cell>
          <cell r="DG113">
            <v>9910</v>
          </cell>
          <cell r="DH113">
            <v>88.193743693239156</v>
          </cell>
          <cell r="DI113">
            <v>4041.1</v>
          </cell>
          <cell r="DJ113">
            <v>2.452302590878721</v>
          </cell>
          <cell r="DK113">
            <v>-4.6353231395135364E-4</v>
          </cell>
          <cell r="DL113">
            <v>2.44</v>
          </cell>
          <cell r="DM113">
            <v>1.45</v>
          </cell>
        </row>
        <row r="114">
          <cell r="B114" t="str">
            <v>Fairfield City Council</v>
          </cell>
          <cell r="C114">
            <v>3</v>
          </cell>
          <cell r="D114">
            <v>34612000</v>
          </cell>
          <cell r="E114">
            <v>54491</v>
          </cell>
          <cell r="F114">
            <v>635.18746214971281</v>
          </cell>
          <cell r="G114">
            <v>353000</v>
          </cell>
          <cell r="H114">
            <v>184</v>
          </cell>
          <cell r="I114">
            <v>1918.4782608695652</v>
          </cell>
          <cell r="J114">
            <v>11535000</v>
          </cell>
          <cell r="K114">
            <v>3772</v>
          </cell>
          <cell r="L114">
            <v>3058.0593849416755</v>
          </cell>
          <cell r="M114">
            <v>2723000</v>
          </cell>
          <cell r="N114">
            <v>72095000</v>
          </cell>
          <cell r="O114">
            <v>3.7769609542964142E-2</v>
          </cell>
          <cell r="P114">
            <v>2494000</v>
          </cell>
          <cell r="Q114">
            <v>55944000</v>
          </cell>
          <cell r="R114">
            <v>4.4580294580294583E-2</v>
          </cell>
          <cell r="S114">
            <v>-570000</v>
          </cell>
          <cell r="T114">
            <v>14227000</v>
          </cell>
          <cell r="U114">
            <v>-4.0064665776340762E-2</v>
          </cell>
          <cell r="V114">
            <v>58438000</v>
          </cell>
          <cell r="W114">
            <v>105685000</v>
          </cell>
          <cell r="X114">
            <v>0.55294507262146941</v>
          </cell>
          <cell r="Y114">
            <v>13657000</v>
          </cell>
          <cell r="Z114">
            <v>105685000</v>
          </cell>
          <cell r="AA114">
            <v>0.12922363627761746</v>
          </cell>
          <cell r="AB114">
            <v>3686000</v>
          </cell>
          <cell r="AC114">
            <v>105685000</v>
          </cell>
          <cell r="AD114">
            <v>3.4877229502767657E-2</v>
          </cell>
          <cell r="AE114">
            <v>21751000</v>
          </cell>
          <cell r="AF114">
            <v>105685000</v>
          </cell>
          <cell r="AG114">
            <v>0.20580971755689076</v>
          </cell>
          <cell r="AH114">
            <v>4298000</v>
          </cell>
          <cell r="AI114">
            <v>105685000</v>
          </cell>
          <cell r="AJ114">
            <v>4.0668022898235325E-2</v>
          </cell>
          <cell r="AK114">
            <v>3855000</v>
          </cell>
          <cell r="AL114">
            <v>105685000</v>
          </cell>
          <cell r="AM114">
            <v>3.6476321143019352E-2</v>
          </cell>
          <cell r="AN114">
            <v>101122000</v>
          </cell>
          <cell r="AO114">
            <v>188711</v>
          </cell>
          <cell r="AP114">
            <v>535.85641536529397</v>
          </cell>
          <cell r="AQ114">
            <v>41991000</v>
          </cell>
          <cell r="AR114">
            <v>104817000</v>
          </cell>
          <cell r="AS114">
            <v>0.40061249606456967</v>
          </cell>
          <cell r="AT114">
            <v>11970000</v>
          </cell>
          <cell r="AU114">
            <v>104817000</v>
          </cell>
          <cell r="AV114">
            <v>0.11419903259967372</v>
          </cell>
          <cell r="AW114">
            <v>1021000</v>
          </cell>
          <cell r="AX114">
            <v>104817000</v>
          </cell>
          <cell r="AY114">
            <v>9.7407863228293114E-3</v>
          </cell>
          <cell r="AZ114">
            <v>15045000</v>
          </cell>
          <cell r="BA114">
            <v>104817000</v>
          </cell>
          <cell r="BB114">
            <v>0.14353587681387561</v>
          </cell>
          <cell r="BC114">
            <v>34790000</v>
          </cell>
          <cell r="BD114">
            <v>104817000</v>
          </cell>
          <cell r="BE114">
            <v>0.33191180819905169</v>
          </cell>
          <cell r="BF114">
            <v>104817000</v>
          </cell>
          <cell r="BG114">
            <v>188711</v>
          </cell>
          <cell r="BH114">
            <v>555.43662001685118</v>
          </cell>
          <cell r="BI114">
            <v>46044000</v>
          </cell>
          <cell r="BJ114">
            <v>15645000</v>
          </cell>
          <cell r="BK114">
            <v>2.9430488974113134</v>
          </cell>
          <cell r="BL114">
            <v>4059000</v>
          </cell>
          <cell r="BM114">
            <v>92074000</v>
          </cell>
          <cell r="BN114">
            <v>4.4084106262354192E-2</v>
          </cell>
          <cell r="BO114">
            <v>10704000</v>
          </cell>
          <cell r="BP114">
            <v>15045000</v>
          </cell>
          <cell r="BQ114">
            <v>0.71146560319042873</v>
          </cell>
          <cell r="BR114">
            <v>670</v>
          </cell>
          <cell r="BS114" t="str">
            <v>&lt;=2</v>
          </cell>
          <cell r="BT114" t="str">
            <v>On Time</v>
          </cell>
          <cell r="BU114" t="str">
            <v>On Time</v>
          </cell>
          <cell r="BV114">
            <v>4777000</v>
          </cell>
          <cell r="BW114">
            <v>188711</v>
          </cell>
          <cell r="BX114">
            <v>25.313839680781726</v>
          </cell>
          <cell r="BY114">
            <v>973100</v>
          </cell>
          <cell r="BZ114">
            <v>188711</v>
          </cell>
          <cell r="CA114">
            <v>5.1565621505900561</v>
          </cell>
          <cell r="CB114">
            <v>11978000</v>
          </cell>
          <cell r="CC114">
            <v>57424</v>
          </cell>
          <cell r="CD114">
            <v>208.58874338255782</v>
          </cell>
          <cell r="CE114">
            <v>7326000</v>
          </cell>
          <cell r="CF114">
            <v>61424</v>
          </cell>
          <cell r="CG114">
            <v>119.26934097421203</v>
          </cell>
          <cell r="CH114">
            <v>10204000</v>
          </cell>
          <cell r="CI114">
            <v>188711</v>
          </cell>
          <cell r="CJ114">
            <v>54.072099665626276</v>
          </cell>
          <cell r="CK114">
            <v>73575000</v>
          </cell>
          <cell r="CL114">
            <v>188711</v>
          </cell>
          <cell r="CM114">
            <v>389.88188287911146</v>
          </cell>
          <cell r="CN114" t="str">
            <v>N/A</v>
          </cell>
          <cell r="CO114" t="str">
            <v>N/A</v>
          </cell>
          <cell r="CP114" t="str">
            <v>N/A</v>
          </cell>
          <cell r="CQ114" t="str">
            <v>N/A</v>
          </cell>
          <cell r="CR114">
            <v>2343</v>
          </cell>
          <cell r="CS114">
            <v>93813</v>
          </cell>
          <cell r="CT114">
            <v>2343</v>
          </cell>
          <cell r="CU114">
            <v>40.039692701664535</v>
          </cell>
          <cell r="CV114">
            <v>23</v>
          </cell>
          <cell r="CW114">
            <v>145000</v>
          </cell>
          <cell r="CX114">
            <v>3448000</v>
          </cell>
          <cell r="CY114">
            <v>4.2053364269141531E-2</v>
          </cell>
          <cell r="CZ114">
            <v>2771000</v>
          </cell>
          <cell r="DA114">
            <v>188711</v>
          </cell>
          <cell r="DB114">
            <v>14.683828711627832</v>
          </cell>
          <cell r="DC114">
            <v>3008000</v>
          </cell>
          <cell r="DD114">
            <v>188711</v>
          </cell>
          <cell r="DE114">
            <v>15.93971734557074</v>
          </cell>
          <cell r="DF114">
            <v>11585000</v>
          </cell>
          <cell r="DG114">
            <v>188711</v>
          </cell>
          <cell r="DH114">
            <v>61.390168034719757</v>
          </cell>
          <cell r="DI114">
            <v>101.7</v>
          </cell>
          <cell r="DJ114">
            <v>1855.5653883972468</v>
          </cell>
          <cell r="DK114">
            <v>-6.3151531432026342E-4</v>
          </cell>
          <cell r="DL114">
            <v>0.61</v>
          </cell>
          <cell r="DM114">
            <v>48.91</v>
          </cell>
        </row>
        <row r="115">
          <cell r="B115" t="str">
            <v>Gosford City Council</v>
          </cell>
          <cell r="C115">
            <v>7</v>
          </cell>
          <cell r="D115">
            <v>35296000</v>
          </cell>
          <cell r="E115">
            <v>63771</v>
          </cell>
          <cell r="F115">
            <v>553.48042213545341</v>
          </cell>
          <cell r="G115">
            <v>221000</v>
          </cell>
          <cell r="H115">
            <v>327</v>
          </cell>
          <cell r="I115">
            <v>675.84097859327221</v>
          </cell>
          <cell r="J115">
            <v>5067000</v>
          </cell>
          <cell r="K115">
            <v>2675</v>
          </cell>
          <cell r="L115">
            <v>1894.2056074766356</v>
          </cell>
          <cell r="M115">
            <v>10981000</v>
          </cell>
          <cell r="N115">
            <v>116983000</v>
          </cell>
          <cell r="O115">
            <v>9.3868339844250873E-2</v>
          </cell>
          <cell r="P115">
            <v>4376000</v>
          </cell>
          <cell r="Q115">
            <v>84084000</v>
          </cell>
          <cell r="R115">
            <v>5.2043194900337757E-2</v>
          </cell>
          <cell r="S115">
            <v>2265000</v>
          </cell>
          <cell r="T115">
            <v>26258000</v>
          </cell>
          <cell r="U115">
            <v>8.6259425698834644E-2</v>
          </cell>
          <cell r="V115">
            <v>88460000</v>
          </cell>
          <cell r="W115">
            <v>165390000</v>
          </cell>
          <cell r="X115">
            <v>0.53485700465566233</v>
          </cell>
          <cell r="Y115">
            <v>28523000</v>
          </cell>
          <cell r="Z115">
            <v>165390000</v>
          </cell>
          <cell r="AA115">
            <v>0.17245903621742548</v>
          </cell>
          <cell r="AB115">
            <v>5222000</v>
          </cell>
          <cell r="AC115">
            <v>165390000</v>
          </cell>
          <cell r="AD115">
            <v>3.157385573492956E-2</v>
          </cell>
          <cell r="AE115">
            <v>24076000</v>
          </cell>
          <cell r="AF115">
            <v>165390000</v>
          </cell>
          <cell r="AG115">
            <v>0.14557107443013484</v>
          </cell>
          <cell r="AH115">
            <v>14327000</v>
          </cell>
          <cell r="AI115">
            <v>165390000</v>
          </cell>
          <cell r="AJ115">
            <v>8.6625551726222869E-2</v>
          </cell>
          <cell r="AK115">
            <v>4782000</v>
          </cell>
          <cell r="AL115">
            <v>165390000</v>
          </cell>
          <cell r="AM115">
            <v>2.8913477235624888E-2</v>
          </cell>
          <cell r="AN115">
            <v>107475000</v>
          </cell>
          <cell r="AO115">
            <v>162031</v>
          </cell>
          <cell r="AP115">
            <v>663.29899833982381</v>
          </cell>
          <cell r="AQ115">
            <v>51283000</v>
          </cell>
          <cell r="AR115">
            <v>137024000</v>
          </cell>
          <cell r="AS115">
            <v>0.37426290284913594</v>
          </cell>
          <cell r="AT115">
            <v>37772000</v>
          </cell>
          <cell r="AU115">
            <v>137024000</v>
          </cell>
          <cell r="AV115">
            <v>0.27565973843998132</v>
          </cell>
          <cell r="AW115">
            <v>3042000</v>
          </cell>
          <cell r="AX115">
            <v>137024000</v>
          </cell>
          <cell r="AY115">
            <v>2.2200490425035031E-2</v>
          </cell>
          <cell r="AZ115">
            <v>28878000</v>
          </cell>
          <cell r="BA115">
            <v>137024000</v>
          </cell>
          <cell r="BB115">
            <v>0.21075140121438579</v>
          </cell>
          <cell r="BC115">
            <v>16049000</v>
          </cell>
          <cell r="BD115">
            <v>137024000</v>
          </cell>
          <cell r="BE115">
            <v>0.11712546707146193</v>
          </cell>
          <cell r="BF115">
            <v>101310000</v>
          </cell>
          <cell r="BG115">
            <v>162031</v>
          </cell>
          <cell r="BH115">
            <v>625.25072362696028</v>
          </cell>
          <cell r="BI115">
            <v>25689000</v>
          </cell>
          <cell r="BJ115">
            <v>16143000</v>
          </cell>
          <cell r="BK115">
            <v>1.5913398996469057</v>
          </cell>
          <cell r="BL115">
            <v>20394000</v>
          </cell>
          <cell r="BM115">
            <v>137889000</v>
          </cell>
          <cell r="BN115">
            <v>0.14790157300437309</v>
          </cell>
          <cell r="BO115">
            <v>22925000</v>
          </cell>
          <cell r="BP115">
            <v>19340000</v>
          </cell>
          <cell r="BQ115">
            <v>1.1853671147880041</v>
          </cell>
          <cell r="BR115">
            <v>967</v>
          </cell>
          <cell r="BS115" t="str">
            <v>On Time</v>
          </cell>
          <cell r="BT115" t="str">
            <v>On Time</v>
          </cell>
          <cell r="BU115" t="str">
            <v>On Time</v>
          </cell>
          <cell r="BV115">
            <v>3763000</v>
          </cell>
          <cell r="BW115">
            <v>162031</v>
          </cell>
          <cell r="BX115">
            <v>23.223950972344799</v>
          </cell>
          <cell r="BY115">
            <v>841902</v>
          </cell>
          <cell r="BZ115">
            <v>162031</v>
          </cell>
          <cell r="CA115">
            <v>5.1959316427103452</v>
          </cell>
          <cell r="CB115">
            <v>12967000</v>
          </cell>
          <cell r="CC115">
            <v>61308</v>
          </cell>
          <cell r="CD115">
            <v>211.50583936843478</v>
          </cell>
          <cell r="CE115">
            <v>10492727</v>
          </cell>
          <cell r="CF115">
            <v>64639</v>
          </cell>
          <cell r="CG115">
            <v>162.32811460573339</v>
          </cell>
          <cell r="CH115">
            <v>37015430</v>
          </cell>
          <cell r="CI115">
            <v>162031</v>
          </cell>
          <cell r="CJ115">
            <v>228.44659355308553</v>
          </cell>
          <cell r="CK115">
            <v>37600480</v>
          </cell>
          <cell r="CL115">
            <v>162031</v>
          </cell>
          <cell r="CM115">
            <v>232.05732236423893</v>
          </cell>
          <cell r="CN115">
            <v>199.09167339806501</v>
          </cell>
          <cell r="CO115">
            <v>276</v>
          </cell>
          <cell r="CP115">
            <v>314.61552517483699</v>
          </cell>
          <cell r="CQ115">
            <v>335</v>
          </cell>
          <cell r="CR115">
            <v>4101</v>
          </cell>
          <cell r="CS115">
            <v>164745</v>
          </cell>
          <cell r="CT115">
            <v>4101</v>
          </cell>
          <cell r="CU115">
            <v>40.17190929041697</v>
          </cell>
          <cell r="CV115">
            <v>39.799999999999997</v>
          </cell>
          <cell r="CW115">
            <v>1166000</v>
          </cell>
          <cell r="CX115">
            <v>7110000</v>
          </cell>
          <cell r="CY115">
            <v>0.16399437412095641</v>
          </cell>
          <cell r="CZ115">
            <v>1803000</v>
          </cell>
          <cell r="DA115">
            <v>162031</v>
          </cell>
          <cell r="DB115">
            <v>11.12750029315378</v>
          </cell>
          <cell r="DC115">
            <v>6529000</v>
          </cell>
          <cell r="DD115">
            <v>162031</v>
          </cell>
          <cell r="DE115">
            <v>40.294758410427633</v>
          </cell>
          <cell r="DF115">
            <v>7772000</v>
          </cell>
          <cell r="DG115">
            <v>162031</v>
          </cell>
          <cell r="DH115">
            <v>47.966129938098263</v>
          </cell>
          <cell r="DI115">
            <v>940.2</v>
          </cell>
          <cell r="DJ115">
            <v>172.33673686449691</v>
          </cell>
          <cell r="DK115">
            <v>1.2040521494707024E-2</v>
          </cell>
          <cell r="DL115">
            <v>1.39</v>
          </cell>
          <cell r="DM115">
            <v>4.68</v>
          </cell>
        </row>
        <row r="116">
          <cell r="B116" t="str">
            <v>Tweed Shire Council</v>
          </cell>
          <cell r="C116">
            <v>5</v>
          </cell>
          <cell r="D116">
            <v>17143000</v>
          </cell>
          <cell r="E116">
            <v>29870</v>
          </cell>
          <cell r="F116">
            <v>573.92032139270168</v>
          </cell>
          <cell r="G116">
            <v>1548000</v>
          </cell>
          <cell r="H116">
            <v>1515</v>
          </cell>
          <cell r="I116">
            <v>1021.7821782178218</v>
          </cell>
          <cell r="J116">
            <v>2426000</v>
          </cell>
          <cell r="K116">
            <v>1368</v>
          </cell>
          <cell r="L116">
            <v>1773.3918128654971</v>
          </cell>
          <cell r="M116">
            <v>5266000</v>
          </cell>
          <cell r="N116">
            <v>53437000</v>
          </cell>
          <cell r="O116">
            <v>9.8545951307146731E-2</v>
          </cell>
          <cell r="P116">
            <v>-1009000</v>
          </cell>
          <cell r="Q116">
            <v>40047000</v>
          </cell>
          <cell r="R116">
            <v>-2.5195395410392788E-2</v>
          </cell>
          <cell r="S116">
            <v>1975000</v>
          </cell>
          <cell r="T116">
            <v>12424000</v>
          </cell>
          <cell r="U116">
            <v>0.15896651641983259</v>
          </cell>
          <cell r="V116">
            <v>39038000</v>
          </cell>
          <cell r="W116">
            <v>162473000</v>
          </cell>
          <cell r="X116">
            <v>0.24027376856462304</v>
          </cell>
          <cell r="Y116">
            <v>14399000</v>
          </cell>
          <cell r="Z116">
            <v>162473000</v>
          </cell>
          <cell r="AA116">
            <v>8.8623955980378283E-2</v>
          </cell>
          <cell r="AB116">
            <v>6575000</v>
          </cell>
          <cell r="AC116">
            <v>162473000</v>
          </cell>
          <cell r="AD116">
            <v>4.0468262418986538E-2</v>
          </cell>
          <cell r="AE116">
            <v>13046000</v>
          </cell>
          <cell r="AF116">
            <v>162473000</v>
          </cell>
          <cell r="AG116">
            <v>8.0296418481840062E-2</v>
          </cell>
          <cell r="AH116">
            <v>88910000</v>
          </cell>
          <cell r="AI116">
            <v>162473000</v>
          </cell>
          <cell r="AJ116">
            <v>0.54722938580564151</v>
          </cell>
          <cell r="AK116">
            <v>505000</v>
          </cell>
          <cell r="AL116">
            <v>162473000</v>
          </cell>
          <cell r="AM116">
            <v>3.1082087485305252E-3</v>
          </cell>
          <cell r="AN116">
            <v>49951000</v>
          </cell>
          <cell r="AO116">
            <v>76158</v>
          </cell>
          <cell r="AP116">
            <v>655.88644659786235</v>
          </cell>
          <cell r="AQ116">
            <v>23285000</v>
          </cell>
          <cell r="AR116">
            <v>69644000</v>
          </cell>
          <cell r="AS116">
            <v>0.33434323129056343</v>
          </cell>
          <cell r="AT116">
            <v>15994000</v>
          </cell>
          <cell r="AU116">
            <v>69644000</v>
          </cell>
          <cell r="AV116">
            <v>0.22965366722187122</v>
          </cell>
          <cell r="AW116">
            <v>2643000</v>
          </cell>
          <cell r="AX116">
            <v>69644000</v>
          </cell>
          <cell r="AY116">
            <v>3.7950146459135033E-2</v>
          </cell>
          <cell r="AZ116">
            <v>19977000</v>
          </cell>
          <cell r="BA116">
            <v>69644000</v>
          </cell>
          <cell r="BB116">
            <v>0.28684452357704898</v>
          </cell>
          <cell r="BC116">
            <v>7745000</v>
          </cell>
          <cell r="BD116">
            <v>69644000</v>
          </cell>
          <cell r="BE116">
            <v>0.1112084314513813</v>
          </cell>
          <cell r="BF116">
            <v>54277000</v>
          </cell>
          <cell r="BG116">
            <v>76158</v>
          </cell>
          <cell r="BH116">
            <v>712.68940886052678</v>
          </cell>
          <cell r="BI116">
            <v>24587000</v>
          </cell>
          <cell r="BJ116">
            <v>9831000</v>
          </cell>
          <cell r="BK116">
            <v>2.5009663309937951</v>
          </cell>
          <cell r="BL116">
            <v>6717000</v>
          </cell>
          <cell r="BM116">
            <v>67692000</v>
          </cell>
          <cell r="BN116">
            <v>9.9228860131182414E-2</v>
          </cell>
          <cell r="BO116">
            <v>141172000</v>
          </cell>
          <cell r="BP116">
            <v>13525000</v>
          </cell>
          <cell r="BQ116">
            <v>10.437855822550832</v>
          </cell>
          <cell r="BR116">
            <v>507</v>
          </cell>
          <cell r="BS116" t="str">
            <v>On Time</v>
          </cell>
          <cell r="BT116" t="str">
            <v>On Time</v>
          </cell>
          <cell r="BU116" t="str">
            <v>On Time</v>
          </cell>
          <cell r="BV116">
            <v>1410000</v>
          </cell>
          <cell r="BW116">
            <v>76158</v>
          </cell>
          <cell r="BX116">
            <v>18.514141652879541</v>
          </cell>
          <cell r="BY116">
            <v>505590</v>
          </cell>
          <cell r="BZ116">
            <v>76158</v>
          </cell>
          <cell r="CA116">
            <v>6.6386984952335935</v>
          </cell>
          <cell r="CB116">
            <v>4581000</v>
          </cell>
          <cell r="CC116">
            <v>30081</v>
          </cell>
          <cell r="CD116">
            <v>152.28882018549916</v>
          </cell>
          <cell r="CE116">
            <v>3463000</v>
          </cell>
          <cell r="CF116">
            <v>27713</v>
          </cell>
          <cell r="CG116">
            <v>124.95940533323711</v>
          </cell>
          <cell r="CH116">
            <v>4359430</v>
          </cell>
          <cell r="CI116">
            <v>76158</v>
          </cell>
          <cell r="CJ116">
            <v>57.241918117597628</v>
          </cell>
          <cell r="CK116">
            <v>22552050</v>
          </cell>
          <cell r="CL116">
            <v>76158</v>
          </cell>
          <cell r="CM116">
            <v>296.12187820058301</v>
          </cell>
          <cell r="CN116">
            <v>238.505706297372</v>
          </cell>
          <cell r="CO116">
            <v>324.07487525597799</v>
          </cell>
          <cell r="CP116">
            <v>409.88279933285997</v>
          </cell>
          <cell r="CQ116">
            <v>394.57214383249902</v>
          </cell>
          <cell r="CR116">
            <v>2178</v>
          </cell>
          <cell r="CS116">
            <v>87796</v>
          </cell>
          <cell r="CT116">
            <v>2178</v>
          </cell>
          <cell r="CU116">
            <v>40.310376492194671</v>
          </cell>
          <cell r="CV116">
            <v>25</v>
          </cell>
          <cell r="CW116">
            <v>237000</v>
          </cell>
          <cell r="CX116">
            <v>2845000</v>
          </cell>
          <cell r="CY116">
            <v>8.3304042179261864E-2</v>
          </cell>
          <cell r="CZ116">
            <v>1648000</v>
          </cell>
          <cell r="DA116">
            <v>76158</v>
          </cell>
          <cell r="DB116">
            <v>21.639223719110269</v>
          </cell>
          <cell r="DC116">
            <v>3629000</v>
          </cell>
          <cell r="DD116">
            <v>76158</v>
          </cell>
          <cell r="DE116">
            <v>47.650936211560179</v>
          </cell>
          <cell r="DF116">
            <v>801000</v>
          </cell>
          <cell r="DG116">
            <v>76158</v>
          </cell>
          <cell r="DH116">
            <v>10.517608130465611</v>
          </cell>
          <cell r="DI116">
            <v>1309</v>
          </cell>
          <cell r="DJ116">
            <v>58.180290297937354</v>
          </cell>
          <cell r="DK116">
            <v>2.4901277908925934E-2</v>
          </cell>
          <cell r="DL116">
            <v>2.6</v>
          </cell>
          <cell r="DM116">
            <v>3.9</v>
          </cell>
        </row>
        <row r="117">
          <cell r="B117" t="str">
            <v>Auburn Council</v>
          </cell>
          <cell r="C117">
            <v>2</v>
          </cell>
          <cell r="D117">
            <v>7974000</v>
          </cell>
          <cell r="E117">
            <v>17870</v>
          </cell>
          <cell r="F117">
            <v>446.22271964185785</v>
          </cell>
          <cell r="G117">
            <v>0</v>
          </cell>
          <cell r="H117">
            <v>0</v>
          </cell>
          <cell r="I117" t="str">
            <v>N/A</v>
          </cell>
          <cell r="J117">
            <v>9774000</v>
          </cell>
          <cell r="K117">
            <v>1893</v>
          </cell>
          <cell r="L117">
            <v>5163.2329635499209</v>
          </cell>
          <cell r="M117">
            <v>2404000</v>
          </cell>
          <cell r="N117">
            <v>26157000</v>
          </cell>
          <cell r="O117">
            <v>9.1906564208433683E-2</v>
          </cell>
          <cell r="P117">
            <v>1441000</v>
          </cell>
          <cell r="Q117">
            <v>20251000</v>
          </cell>
          <cell r="R117">
            <v>7.1156979902227052E-2</v>
          </cell>
          <cell r="S117">
            <v>-150000</v>
          </cell>
          <cell r="T117">
            <v>4615000</v>
          </cell>
          <cell r="U117">
            <v>-3.2502708559046585E-2</v>
          </cell>
          <cell r="V117">
            <v>21692000</v>
          </cell>
          <cell r="W117">
            <v>35232000</v>
          </cell>
          <cell r="X117">
            <v>0.61569028156221617</v>
          </cell>
          <cell r="Y117">
            <v>4465000</v>
          </cell>
          <cell r="Z117">
            <v>35232000</v>
          </cell>
          <cell r="AA117">
            <v>0.12673138056312444</v>
          </cell>
          <cell r="AB117">
            <v>1417000</v>
          </cell>
          <cell r="AC117">
            <v>35232000</v>
          </cell>
          <cell r="AD117">
            <v>4.0219118982742962E-2</v>
          </cell>
          <cell r="AE117">
            <v>3425000</v>
          </cell>
          <cell r="AF117">
            <v>35232000</v>
          </cell>
          <cell r="AG117">
            <v>9.7212761126248867E-2</v>
          </cell>
          <cell r="AH117">
            <v>3564000</v>
          </cell>
          <cell r="AI117">
            <v>35232000</v>
          </cell>
          <cell r="AJ117">
            <v>0.10115803814713896</v>
          </cell>
          <cell r="AK117">
            <v>669000</v>
          </cell>
          <cell r="AL117">
            <v>35232000</v>
          </cell>
          <cell r="AM117">
            <v>1.898841961852861E-2</v>
          </cell>
          <cell r="AN117">
            <v>31707000</v>
          </cell>
          <cell r="AO117">
            <v>60078</v>
          </cell>
          <cell r="AP117">
            <v>527.76390692100267</v>
          </cell>
          <cell r="AQ117">
            <v>12957000</v>
          </cell>
          <cell r="AR117">
            <v>29221000</v>
          </cell>
          <cell r="AS117">
            <v>0.44341398309434993</v>
          </cell>
          <cell r="AT117">
            <v>6283000</v>
          </cell>
          <cell r="AU117">
            <v>29221000</v>
          </cell>
          <cell r="AV117">
            <v>0.2150165976523733</v>
          </cell>
          <cell r="AW117">
            <v>410000</v>
          </cell>
          <cell r="AX117">
            <v>29221000</v>
          </cell>
          <cell r="AY117">
            <v>1.4031005099072584E-2</v>
          </cell>
          <cell r="AZ117">
            <v>4207000</v>
          </cell>
          <cell r="BA117">
            <v>29221000</v>
          </cell>
          <cell r="BB117">
            <v>0.14397180110194724</v>
          </cell>
          <cell r="BC117">
            <v>5364000</v>
          </cell>
          <cell r="BD117">
            <v>29221000</v>
          </cell>
          <cell r="BE117">
            <v>0.18356661305225694</v>
          </cell>
          <cell r="BF117">
            <v>29241000</v>
          </cell>
          <cell r="BG117">
            <v>60078</v>
          </cell>
          <cell r="BH117">
            <v>486.71726755218214</v>
          </cell>
          <cell r="BI117">
            <v>17836000</v>
          </cell>
          <cell r="BJ117">
            <v>4979000</v>
          </cell>
          <cell r="BK117">
            <v>3.5822454308093996</v>
          </cell>
          <cell r="BL117">
            <v>944000</v>
          </cell>
          <cell r="BM117">
            <v>30030000</v>
          </cell>
          <cell r="BN117">
            <v>3.1435231435231435E-2</v>
          </cell>
          <cell r="BO117">
            <v>4730000</v>
          </cell>
          <cell r="BP117">
            <v>4207000</v>
          </cell>
          <cell r="BQ117">
            <v>1.1243166151652009</v>
          </cell>
          <cell r="BR117">
            <v>232</v>
          </cell>
          <cell r="BS117" t="str">
            <v>On Time</v>
          </cell>
          <cell r="BT117" t="str">
            <v>&lt;=4</v>
          </cell>
          <cell r="BU117" t="str">
            <v>On Time</v>
          </cell>
          <cell r="BV117">
            <v>1711000</v>
          </cell>
          <cell r="BW117">
            <v>60078</v>
          </cell>
          <cell r="BX117">
            <v>28.479643130596891</v>
          </cell>
          <cell r="BY117">
            <v>351461</v>
          </cell>
          <cell r="BZ117">
            <v>60078</v>
          </cell>
          <cell r="CA117">
            <v>5.8500782316322111</v>
          </cell>
          <cell r="CB117">
            <v>3945000</v>
          </cell>
          <cell r="CC117">
            <v>17654</v>
          </cell>
          <cell r="CD117">
            <v>223.46210490540386</v>
          </cell>
          <cell r="CE117">
            <v>1637109</v>
          </cell>
          <cell r="CF117">
            <v>17654</v>
          </cell>
          <cell r="CG117">
            <v>92.733035006230878</v>
          </cell>
          <cell r="CH117">
            <v>4414020</v>
          </cell>
          <cell r="CI117">
            <v>60078</v>
          </cell>
          <cell r="CJ117">
            <v>73.47148706681314</v>
          </cell>
          <cell r="CK117">
            <v>18669540</v>
          </cell>
          <cell r="CL117">
            <v>60078</v>
          </cell>
          <cell r="CM117">
            <v>310.75501847598122</v>
          </cell>
          <cell r="CN117" t="str">
            <v>N/A</v>
          </cell>
          <cell r="CO117" t="str">
            <v>N/A</v>
          </cell>
          <cell r="CP117" t="str">
            <v>N/A</v>
          </cell>
          <cell r="CQ117" t="str">
            <v>N/A</v>
          </cell>
          <cell r="CR117">
            <v>518</v>
          </cell>
          <cell r="CS117">
            <v>21086</v>
          </cell>
          <cell r="CT117">
            <v>518</v>
          </cell>
          <cell r="CU117">
            <v>40.706563706563706</v>
          </cell>
          <cell r="CV117">
            <v>34</v>
          </cell>
          <cell r="CW117">
            <v>156000</v>
          </cell>
          <cell r="CX117">
            <v>2115000</v>
          </cell>
          <cell r="CY117">
            <v>7.3758865248226946E-2</v>
          </cell>
          <cell r="CZ117">
            <v>195000</v>
          </cell>
          <cell r="DA117">
            <v>60078</v>
          </cell>
          <cell r="DB117">
            <v>3.2457804853690204</v>
          </cell>
          <cell r="DC117">
            <v>3738000</v>
          </cell>
          <cell r="DD117">
            <v>60078</v>
          </cell>
          <cell r="DE117">
            <v>62.219115150304603</v>
          </cell>
          <cell r="DF117">
            <v>1506000</v>
          </cell>
          <cell r="DG117">
            <v>60078</v>
          </cell>
          <cell r="DH117">
            <v>25.067412363926895</v>
          </cell>
          <cell r="DI117">
            <v>32.4</v>
          </cell>
          <cell r="DJ117">
            <v>1854.2592592592594</v>
          </cell>
          <cell r="DK117">
            <v>2.0945480778181036E-2</v>
          </cell>
          <cell r="DL117">
            <v>0.81</v>
          </cell>
          <cell r="DM117">
            <v>48.49</v>
          </cell>
        </row>
        <row r="118">
          <cell r="B118" t="str">
            <v>Maitland City Council</v>
          </cell>
          <cell r="C118">
            <v>4</v>
          </cell>
          <cell r="D118">
            <v>12221000</v>
          </cell>
          <cell r="E118">
            <v>20449</v>
          </cell>
          <cell r="F118">
            <v>597.63313609467457</v>
          </cell>
          <cell r="G118">
            <v>1097000</v>
          </cell>
          <cell r="H118">
            <v>689</v>
          </cell>
          <cell r="I118">
            <v>1592.1625544267054</v>
          </cell>
          <cell r="J118">
            <v>4075000</v>
          </cell>
          <cell r="K118">
            <v>1381</v>
          </cell>
          <cell r="L118">
            <v>2950.7603186097031</v>
          </cell>
          <cell r="M118">
            <v>2621000</v>
          </cell>
          <cell r="N118">
            <v>26958000</v>
          </cell>
          <cell r="O118">
            <v>9.7225313450552714E-2</v>
          </cell>
          <cell r="P118">
            <v>1523000</v>
          </cell>
          <cell r="Q118">
            <v>19804000</v>
          </cell>
          <cell r="R118">
            <v>7.6903655827105635E-2</v>
          </cell>
          <cell r="S118">
            <v>908000</v>
          </cell>
          <cell r="T118">
            <v>4723000</v>
          </cell>
          <cell r="U118">
            <v>0.19225068812195639</v>
          </cell>
          <cell r="V118">
            <v>21327000</v>
          </cell>
          <cell r="W118">
            <v>48539000</v>
          </cell>
          <cell r="X118">
            <v>0.43937864397700815</v>
          </cell>
          <cell r="Y118">
            <v>5631000</v>
          </cell>
          <cell r="Z118">
            <v>48539000</v>
          </cell>
          <cell r="AA118">
            <v>0.11600980654731247</v>
          </cell>
          <cell r="AB118">
            <v>1128000</v>
          </cell>
          <cell r="AC118">
            <v>48539000</v>
          </cell>
          <cell r="AD118">
            <v>2.3239044891736543E-2</v>
          </cell>
          <cell r="AE118">
            <v>6405000</v>
          </cell>
          <cell r="AF118">
            <v>48539000</v>
          </cell>
          <cell r="AG118">
            <v>0.13195574692515297</v>
          </cell>
          <cell r="AH118">
            <v>13491000</v>
          </cell>
          <cell r="AI118">
            <v>48539000</v>
          </cell>
          <cell r="AJ118">
            <v>0.27794144914398733</v>
          </cell>
          <cell r="AK118">
            <v>557000</v>
          </cell>
          <cell r="AL118">
            <v>48539000</v>
          </cell>
          <cell r="AM118">
            <v>1.1475308514802531E-2</v>
          </cell>
          <cell r="AN118">
            <v>34589000</v>
          </cell>
          <cell r="AO118">
            <v>57728</v>
          </cell>
          <cell r="AP118">
            <v>599.17197893569846</v>
          </cell>
          <cell r="AQ118">
            <v>14312000</v>
          </cell>
          <cell r="AR118">
            <v>33966000</v>
          </cell>
          <cell r="AS118">
            <v>0.42136253900959786</v>
          </cell>
          <cell r="AT118">
            <v>9103000</v>
          </cell>
          <cell r="AU118">
            <v>33966000</v>
          </cell>
          <cell r="AV118">
            <v>0.26800329741506212</v>
          </cell>
          <cell r="AW118">
            <v>383000</v>
          </cell>
          <cell r="AX118">
            <v>33966000</v>
          </cell>
          <cell r="AY118">
            <v>1.1275981864217159E-2</v>
          </cell>
          <cell r="AZ118">
            <v>5655000</v>
          </cell>
          <cell r="BA118">
            <v>33966000</v>
          </cell>
          <cell r="BB118">
            <v>0.1664900194311959</v>
          </cell>
          <cell r="BC118">
            <v>4513000</v>
          </cell>
          <cell r="BD118">
            <v>33966000</v>
          </cell>
          <cell r="BE118">
            <v>0.13286816227992698</v>
          </cell>
          <cell r="BF118">
            <v>33966000</v>
          </cell>
          <cell r="BG118">
            <v>57728</v>
          </cell>
          <cell r="BH118">
            <v>588.37998891352549</v>
          </cell>
          <cell r="BI118">
            <v>11341000</v>
          </cell>
          <cell r="BJ118">
            <v>5841000</v>
          </cell>
          <cell r="BK118">
            <v>1.9416195856873824</v>
          </cell>
          <cell r="BL118">
            <v>1519000</v>
          </cell>
          <cell r="BM118">
            <v>32957000</v>
          </cell>
          <cell r="BN118">
            <v>4.6090360166277274E-2</v>
          </cell>
          <cell r="BO118">
            <v>17389000</v>
          </cell>
          <cell r="BP118">
            <v>5655000</v>
          </cell>
          <cell r="BQ118">
            <v>3.0749778956675509</v>
          </cell>
          <cell r="BR118">
            <v>273</v>
          </cell>
          <cell r="BS118" t="str">
            <v>&lt;=2</v>
          </cell>
          <cell r="BT118" t="str">
            <v>&lt;=16</v>
          </cell>
          <cell r="BU118" t="str">
            <v>On Time</v>
          </cell>
          <cell r="BV118">
            <v>1274000</v>
          </cell>
          <cell r="BW118">
            <v>57728</v>
          </cell>
          <cell r="BX118">
            <v>22.069013303769403</v>
          </cell>
          <cell r="BY118">
            <v>326135</v>
          </cell>
          <cell r="BZ118">
            <v>57728</v>
          </cell>
          <cell r="CA118">
            <v>5.6495115022172948</v>
          </cell>
          <cell r="CB118">
            <v>3105000</v>
          </cell>
          <cell r="CC118">
            <v>21038</v>
          </cell>
          <cell r="CD118">
            <v>147.59007510219604</v>
          </cell>
          <cell r="CE118">
            <v>3296000</v>
          </cell>
          <cell r="CF118">
            <v>21038</v>
          </cell>
          <cell r="CG118">
            <v>156.66888487498812</v>
          </cell>
          <cell r="CH118">
            <v>6920870</v>
          </cell>
          <cell r="CI118">
            <v>57728</v>
          </cell>
          <cell r="CJ118">
            <v>119.8875762195122</v>
          </cell>
          <cell r="CK118">
            <v>17631880</v>
          </cell>
          <cell r="CL118">
            <v>57728</v>
          </cell>
          <cell r="CM118">
            <v>305.43029379157429</v>
          </cell>
          <cell r="CN118" t="str">
            <v>N/A</v>
          </cell>
          <cell r="CO118" t="str">
            <v>N/A</v>
          </cell>
          <cell r="CP118" t="str">
            <v>N/A</v>
          </cell>
          <cell r="CQ118" t="str">
            <v>N/A</v>
          </cell>
          <cell r="CR118">
            <v>2211</v>
          </cell>
          <cell r="CS118">
            <v>92199</v>
          </cell>
          <cell r="CT118">
            <v>2211</v>
          </cell>
          <cell r="CU118">
            <v>41.700135685210313</v>
          </cell>
          <cell r="CV118">
            <v>27</v>
          </cell>
          <cell r="CW118">
            <v>63000</v>
          </cell>
          <cell r="CX118">
            <v>2069000</v>
          </cell>
          <cell r="CY118">
            <v>3.0449492508458194E-2</v>
          </cell>
          <cell r="CZ118">
            <v>955000</v>
          </cell>
          <cell r="DA118">
            <v>57728</v>
          </cell>
          <cell r="DB118">
            <v>16.54309866962306</v>
          </cell>
          <cell r="DC118">
            <v>3208000</v>
          </cell>
          <cell r="DD118">
            <v>57728</v>
          </cell>
          <cell r="DE118">
            <v>55.570953436807095</v>
          </cell>
          <cell r="DF118">
            <v>706000</v>
          </cell>
          <cell r="DG118">
            <v>57728</v>
          </cell>
          <cell r="DH118">
            <v>12.229767184035477</v>
          </cell>
          <cell r="DI118">
            <v>391.7</v>
          </cell>
          <cell r="DJ118">
            <v>147.37809548123565</v>
          </cell>
          <cell r="DK118">
            <v>1.9789553047632191E-2</v>
          </cell>
          <cell r="DL118">
            <v>2.25</v>
          </cell>
          <cell r="DM118">
            <v>3.01</v>
          </cell>
        </row>
        <row r="119">
          <cell r="B119" t="str">
            <v>Wyong Shire Council</v>
          </cell>
          <cell r="C119">
            <v>7</v>
          </cell>
          <cell r="D119">
            <v>33655000</v>
          </cell>
          <cell r="E119">
            <v>56211</v>
          </cell>
          <cell r="F119">
            <v>598.72622796249846</v>
          </cell>
          <cell r="G119">
            <v>358000</v>
          </cell>
          <cell r="H119">
            <v>255</v>
          </cell>
          <cell r="I119">
            <v>1403.9215686274511</v>
          </cell>
          <cell r="J119">
            <v>5556000</v>
          </cell>
          <cell r="K119">
            <v>2421</v>
          </cell>
          <cell r="L119">
            <v>2294.9194547707557</v>
          </cell>
          <cell r="M119">
            <v>8795000</v>
          </cell>
          <cell r="N119">
            <v>104568000</v>
          </cell>
          <cell r="O119">
            <v>8.4107948894499268E-2</v>
          </cell>
          <cell r="P119">
            <v>2198000</v>
          </cell>
          <cell r="Q119">
            <v>72597000</v>
          </cell>
          <cell r="R119">
            <v>3.0276733198341531E-2</v>
          </cell>
          <cell r="S119">
            <v>2184000</v>
          </cell>
          <cell r="T119">
            <v>27589000</v>
          </cell>
          <cell r="U119">
            <v>7.9161984849034042E-2</v>
          </cell>
          <cell r="V119">
            <v>74795000</v>
          </cell>
          <cell r="W119">
            <v>165599000</v>
          </cell>
          <cell r="X119">
            <v>0.45166335545504505</v>
          </cell>
          <cell r="Y119">
            <v>29773000</v>
          </cell>
          <cell r="Z119">
            <v>165599000</v>
          </cell>
          <cell r="AA119">
            <v>0.17978973302978882</v>
          </cell>
          <cell r="AB119">
            <v>5578000</v>
          </cell>
          <cell r="AC119">
            <v>165599000</v>
          </cell>
          <cell r="AD119">
            <v>3.3683778283685288E-2</v>
          </cell>
          <cell r="AE119">
            <v>18265000</v>
          </cell>
          <cell r="AF119">
            <v>165599000</v>
          </cell>
          <cell r="AG119">
            <v>0.11029655976183431</v>
          </cell>
          <cell r="AH119">
            <v>32093000</v>
          </cell>
          <cell r="AI119">
            <v>165599000</v>
          </cell>
          <cell r="AJ119">
            <v>0.1937994794654557</v>
          </cell>
          <cell r="AK119">
            <v>5095000</v>
          </cell>
          <cell r="AL119">
            <v>165599000</v>
          </cell>
          <cell r="AM119">
            <v>3.0767094004190847E-2</v>
          </cell>
          <cell r="AN119">
            <v>93396000</v>
          </cell>
          <cell r="AO119">
            <v>138085</v>
          </cell>
          <cell r="AP119">
            <v>676.3660064453054</v>
          </cell>
          <cell r="AQ119">
            <v>48091000</v>
          </cell>
          <cell r="AR119">
            <v>135649000</v>
          </cell>
          <cell r="AS119">
            <v>0.35452528216205059</v>
          </cell>
          <cell r="AT119">
            <v>28099000</v>
          </cell>
          <cell r="AU119">
            <v>135649000</v>
          </cell>
          <cell r="AV119">
            <v>0.20714491076233515</v>
          </cell>
          <cell r="AW119">
            <v>4623000</v>
          </cell>
          <cell r="AX119">
            <v>135649000</v>
          </cell>
          <cell r="AY119">
            <v>3.4080605091080657E-2</v>
          </cell>
          <cell r="AZ119">
            <v>29574000</v>
          </cell>
          <cell r="BA119">
            <v>135649000</v>
          </cell>
          <cell r="BB119">
            <v>0.21801856261380476</v>
          </cell>
          <cell r="BC119">
            <v>25262000</v>
          </cell>
          <cell r="BD119">
            <v>135649000</v>
          </cell>
          <cell r="BE119">
            <v>0.18623063937072887</v>
          </cell>
          <cell r="BF119">
            <v>82305000</v>
          </cell>
          <cell r="BG119">
            <v>138085</v>
          </cell>
          <cell r="BH119">
            <v>596.04591374877793</v>
          </cell>
          <cell r="BI119">
            <v>54566000</v>
          </cell>
          <cell r="BJ119">
            <v>26929000</v>
          </cell>
          <cell r="BK119">
            <v>2.0262913587582161</v>
          </cell>
          <cell r="BL119">
            <v>13491000</v>
          </cell>
          <cell r="BM119">
            <v>123940000</v>
          </cell>
          <cell r="BN119">
            <v>0.10885105696304663</v>
          </cell>
          <cell r="BO119">
            <v>27357000</v>
          </cell>
          <cell r="BP119">
            <v>17656000</v>
          </cell>
          <cell r="BQ119">
            <v>1.5494449478930674</v>
          </cell>
          <cell r="BR119">
            <v>890</v>
          </cell>
          <cell r="BS119" t="str">
            <v>&lt;=2</v>
          </cell>
          <cell r="BT119" t="str">
            <v>&lt;=2</v>
          </cell>
          <cell r="BU119" t="str">
            <v>On Time</v>
          </cell>
          <cell r="BV119">
            <v>3368000</v>
          </cell>
          <cell r="BW119">
            <v>138085</v>
          </cell>
          <cell r="BX119">
            <v>24.390773798747148</v>
          </cell>
          <cell r="BY119">
            <v>1018449</v>
          </cell>
          <cell r="BZ119">
            <v>138085</v>
          </cell>
          <cell r="CA119">
            <v>7.3755223232067202</v>
          </cell>
          <cell r="CB119">
            <v>11619000</v>
          </cell>
          <cell r="CC119">
            <v>54172</v>
          </cell>
          <cell r="CD119">
            <v>214.48349700952522</v>
          </cell>
          <cell r="CE119">
            <v>7945961</v>
          </cell>
          <cell r="CF119">
            <v>54172</v>
          </cell>
          <cell r="CG119">
            <v>146.6802222550395</v>
          </cell>
          <cell r="CH119">
            <v>29386000</v>
          </cell>
          <cell r="CI119">
            <v>138085</v>
          </cell>
          <cell r="CJ119">
            <v>212.81094977731107</v>
          </cell>
          <cell r="CK119">
            <v>39655000</v>
          </cell>
          <cell r="CL119">
            <v>138085</v>
          </cell>
          <cell r="CM119">
            <v>287.17818734837238</v>
          </cell>
          <cell r="CN119">
            <v>209.29959693004301</v>
          </cell>
          <cell r="CO119">
            <v>315</v>
          </cell>
          <cell r="CP119">
            <v>332.73444989680002</v>
          </cell>
          <cell r="CQ119">
            <v>395.648041023416</v>
          </cell>
          <cell r="CR119">
            <v>3747</v>
          </cell>
          <cell r="CS119">
            <v>158402</v>
          </cell>
          <cell r="CT119">
            <v>3747</v>
          </cell>
          <cell r="CU119">
            <v>42.2743528155858</v>
          </cell>
          <cell r="CV119">
            <v>29</v>
          </cell>
          <cell r="CW119">
            <v>193000</v>
          </cell>
          <cell r="CX119">
            <v>8003000</v>
          </cell>
          <cell r="CY119">
            <v>2.4115956516306384E-2</v>
          </cell>
          <cell r="CZ119">
            <v>2652000</v>
          </cell>
          <cell r="DA119">
            <v>138085</v>
          </cell>
          <cell r="DB119">
            <v>19.205561791650069</v>
          </cell>
          <cell r="DC119">
            <v>8460000</v>
          </cell>
          <cell r="DD119">
            <v>138085</v>
          </cell>
          <cell r="DE119">
            <v>61.266611145309049</v>
          </cell>
          <cell r="DF119">
            <v>7304000</v>
          </cell>
          <cell r="DG119">
            <v>138085</v>
          </cell>
          <cell r="DH119">
            <v>52.89495600535902</v>
          </cell>
          <cell r="DI119">
            <v>745</v>
          </cell>
          <cell r="DJ119">
            <v>185.34899328859061</v>
          </cell>
          <cell r="DK119">
            <v>2.3336876613755608E-2</v>
          </cell>
          <cell r="DL119">
            <v>1.94</v>
          </cell>
          <cell r="DM119">
            <v>4.03</v>
          </cell>
        </row>
        <row r="120">
          <cell r="B120" t="str">
            <v>Burwood Council</v>
          </cell>
          <cell r="C120">
            <v>2</v>
          </cell>
          <cell r="D120">
            <v>5958000</v>
          </cell>
          <cell r="E120">
            <v>10245</v>
          </cell>
          <cell r="F120">
            <v>581.55197657393853</v>
          </cell>
          <cell r="G120">
            <v>0</v>
          </cell>
          <cell r="H120">
            <v>0</v>
          </cell>
          <cell r="I120" t="str">
            <v>N/A</v>
          </cell>
          <cell r="J120">
            <v>1922000</v>
          </cell>
          <cell r="K120">
            <v>793</v>
          </cell>
          <cell r="L120">
            <v>2423.7074401008826</v>
          </cell>
          <cell r="M120">
            <v>229000</v>
          </cell>
          <cell r="N120">
            <v>13135000</v>
          </cell>
          <cell r="O120">
            <v>1.7434335744194899E-2</v>
          </cell>
          <cell r="P120">
            <v>1005000</v>
          </cell>
          <cell r="Q120">
            <v>9569000</v>
          </cell>
          <cell r="R120">
            <v>0.10502664855261783</v>
          </cell>
          <cell r="S120">
            <v>-170000</v>
          </cell>
          <cell r="T120">
            <v>2731000</v>
          </cell>
          <cell r="U120">
            <v>-6.2248260710362505E-2</v>
          </cell>
          <cell r="V120">
            <v>10574000</v>
          </cell>
          <cell r="W120">
            <v>17868000</v>
          </cell>
          <cell r="X120">
            <v>0.59178419520931269</v>
          </cell>
          <cell r="Y120">
            <v>2561000</v>
          </cell>
          <cell r="Z120">
            <v>17868000</v>
          </cell>
          <cell r="AA120">
            <v>0.14332885605551823</v>
          </cell>
          <cell r="AB120">
            <v>882000</v>
          </cell>
          <cell r="AC120">
            <v>17868000</v>
          </cell>
          <cell r="AD120">
            <v>4.9361987911349901E-2</v>
          </cell>
          <cell r="AE120">
            <v>2281000</v>
          </cell>
          <cell r="AF120">
            <v>17868000</v>
          </cell>
          <cell r="AG120">
            <v>0.12765838370270877</v>
          </cell>
          <cell r="AH120">
            <v>691000</v>
          </cell>
          <cell r="AI120">
            <v>17868000</v>
          </cell>
          <cell r="AJ120">
            <v>3.8672487127826283E-2</v>
          </cell>
          <cell r="AK120">
            <v>879000</v>
          </cell>
          <cell r="AL120">
            <v>17868000</v>
          </cell>
          <cell r="AM120">
            <v>4.9194089993284083E-2</v>
          </cell>
          <cell r="AN120">
            <v>19985000</v>
          </cell>
          <cell r="AO120">
            <v>30702</v>
          </cell>
          <cell r="AP120">
            <v>650.9347925216598</v>
          </cell>
          <cell r="AQ120">
            <v>6285000</v>
          </cell>
          <cell r="AR120">
            <v>20299000</v>
          </cell>
          <cell r="AS120">
            <v>0.30962116360411845</v>
          </cell>
          <cell r="AT120">
            <v>5775000</v>
          </cell>
          <cell r="AU120">
            <v>20299000</v>
          </cell>
          <cell r="AV120">
            <v>0.28449677324006106</v>
          </cell>
          <cell r="AW120">
            <v>430000</v>
          </cell>
          <cell r="AX120">
            <v>20299000</v>
          </cell>
          <cell r="AY120">
            <v>2.1183309522636584E-2</v>
          </cell>
          <cell r="AZ120">
            <v>3084000</v>
          </cell>
          <cell r="BA120">
            <v>20299000</v>
          </cell>
          <cell r="BB120">
            <v>0.15192866643677028</v>
          </cell>
          <cell r="BC120">
            <v>4725000</v>
          </cell>
          <cell r="BD120">
            <v>20299000</v>
          </cell>
          <cell r="BE120">
            <v>0.23277008719641362</v>
          </cell>
          <cell r="BF120">
            <v>20299000</v>
          </cell>
          <cell r="BG120">
            <v>30702</v>
          </cell>
          <cell r="BH120">
            <v>661.16213927431443</v>
          </cell>
          <cell r="BI120">
            <v>13005000</v>
          </cell>
          <cell r="BJ120">
            <v>5909000</v>
          </cell>
          <cell r="BK120">
            <v>2.2008800135386699</v>
          </cell>
          <cell r="BL120">
            <v>514000</v>
          </cell>
          <cell r="BM120">
            <v>18600000</v>
          </cell>
          <cell r="BN120">
            <v>2.7634408602150537E-2</v>
          </cell>
          <cell r="BO120">
            <v>6697000</v>
          </cell>
          <cell r="BP120">
            <v>3084000</v>
          </cell>
          <cell r="BQ120">
            <v>2.1715304798962385</v>
          </cell>
          <cell r="BR120">
            <v>145</v>
          </cell>
          <cell r="BS120" t="str">
            <v>On Time</v>
          </cell>
          <cell r="BT120" t="str">
            <v>On Time</v>
          </cell>
          <cell r="BU120" t="str">
            <v>On Time</v>
          </cell>
          <cell r="BV120">
            <v>1049000</v>
          </cell>
          <cell r="BW120">
            <v>30702</v>
          </cell>
          <cell r="BX120">
            <v>34.167155234186701</v>
          </cell>
          <cell r="BY120">
            <v>251891</v>
          </cell>
          <cell r="BZ120">
            <v>30702</v>
          </cell>
          <cell r="CA120">
            <v>8.2043840792130798</v>
          </cell>
          <cell r="CB120">
            <v>2694000</v>
          </cell>
          <cell r="CC120">
            <v>10285</v>
          </cell>
          <cell r="CD120">
            <v>261.93485658726303</v>
          </cell>
          <cell r="CE120">
            <v>1686573</v>
          </cell>
          <cell r="CF120">
            <v>10693</v>
          </cell>
          <cell r="CG120">
            <v>157.72683063686523</v>
          </cell>
          <cell r="CH120">
            <v>3524</v>
          </cell>
          <cell r="CI120">
            <v>30702</v>
          </cell>
          <cell r="CJ120">
            <v>0.11478079603934598</v>
          </cell>
          <cell r="CK120">
            <v>3648000</v>
          </cell>
          <cell r="CL120">
            <v>30702</v>
          </cell>
          <cell r="CM120">
            <v>118.81962087160446</v>
          </cell>
          <cell r="CN120" t="str">
            <v>N/A</v>
          </cell>
          <cell r="CO120" t="str">
            <v>N/A</v>
          </cell>
          <cell r="CP120" t="str">
            <v>N/A</v>
          </cell>
          <cell r="CQ120" t="str">
            <v>N/A</v>
          </cell>
          <cell r="CR120">
            <v>418</v>
          </cell>
          <cell r="CS120">
            <v>17681</v>
          </cell>
          <cell r="CT120">
            <v>418</v>
          </cell>
          <cell r="CU120">
            <v>42.299043062200958</v>
          </cell>
          <cell r="CV120">
            <v>37</v>
          </cell>
          <cell r="CW120">
            <v>102000</v>
          </cell>
          <cell r="CX120">
            <v>1286000</v>
          </cell>
          <cell r="CY120">
            <v>7.9315707620528766E-2</v>
          </cell>
          <cell r="CZ120">
            <v>154000</v>
          </cell>
          <cell r="DA120">
            <v>30702</v>
          </cell>
          <cell r="DB120">
            <v>5.0159598723210213</v>
          </cell>
          <cell r="DC120">
            <v>1138000</v>
          </cell>
          <cell r="DD120">
            <v>30702</v>
          </cell>
          <cell r="DE120">
            <v>37.065989186372221</v>
          </cell>
          <cell r="DF120">
            <v>636000</v>
          </cell>
          <cell r="DG120">
            <v>30702</v>
          </cell>
          <cell r="DH120">
            <v>20.715262849325775</v>
          </cell>
          <cell r="DI120">
            <v>7.2</v>
          </cell>
          <cell r="DJ120">
            <v>4264.166666666667</v>
          </cell>
          <cell r="DK120">
            <v>5.9411960162076838E-3</v>
          </cell>
          <cell r="DL120">
            <v>0.37</v>
          </cell>
          <cell r="DM120">
            <v>42.21</v>
          </cell>
        </row>
        <row r="121">
          <cell r="B121" t="str">
            <v>Nambucca Shire Council</v>
          </cell>
          <cell r="C121">
            <v>11</v>
          </cell>
          <cell r="D121">
            <v>3534000</v>
          </cell>
          <cell r="E121">
            <v>7352</v>
          </cell>
          <cell r="F121">
            <v>480.6855277475517</v>
          </cell>
          <cell r="G121">
            <v>520000</v>
          </cell>
          <cell r="H121">
            <v>527</v>
          </cell>
          <cell r="I121">
            <v>986.71726755218219</v>
          </cell>
          <cell r="J121">
            <v>525000</v>
          </cell>
          <cell r="K121">
            <v>525</v>
          </cell>
          <cell r="L121">
            <v>1000</v>
          </cell>
          <cell r="M121">
            <v>1084000</v>
          </cell>
          <cell r="N121">
            <v>10679000</v>
          </cell>
          <cell r="O121">
            <v>0.1015076318007304</v>
          </cell>
          <cell r="P121">
            <v>295000</v>
          </cell>
          <cell r="Q121">
            <v>8093000</v>
          </cell>
          <cell r="R121">
            <v>3.6451254170270606E-2</v>
          </cell>
          <cell r="S121">
            <v>-143000</v>
          </cell>
          <cell r="T121">
            <v>2434000</v>
          </cell>
          <cell r="U121">
            <v>-5.8751027115858667E-2</v>
          </cell>
          <cell r="V121">
            <v>8388000</v>
          </cell>
          <cell r="W121">
            <v>19622000</v>
          </cell>
          <cell r="X121">
            <v>0.42747935990215064</v>
          </cell>
          <cell r="Y121">
            <v>2291000</v>
          </cell>
          <cell r="Z121">
            <v>19622000</v>
          </cell>
          <cell r="AA121">
            <v>0.11675670166140047</v>
          </cell>
          <cell r="AB121">
            <v>864000</v>
          </cell>
          <cell r="AC121">
            <v>19622000</v>
          </cell>
          <cell r="AD121">
            <v>4.4032208745285906E-2</v>
          </cell>
          <cell r="AE121">
            <v>4793000</v>
          </cell>
          <cell r="AF121">
            <v>19622000</v>
          </cell>
          <cell r="AG121">
            <v>0.2442666394862909</v>
          </cell>
          <cell r="AH121">
            <v>3135000</v>
          </cell>
          <cell r="AI121">
            <v>19622000</v>
          </cell>
          <cell r="AJ121">
            <v>0.15976964631536031</v>
          </cell>
          <cell r="AK121">
            <v>151000</v>
          </cell>
          <cell r="AL121">
            <v>19622000</v>
          </cell>
          <cell r="AM121">
            <v>7.6954438895117721E-3</v>
          </cell>
          <cell r="AN121">
            <v>12369000</v>
          </cell>
          <cell r="AO121">
            <v>18216</v>
          </cell>
          <cell r="AP121">
            <v>679.01844532279313</v>
          </cell>
          <cell r="AQ121">
            <v>5820000</v>
          </cell>
          <cell r="AR121">
            <v>17917000</v>
          </cell>
          <cell r="AS121">
            <v>0.32483116593179662</v>
          </cell>
          <cell r="AT121">
            <v>3163000</v>
          </cell>
          <cell r="AU121">
            <v>17917000</v>
          </cell>
          <cell r="AV121">
            <v>0.17653625048836299</v>
          </cell>
          <cell r="AW121">
            <v>613000</v>
          </cell>
          <cell r="AX121">
            <v>17917000</v>
          </cell>
          <cell r="AY121">
            <v>3.42133169615449E-2</v>
          </cell>
          <cell r="AZ121">
            <v>6338000</v>
          </cell>
          <cell r="BA121">
            <v>17917000</v>
          </cell>
          <cell r="BB121">
            <v>0.35374225595802866</v>
          </cell>
          <cell r="BC121">
            <v>1983000</v>
          </cell>
          <cell r="BD121">
            <v>17917000</v>
          </cell>
          <cell r="BE121">
            <v>0.11067701066026679</v>
          </cell>
          <cell r="BF121">
            <v>14429000</v>
          </cell>
          <cell r="BG121">
            <v>18216</v>
          </cell>
          <cell r="BH121">
            <v>792.10584101888446</v>
          </cell>
          <cell r="BI121">
            <v>7760000</v>
          </cell>
          <cell r="BJ121">
            <v>5477000</v>
          </cell>
          <cell r="BK121">
            <v>1.4168340332298703</v>
          </cell>
          <cell r="BL121">
            <v>1920000</v>
          </cell>
          <cell r="BM121">
            <v>14676000</v>
          </cell>
          <cell r="BN121">
            <v>0.13082583810302534</v>
          </cell>
          <cell r="BO121">
            <v>3149000</v>
          </cell>
          <cell r="BP121">
            <v>5234000</v>
          </cell>
          <cell r="BQ121">
            <v>0.60164310278945354</v>
          </cell>
          <cell r="BR121">
            <v>124</v>
          </cell>
          <cell r="BS121" t="str">
            <v>&lt;=2</v>
          </cell>
          <cell r="BT121" t="str">
            <v>&lt;=4</v>
          </cell>
          <cell r="BU121" t="str">
            <v>On Time</v>
          </cell>
          <cell r="BV121">
            <v>320000</v>
          </cell>
          <cell r="BW121">
            <v>18216</v>
          </cell>
          <cell r="BX121">
            <v>17.56697408871322</v>
          </cell>
          <cell r="BY121">
            <v>119438</v>
          </cell>
          <cell r="BZ121">
            <v>18216</v>
          </cell>
          <cell r="CA121">
            <v>6.5567632850241546</v>
          </cell>
          <cell r="CB121">
            <v>914000</v>
          </cell>
          <cell r="CC121">
            <v>5806</v>
          </cell>
          <cell r="CD121">
            <v>157.42335514984498</v>
          </cell>
          <cell r="CE121">
            <v>225170</v>
          </cell>
          <cell r="CF121">
            <v>5806</v>
          </cell>
          <cell r="CG121">
            <v>38.782294178436103</v>
          </cell>
          <cell r="CH121">
            <v>1206000</v>
          </cell>
          <cell r="CI121">
            <v>18216</v>
          </cell>
          <cell r="CJ121">
            <v>66.205533596837938</v>
          </cell>
          <cell r="CK121">
            <v>15041000</v>
          </cell>
          <cell r="CL121">
            <v>18216</v>
          </cell>
          <cell r="CM121">
            <v>825.70267896354858</v>
          </cell>
          <cell r="CN121">
            <v>221.42612142230999</v>
          </cell>
          <cell r="CO121">
            <v>241</v>
          </cell>
          <cell r="CP121">
            <v>333.64661654135301</v>
          </cell>
          <cell r="CQ121">
            <v>368</v>
          </cell>
          <cell r="CR121">
            <v>364</v>
          </cell>
          <cell r="CS121">
            <v>15467</v>
          </cell>
          <cell r="CT121">
            <v>364</v>
          </cell>
          <cell r="CU121">
            <v>42.491758241758241</v>
          </cell>
          <cell r="CV121">
            <v>34</v>
          </cell>
          <cell r="CW121">
            <v>98000</v>
          </cell>
          <cell r="CX121">
            <v>943000</v>
          </cell>
          <cell r="CY121">
            <v>0.10392364793213149</v>
          </cell>
          <cell r="CZ121">
            <v>592000</v>
          </cell>
          <cell r="DA121">
            <v>18216</v>
          </cell>
          <cell r="DB121">
            <v>32.498902064119456</v>
          </cell>
          <cell r="DC121">
            <v>748000</v>
          </cell>
          <cell r="DD121">
            <v>18216</v>
          </cell>
          <cell r="DE121">
            <v>41.062801932367151</v>
          </cell>
          <cell r="DF121">
            <v>365000</v>
          </cell>
          <cell r="DG121">
            <v>18216</v>
          </cell>
          <cell r="DH121">
            <v>20.037329819938517</v>
          </cell>
          <cell r="DI121">
            <v>1490.5</v>
          </cell>
          <cell r="DJ121">
            <v>12.22140221402214</v>
          </cell>
          <cell r="DK121">
            <v>3.730452685433594E-3</v>
          </cell>
          <cell r="DL121">
            <v>5.38</v>
          </cell>
          <cell r="DM121">
            <v>2.4</v>
          </cell>
        </row>
        <row r="122">
          <cell r="B122" t="str">
            <v>Randwick City Council</v>
          </cell>
          <cell r="C122">
            <v>3</v>
          </cell>
          <cell r="D122">
            <v>28660000</v>
          </cell>
          <cell r="E122">
            <v>43858</v>
          </cell>
          <cell r="F122">
            <v>653.4725705686534</v>
          </cell>
          <cell r="G122">
            <v>0</v>
          </cell>
          <cell r="H122">
            <v>0</v>
          </cell>
          <cell r="I122" t="str">
            <v>N/A</v>
          </cell>
          <cell r="J122">
            <v>8025000</v>
          </cell>
          <cell r="K122">
            <v>1874</v>
          </cell>
          <cell r="L122">
            <v>4282.2838847385274</v>
          </cell>
          <cell r="M122">
            <v>1859000</v>
          </cell>
          <cell r="N122">
            <v>59463000</v>
          </cell>
          <cell r="O122">
            <v>3.1263138422212129E-2</v>
          </cell>
          <cell r="P122">
            <v>4060000</v>
          </cell>
          <cell r="Q122">
            <v>44803000</v>
          </cell>
          <cell r="R122">
            <v>9.0618931767961972E-2</v>
          </cell>
          <cell r="S122">
            <v>1839000</v>
          </cell>
          <cell r="T122">
            <v>8761000</v>
          </cell>
          <cell r="U122">
            <v>0.20990754480082183</v>
          </cell>
          <cell r="V122">
            <v>48863000</v>
          </cell>
          <cell r="W122">
            <v>72539000</v>
          </cell>
          <cell r="X122">
            <v>0.67361005803774521</v>
          </cell>
          <cell r="Y122">
            <v>10600000</v>
          </cell>
          <cell r="Z122">
            <v>72539000</v>
          </cell>
          <cell r="AA122">
            <v>0.14612828960972718</v>
          </cell>
          <cell r="AB122">
            <v>2329000</v>
          </cell>
          <cell r="AC122">
            <v>72539000</v>
          </cell>
          <cell r="AD122">
            <v>3.2106866651042884E-2</v>
          </cell>
          <cell r="AE122">
            <v>4467000</v>
          </cell>
          <cell r="AF122">
            <v>72539000</v>
          </cell>
          <cell r="AG122">
            <v>6.1580666951570877E-2</v>
          </cell>
          <cell r="AH122">
            <v>4606000</v>
          </cell>
          <cell r="AI122">
            <v>72539000</v>
          </cell>
          <cell r="AJ122">
            <v>6.3496877541736163E-2</v>
          </cell>
          <cell r="AK122">
            <v>1674000</v>
          </cell>
          <cell r="AL122">
            <v>72539000</v>
          </cell>
          <cell r="AM122">
            <v>2.3077241208177671E-2</v>
          </cell>
          <cell r="AN122">
            <v>69687000</v>
          </cell>
          <cell r="AO122">
            <v>125625</v>
          </cell>
          <cell r="AP122">
            <v>554.72238805970153</v>
          </cell>
          <cell r="AQ122">
            <v>26508000</v>
          </cell>
          <cell r="AR122">
            <v>67898000</v>
          </cell>
          <cell r="AS122">
            <v>0.39040914312645436</v>
          </cell>
          <cell r="AT122">
            <v>19099000</v>
          </cell>
          <cell r="AU122">
            <v>67898000</v>
          </cell>
          <cell r="AV122">
            <v>0.28128958143096999</v>
          </cell>
          <cell r="AW122">
            <v>3000</v>
          </cell>
          <cell r="AX122">
            <v>67898000</v>
          </cell>
          <cell r="AY122">
            <v>4.4183922943238389E-5</v>
          </cell>
          <cell r="AZ122">
            <v>12050000</v>
          </cell>
          <cell r="BA122">
            <v>67898000</v>
          </cell>
          <cell r="BB122">
            <v>0.17747209048867418</v>
          </cell>
          <cell r="BC122">
            <v>10238000</v>
          </cell>
          <cell r="BD122">
            <v>67898000</v>
          </cell>
          <cell r="BE122">
            <v>0.15078500103095821</v>
          </cell>
          <cell r="BF122">
            <v>67922000</v>
          </cell>
          <cell r="BG122">
            <v>125625</v>
          </cell>
          <cell r="BH122">
            <v>540.67263681592044</v>
          </cell>
          <cell r="BI122">
            <v>36612000</v>
          </cell>
          <cell r="BJ122">
            <v>10561000</v>
          </cell>
          <cell r="BK122">
            <v>3.4667171669349495</v>
          </cell>
          <cell r="BL122">
            <v>21000</v>
          </cell>
          <cell r="BM122">
            <v>68162000</v>
          </cell>
          <cell r="BN122">
            <v>3.0808955136292949E-4</v>
          </cell>
          <cell r="BO122">
            <v>14944000</v>
          </cell>
          <cell r="BP122">
            <v>12050000</v>
          </cell>
          <cell r="BQ122">
            <v>1.2401659751037344</v>
          </cell>
          <cell r="BR122">
            <v>476</v>
          </cell>
          <cell r="BS122" t="str">
            <v>&lt;=2</v>
          </cell>
          <cell r="BT122" t="str">
            <v>&lt;=2</v>
          </cell>
          <cell r="BU122" t="str">
            <v>On Time</v>
          </cell>
          <cell r="BV122">
            <v>3364000</v>
          </cell>
          <cell r="BW122">
            <v>125625</v>
          </cell>
          <cell r="BX122">
            <v>26.77810945273632</v>
          </cell>
          <cell r="BY122">
            <v>748963</v>
          </cell>
          <cell r="BZ122">
            <v>125625</v>
          </cell>
          <cell r="CA122">
            <v>5.9618945273631843</v>
          </cell>
          <cell r="CB122">
            <v>12178000</v>
          </cell>
          <cell r="CC122">
            <v>51897</v>
          </cell>
          <cell r="CD122">
            <v>234.65710927413917</v>
          </cell>
          <cell r="CE122">
            <v>9194971</v>
          </cell>
          <cell r="CF122">
            <v>108174</v>
          </cell>
          <cell r="CG122">
            <v>85.001673230166219</v>
          </cell>
          <cell r="CH122">
            <v>15384390</v>
          </cell>
          <cell r="CI122">
            <v>125625</v>
          </cell>
          <cell r="CJ122">
            <v>122.46280597014925</v>
          </cell>
          <cell r="CK122">
            <v>27579470</v>
          </cell>
          <cell r="CL122">
            <v>125625</v>
          </cell>
          <cell r="CM122">
            <v>219.5380696517413</v>
          </cell>
          <cell r="CN122" t="str">
            <v>N/A</v>
          </cell>
          <cell r="CO122" t="str">
            <v>N/A</v>
          </cell>
          <cell r="CP122" t="str">
            <v>N/A</v>
          </cell>
          <cell r="CQ122" t="str">
            <v>N/A</v>
          </cell>
          <cell r="CR122">
            <v>1173</v>
          </cell>
          <cell r="CS122">
            <v>50321</v>
          </cell>
          <cell r="CT122">
            <v>1173</v>
          </cell>
          <cell r="CU122">
            <v>42.89940323955669</v>
          </cell>
          <cell r="CV122">
            <v>38</v>
          </cell>
          <cell r="CW122">
            <v>0</v>
          </cell>
          <cell r="CX122">
            <v>5307000</v>
          </cell>
          <cell r="CY122">
            <v>0</v>
          </cell>
          <cell r="CZ122">
            <v>530000</v>
          </cell>
          <cell r="DA122">
            <v>125625</v>
          </cell>
          <cell r="DB122">
            <v>4.2189054726368163</v>
          </cell>
          <cell r="DC122">
            <v>6955000</v>
          </cell>
          <cell r="DD122">
            <v>125625</v>
          </cell>
          <cell r="DE122">
            <v>55.363184079601993</v>
          </cell>
          <cell r="DF122">
            <v>3018000</v>
          </cell>
          <cell r="DG122">
            <v>125625</v>
          </cell>
          <cell r="DH122">
            <v>24.023880597014927</v>
          </cell>
          <cell r="DI122">
            <v>36.4</v>
          </cell>
          <cell r="DJ122">
            <v>3451.2362637362639</v>
          </cell>
          <cell r="DK122">
            <v>2.4020891620919471E-3</v>
          </cell>
          <cell r="DL122">
            <v>1.1399999999999999</v>
          </cell>
          <cell r="DM122">
            <v>25.85</v>
          </cell>
        </row>
        <row r="123">
          <cell r="B123" t="str">
            <v>Young Shire Council</v>
          </cell>
          <cell r="C123">
            <v>11</v>
          </cell>
          <cell r="D123">
            <v>1552000</v>
          </cell>
          <cell r="E123">
            <v>4227</v>
          </cell>
          <cell r="F123">
            <v>367.16347291223087</v>
          </cell>
          <cell r="G123">
            <v>1594000</v>
          </cell>
          <cell r="H123">
            <v>1039</v>
          </cell>
          <cell r="I123">
            <v>1534.1674687199229</v>
          </cell>
          <cell r="J123">
            <v>756000</v>
          </cell>
          <cell r="K123">
            <v>466</v>
          </cell>
          <cell r="L123">
            <v>1622.3175965665237</v>
          </cell>
          <cell r="M123">
            <v>997000</v>
          </cell>
          <cell r="N123">
            <v>9289000</v>
          </cell>
          <cell r="O123">
            <v>0.10733125201851652</v>
          </cell>
          <cell r="P123">
            <v>396000</v>
          </cell>
          <cell r="Q123">
            <v>6011000</v>
          </cell>
          <cell r="R123">
            <v>6.5879221427383131E-2</v>
          </cell>
          <cell r="S123">
            <v>845000</v>
          </cell>
          <cell r="T123">
            <v>2037000</v>
          </cell>
          <cell r="U123">
            <v>0.41482572410407464</v>
          </cell>
          <cell r="V123">
            <v>6407000</v>
          </cell>
          <cell r="W123">
            <v>14807000</v>
          </cell>
          <cell r="X123">
            <v>0.43270074964543798</v>
          </cell>
          <cell r="Y123">
            <v>2882000</v>
          </cell>
          <cell r="Z123">
            <v>14807000</v>
          </cell>
          <cell r="AA123">
            <v>0.19463767137164856</v>
          </cell>
          <cell r="AB123">
            <v>425000</v>
          </cell>
          <cell r="AC123">
            <v>14807000</v>
          </cell>
          <cell r="AD123">
            <v>2.8702640642939151E-2</v>
          </cell>
          <cell r="AE123">
            <v>3452000</v>
          </cell>
          <cell r="AF123">
            <v>14807000</v>
          </cell>
          <cell r="AG123">
            <v>0.23313297764570812</v>
          </cell>
          <cell r="AH123">
            <v>1252000</v>
          </cell>
          <cell r="AI123">
            <v>14807000</v>
          </cell>
          <cell r="AJ123">
            <v>8.4554602552846622E-2</v>
          </cell>
          <cell r="AK123">
            <v>389000</v>
          </cell>
          <cell r="AL123">
            <v>14807000</v>
          </cell>
          <cell r="AM123">
            <v>2.62713581414196E-2</v>
          </cell>
          <cell r="AN123">
            <v>10774000</v>
          </cell>
          <cell r="AO123">
            <v>11854</v>
          </cell>
          <cell r="AP123">
            <v>908.89151341319382</v>
          </cell>
          <cell r="AQ123">
            <v>4373000</v>
          </cell>
          <cell r="AR123">
            <v>13229000</v>
          </cell>
          <cell r="AS123">
            <v>0.3305616448711165</v>
          </cell>
          <cell r="AT123">
            <v>4225000</v>
          </cell>
          <cell r="AU123">
            <v>13229000</v>
          </cell>
          <cell r="AV123">
            <v>0.31937410235089575</v>
          </cell>
          <cell r="AW123">
            <v>430000</v>
          </cell>
          <cell r="AX123">
            <v>13229000</v>
          </cell>
          <cell r="AY123">
            <v>3.2504346511452113E-2</v>
          </cell>
          <cell r="AZ123">
            <v>2641000</v>
          </cell>
          <cell r="BA123">
            <v>13229000</v>
          </cell>
          <cell r="BB123">
            <v>0.19963716078312799</v>
          </cell>
          <cell r="BC123">
            <v>1560000</v>
          </cell>
          <cell r="BD123">
            <v>13229000</v>
          </cell>
          <cell r="BE123">
            <v>0.11792274548340767</v>
          </cell>
          <cell r="BF123">
            <v>10570000</v>
          </cell>
          <cell r="BG123">
            <v>11854</v>
          </cell>
          <cell r="BH123">
            <v>891.68213261346386</v>
          </cell>
          <cell r="BI123">
            <v>4805000</v>
          </cell>
          <cell r="BJ123">
            <v>1866000</v>
          </cell>
          <cell r="BK123">
            <v>2.57502679528403</v>
          </cell>
          <cell r="BL123">
            <v>627000</v>
          </cell>
          <cell r="BM123">
            <v>12502000</v>
          </cell>
          <cell r="BN123">
            <v>5.0151975683890578E-2</v>
          </cell>
          <cell r="BO123">
            <v>1763000</v>
          </cell>
          <cell r="BP123">
            <v>2373000</v>
          </cell>
          <cell r="BQ123">
            <v>0.74294142435735355</v>
          </cell>
          <cell r="BR123">
            <v>93</v>
          </cell>
          <cell r="BS123" t="str">
            <v>&lt;=16</v>
          </cell>
          <cell r="BT123" t="str">
            <v>Not Received</v>
          </cell>
          <cell r="BU123" t="str">
            <v>On Time</v>
          </cell>
          <cell r="BV123">
            <v>202000</v>
          </cell>
          <cell r="BW123">
            <v>11854</v>
          </cell>
          <cell r="BX123">
            <v>17.040661380124853</v>
          </cell>
          <cell r="BY123">
            <v>55905</v>
          </cell>
          <cell r="BZ123">
            <v>11854</v>
          </cell>
          <cell r="CA123">
            <v>4.7161295765142563</v>
          </cell>
          <cell r="CB123">
            <v>630000</v>
          </cell>
          <cell r="CC123">
            <v>3085</v>
          </cell>
          <cell r="CD123">
            <v>204.21393841166937</v>
          </cell>
          <cell r="CE123">
            <v>701587</v>
          </cell>
          <cell r="CF123">
            <v>3085</v>
          </cell>
          <cell r="CG123">
            <v>227.41880064829823</v>
          </cell>
          <cell r="CH123">
            <v>1335600</v>
          </cell>
          <cell r="CI123">
            <v>11854</v>
          </cell>
          <cell r="CJ123">
            <v>112.67082841235026</v>
          </cell>
          <cell r="CK123">
            <v>1511330</v>
          </cell>
          <cell r="CL123">
            <v>11854</v>
          </cell>
          <cell r="CM123">
            <v>127.49536021596086</v>
          </cell>
          <cell r="CN123">
            <v>547.72915853182303</v>
          </cell>
          <cell r="CO123">
            <v>568</v>
          </cell>
          <cell r="CP123">
            <v>221.311926101061</v>
          </cell>
          <cell r="CQ123">
            <v>158</v>
          </cell>
          <cell r="CR123">
            <v>339</v>
          </cell>
          <cell r="CS123">
            <v>14904</v>
          </cell>
          <cell r="CT123">
            <v>339</v>
          </cell>
          <cell r="CU123">
            <v>43.964601769911503</v>
          </cell>
          <cell r="CV123">
            <v>37</v>
          </cell>
          <cell r="CW123">
            <v>3000</v>
          </cell>
          <cell r="CX123">
            <v>228000</v>
          </cell>
          <cell r="CY123">
            <v>1.3157894736842105E-2</v>
          </cell>
          <cell r="CZ123">
            <v>203000</v>
          </cell>
          <cell r="DA123">
            <v>11854</v>
          </cell>
          <cell r="DB123">
            <v>17.125021089927451</v>
          </cell>
          <cell r="DC123">
            <v>727000</v>
          </cell>
          <cell r="DD123">
            <v>11854</v>
          </cell>
          <cell r="DE123">
            <v>61.32950902648895</v>
          </cell>
          <cell r="DF123">
            <v>328000</v>
          </cell>
          <cell r="DG123">
            <v>11854</v>
          </cell>
          <cell r="DH123">
            <v>27.669984815252235</v>
          </cell>
          <cell r="DI123">
            <v>2693.7</v>
          </cell>
          <cell r="DJ123">
            <v>4.4006385269332151</v>
          </cell>
          <cell r="DK123">
            <v>6.2396345387032426E-3</v>
          </cell>
          <cell r="DL123">
            <v>1.85</v>
          </cell>
          <cell r="DM123">
            <v>2.5299999999999998</v>
          </cell>
        </row>
        <row r="124">
          <cell r="B124" t="str">
            <v>Hurstville City Council</v>
          </cell>
          <cell r="C124">
            <v>3</v>
          </cell>
          <cell r="D124">
            <v>16249000</v>
          </cell>
          <cell r="E124">
            <v>27051</v>
          </cell>
          <cell r="F124">
            <v>600.68019666555767</v>
          </cell>
          <cell r="G124">
            <v>0</v>
          </cell>
          <cell r="H124">
            <v>0</v>
          </cell>
          <cell r="I124" t="str">
            <v>N/A</v>
          </cell>
          <cell r="J124">
            <v>3585000</v>
          </cell>
          <cell r="K124">
            <v>1984</v>
          </cell>
          <cell r="L124">
            <v>1806.9556451612902</v>
          </cell>
          <cell r="M124">
            <v>791000</v>
          </cell>
          <cell r="N124">
            <v>32727000</v>
          </cell>
          <cell r="O124">
            <v>2.4169645858159929E-2</v>
          </cell>
          <cell r="P124">
            <v>1629000</v>
          </cell>
          <cell r="Q124">
            <v>25240000</v>
          </cell>
          <cell r="R124">
            <v>6.454041204437401E-2</v>
          </cell>
          <cell r="S124">
            <v>980000</v>
          </cell>
          <cell r="T124">
            <v>4878000</v>
          </cell>
          <cell r="U124">
            <v>0.2009020090200902</v>
          </cell>
          <cell r="V124">
            <v>26869000</v>
          </cell>
          <cell r="W124">
            <v>43923000</v>
          </cell>
          <cell r="X124">
            <v>0.61172961774013612</v>
          </cell>
          <cell r="Y124">
            <v>5858000</v>
          </cell>
          <cell r="Z124">
            <v>43923000</v>
          </cell>
          <cell r="AA124">
            <v>0.13336976071761947</v>
          </cell>
          <cell r="AB124">
            <v>2641000</v>
          </cell>
          <cell r="AC124">
            <v>43923000</v>
          </cell>
          <cell r="AD124">
            <v>6.0127951187305059E-2</v>
          </cell>
          <cell r="AE124">
            <v>4295000</v>
          </cell>
          <cell r="AF124">
            <v>43923000</v>
          </cell>
          <cell r="AG124">
            <v>9.7784759693099285E-2</v>
          </cell>
          <cell r="AH124">
            <v>3353000</v>
          </cell>
          <cell r="AI124">
            <v>43923000</v>
          </cell>
          <cell r="AJ124">
            <v>7.6338137194636072E-2</v>
          </cell>
          <cell r="AK124">
            <v>907000</v>
          </cell>
          <cell r="AL124">
            <v>43923000</v>
          </cell>
          <cell r="AM124">
            <v>2.064977346720397E-2</v>
          </cell>
          <cell r="AN124">
            <v>42206000</v>
          </cell>
          <cell r="AO124">
            <v>74633</v>
          </cell>
          <cell r="AP124">
            <v>565.51391475620699</v>
          </cell>
          <cell r="AQ124">
            <v>17945000</v>
          </cell>
          <cell r="AR124">
            <v>47100000</v>
          </cell>
          <cell r="AS124">
            <v>0.3809978768577495</v>
          </cell>
          <cell r="AT124">
            <v>11894000</v>
          </cell>
          <cell r="AU124">
            <v>47100000</v>
          </cell>
          <cell r="AV124">
            <v>0.25252653927813162</v>
          </cell>
          <cell r="AW124">
            <v>124000</v>
          </cell>
          <cell r="AX124">
            <v>47100000</v>
          </cell>
          <cell r="AY124">
            <v>2.6326963906581741E-3</v>
          </cell>
          <cell r="AZ124">
            <v>9230000</v>
          </cell>
          <cell r="BA124">
            <v>47100000</v>
          </cell>
          <cell r="BB124">
            <v>0.19596602972399152</v>
          </cell>
          <cell r="BC124">
            <v>7907000</v>
          </cell>
          <cell r="BD124">
            <v>47100000</v>
          </cell>
          <cell r="BE124">
            <v>0.16787685774946923</v>
          </cell>
          <cell r="BF124">
            <v>47100000</v>
          </cell>
          <cell r="BG124">
            <v>74633</v>
          </cell>
          <cell r="BH124">
            <v>631.08812455616146</v>
          </cell>
          <cell r="BI124">
            <v>30053000</v>
          </cell>
          <cell r="BJ124">
            <v>11241000</v>
          </cell>
          <cell r="BK124">
            <v>2.6735165910506185</v>
          </cell>
          <cell r="BL124">
            <v>281000</v>
          </cell>
          <cell r="BM124">
            <v>40890000</v>
          </cell>
          <cell r="BN124">
            <v>6.8720958669601373E-3</v>
          </cell>
          <cell r="BO124">
            <v>11338000</v>
          </cell>
          <cell r="BP124">
            <v>9230000</v>
          </cell>
          <cell r="BQ124">
            <v>1.228385698808234</v>
          </cell>
          <cell r="BR124">
            <v>302</v>
          </cell>
          <cell r="BS124" t="str">
            <v>&lt;=4</v>
          </cell>
          <cell r="BT124" t="str">
            <v>&lt;=4</v>
          </cell>
          <cell r="BU124" t="str">
            <v>&lt;=2</v>
          </cell>
          <cell r="BV124">
            <v>3716000</v>
          </cell>
          <cell r="BW124">
            <v>74633</v>
          </cell>
          <cell r="BX124">
            <v>49.790307236745143</v>
          </cell>
          <cell r="BY124">
            <v>795725</v>
          </cell>
          <cell r="BZ124">
            <v>74633</v>
          </cell>
          <cell r="CA124">
            <v>10.661838596867337</v>
          </cell>
          <cell r="CB124">
            <v>6138000</v>
          </cell>
          <cell r="CC124">
            <v>28403</v>
          </cell>
          <cell r="CD124">
            <v>216.10393268316727</v>
          </cell>
          <cell r="CE124">
            <v>4810000</v>
          </cell>
          <cell r="CF124">
            <v>24627</v>
          </cell>
          <cell r="CG124">
            <v>195.31408616559062</v>
          </cell>
          <cell r="CH124">
            <v>13282300</v>
          </cell>
          <cell r="CI124">
            <v>74633</v>
          </cell>
          <cell r="CJ124">
            <v>177.96819101469859</v>
          </cell>
          <cell r="CK124">
            <v>18220510</v>
          </cell>
          <cell r="CL124">
            <v>74633</v>
          </cell>
          <cell r="CM124">
            <v>244.13476612222476</v>
          </cell>
          <cell r="CN124" t="str">
            <v>N/A</v>
          </cell>
          <cell r="CO124" t="str">
            <v>N/A</v>
          </cell>
          <cell r="CP124" t="str">
            <v>N/A</v>
          </cell>
          <cell r="CQ124" t="str">
            <v>N/A</v>
          </cell>
          <cell r="CR124">
            <v>1116</v>
          </cell>
          <cell r="CS124">
            <v>50045</v>
          </cell>
          <cell r="CT124">
            <v>1116</v>
          </cell>
          <cell r="CU124">
            <v>44.843189964157709</v>
          </cell>
          <cell r="CV124">
            <v>28</v>
          </cell>
          <cell r="CW124">
            <v>224000</v>
          </cell>
          <cell r="CX124">
            <v>3410000</v>
          </cell>
          <cell r="CY124">
            <v>6.5689149560117302E-2</v>
          </cell>
          <cell r="CZ124">
            <v>590000</v>
          </cell>
          <cell r="DA124">
            <v>74633</v>
          </cell>
          <cell r="DB124">
            <v>7.9053501802151862</v>
          </cell>
          <cell r="DC124">
            <v>2774000</v>
          </cell>
          <cell r="DD124">
            <v>74633</v>
          </cell>
          <cell r="DE124">
            <v>37.168544745621908</v>
          </cell>
          <cell r="DF124">
            <v>2098000</v>
          </cell>
          <cell r="DG124">
            <v>74633</v>
          </cell>
          <cell r="DH124">
            <v>28.110889284900782</v>
          </cell>
          <cell r="DI124">
            <v>22.8</v>
          </cell>
          <cell r="DJ124">
            <v>3273.3771929824561</v>
          </cell>
          <cell r="DK124">
            <v>1.3572748027185E-2</v>
          </cell>
          <cell r="DL124">
            <v>0.52</v>
          </cell>
          <cell r="DM124">
            <v>27.93</v>
          </cell>
        </row>
        <row r="125">
          <cell r="B125" t="str">
            <v>Blue Mountains City Council</v>
          </cell>
          <cell r="C125">
            <v>7</v>
          </cell>
          <cell r="D125">
            <v>25255000</v>
          </cell>
          <cell r="E125">
            <v>33126</v>
          </cell>
          <cell r="F125">
            <v>762.39207872969871</v>
          </cell>
          <cell r="G125">
            <v>186000</v>
          </cell>
          <cell r="H125">
            <v>130</v>
          </cell>
          <cell r="I125">
            <v>1430.7692307692307</v>
          </cell>
          <cell r="J125">
            <v>2149000</v>
          </cell>
          <cell r="K125">
            <v>1576</v>
          </cell>
          <cell r="L125">
            <v>1363.5786802030457</v>
          </cell>
          <cell r="M125">
            <v>3123000</v>
          </cell>
          <cell r="N125">
            <v>43408000</v>
          </cell>
          <cell r="O125">
            <v>7.1945263545890162E-2</v>
          </cell>
          <cell r="P125">
            <v>1221000</v>
          </cell>
          <cell r="Q125">
            <v>32715000</v>
          </cell>
          <cell r="R125">
            <v>3.7322329206785881E-2</v>
          </cell>
          <cell r="S125">
            <v>908000</v>
          </cell>
          <cell r="T125">
            <v>8564000</v>
          </cell>
          <cell r="U125">
            <v>0.10602522185894442</v>
          </cell>
          <cell r="V125">
            <v>33936000</v>
          </cell>
          <cell r="W125">
            <v>69269000</v>
          </cell>
          <cell r="X125">
            <v>0.48991612409591589</v>
          </cell>
          <cell r="Y125">
            <v>9472000</v>
          </cell>
          <cell r="Z125">
            <v>69269000</v>
          </cell>
          <cell r="AA125">
            <v>0.13674226565996334</v>
          </cell>
          <cell r="AB125">
            <v>1093000</v>
          </cell>
          <cell r="AC125">
            <v>69269000</v>
          </cell>
          <cell r="AD125">
            <v>1.5779064227865278E-2</v>
          </cell>
          <cell r="AE125">
            <v>18137000</v>
          </cell>
          <cell r="AF125">
            <v>69269000</v>
          </cell>
          <cell r="AG125">
            <v>0.26183429817089898</v>
          </cell>
          <cell r="AH125">
            <v>2938000</v>
          </cell>
          <cell r="AI125">
            <v>69269000</v>
          </cell>
          <cell r="AJ125">
            <v>4.2414355628058731E-2</v>
          </cell>
          <cell r="AK125">
            <v>3693000</v>
          </cell>
          <cell r="AL125">
            <v>69269000</v>
          </cell>
          <cell r="AM125">
            <v>5.3313892217297779E-2</v>
          </cell>
          <cell r="AN125">
            <v>62613000</v>
          </cell>
          <cell r="AO125">
            <v>77353</v>
          </cell>
          <cell r="AP125">
            <v>809.44501182888837</v>
          </cell>
          <cell r="AQ125">
            <v>29193000</v>
          </cell>
          <cell r="AR125">
            <v>68325000</v>
          </cell>
          <cell r="AS125">
            <v>0.42726673984632274</v>
          </cell>
          <cell r="AT125">
            <v>15895000</v>
          </cell>
          <cell r="AU125">
            <v>68325000</v>
          </cell>
          <cell r="AV125">
            <v>0.23263812660080499</v>
          </cell>
          <cell r="AW125">
            <v>1253000</v>
          </cell>
          <cell r="AX125">
            <v>68325000</v>
          </cell>
          <cell r="AY125">
            <v>1.8338821807537504E-2</v>
          </cell>
          <cell r="AZ125">
            <v>13047000</v>
          </cell>
          <cell r="BA125">
            <v>68325000</v>
          </cell>
          <cell r="BB125">
            <v>0.19095499451152578</v>
          </cell>
          <cell r="BC125">
            <v>8937000</v>
          </cell>
          <cell r="BD125">
            <v>68325000</v>
          </cell>
          <cell r="BE125">
            <v>0.130801317233809</v>
          </cell>
          <cell r="BF125">
            <v>68325000</v>
          </cell>
          <cell r="BG125">
            <v>77353</v>
          </cell>
          <cell r="BH125">
            <v>883.28830168189984</v>
          </cell>
          <cell r="BI125">
            <v>16879000</v>
          </cell>
          <cell r="BJ125">
            <v>9992000</v>
          </cell>
          <cell r="BK125">
            <v>1.6892514011208968</v>
          </cell>
          <cell r="BL125">
            <v>3415000</v>
          </cell>
          <cell r="BM125">
            <v>58238000</v>
          </cell>
          <cell r="BN125">
            <v>5.8638689515436659E-2</v>
          </cell>
          <cell r="BO125">
            <v>13681000</v>
          </cell>
          <cell r="BP125">
            <v>13047000</v>
          </cell>
          <cell r="BQ125">
            <v>1.0485935464091363</v>
          </cell>
          <cell r="BR125">
            <v>494</v>
          </cell>
          <cell r="BS125" t="str">
            <v>&lt;=2</v>
          </cell>
          <cell r="BT125" t="str">
            <v>&lt;=4</v>
          </cell>
          <cell r="BU125" t="str">
            <v>On Time</v>
          </cell>
          <cell r="BV125">
            <v>1263000</v>
          </cell>
          <cell r="BW125">
            <v>77353</v>
          </cell>
          <cell r="BX125">
            <v>16.327744237456855</v>
          </cell>
          <cell r="BY125">
            <v>520979</v>
          </cell>
          <cell r="BZ125">
            <v>77353</v>
          </cell>
          <cell r="CA125">
            <v>6.7350846121029564</v>
          </cell>
          <cell r="CB125">
            <v>6787000</v>
          </cell>
          <cell r="CC125">
            <v>33170</v>
          </cell>
          <cell r="CD125">
            <v>204.61260174856798</v>
          </cell>
          <cell r="CE125">
            <v>3581205</v>
          </cell>
          <cell r="CF125">
            <v>29907</v>
          </cell>
          <cell r="CG125">
            <v>119.74470859664962</v>
          </cell>
          <cell r="CH125">
            <v>17821440</v>
          </cell>
          <cell r="CI125">
            <v>77353</v>
          </cell>
          <cell r="CJ125">
            <v>230.39106434139595</v>
          </cell>
          <cell r="CK125">
            <v>24338350</v>
          </cell>
          <cell r="CL125">
            <v>77353</v>
          </cell>
          <cell r="CM125">
            <v>314.6400268897134</v>
          </cell>
          <cell r="CN125" t="str">
            <v>N/A</v>
          </cell>
          <cell r="CO125" t="str">
            <v>N/A</v>
          </cell>
          <cell r="CP125" t="str">
            <v>N/A</v>
          </cell>
          <cell r="CQ125" t="str">
            <v>N/A</v>
          </cell>
          <cell r="CR125">
            <v>1962</v>
          </cell>
          <cell r="CS125">
            <v>90252</v>
          </cell>
          <cell r="CT125">
            <v>1962</v>
          </cell>
          <cell r="CU125">
            <v>46</v>
          </cell>
          <cell r="CV125">
            <v>50</v>
          </cell>
          <cell r="CW125">
            <v>123000</v>
          </cell>
          <cell r="CX125">
            <v>5014000</v>
          </cell>
          <cell r="CY125">
            <v>2.4531312325488632E-2</v>
          </cell>
          <cell r="CZ125">
            <v>3633000</v>
          </cell>
          <cell r="DA125">
            <v>77353</v>
          </cell>
          <cell r="DB125">
            <v>46.966504207981593</v>
          </cell>
          <cell r="DC125">
            <v>2885000</v>
          </cell>
          <cell r="DD125">
            <v>77353</v>
          </cell>
          <cell r="DE125">
            <v>37.29654958437294</v>
          </cell>
          <cell r="DF125">
            <v>3028000</v>
          </cell>
          <cell r="DG125">
            <v>77353</v>
          </cell>
          <cell r="DH125">
            <v>39.145217380062832</v>
          </cell>
          <cell r="DI125">
            <v>1431.6</v>
          </cell>
          <cell r="DJ125">
            <v>54.032550991897182</v>
          </cell>
          <cell r="DK125">
            <v>5.1888501589010261E-3</v>
          </cell>
          <cell r="DL125">
            <v>1.18</v>
          </cell>
          <cell r="DM125">
            <v>6.3</v>
          </cell>
        </row>
        <row r="126">
          <cell r="B126" t="str">
            <v>Hornsby, The Council of the Shire of</v>
          </cell>
          <cell r="C126">
            <v>7</v>
          </cell>
          <cell r="D126">
            <v>33551000</v>
          </cell>
          <cell r="E126">
            <v>50058</v>
          </cell>
          <cell r="F126">
            <v>670.24251867833311</v>
          </cell>
          <cell r="G126">
            <v>401000</v>
          </cell>
          <cell r="H126">
            <v>346</v>
          </cell>
          <cell r="I126">
            <v>1158.9595375722542</v>
          </cell>
          <cell r="J126">
            <v>4620000</v>
          </cell>
          <cell r="K126">
            <v>2115</v>
          </cell>
          <cell r="L126">
            <v>2184.3971631205673</v>
          </cell>
          <cell r="M126">
            <v>1785000</v>
          </cell>
          <cell r="N126">
            <v>66007000</v>
          </cell>
          <cell r="O126">
            <v>2.7042586392352325E-2</v>
          </cell>
          <cell r="P126">
            <v>1743000</v>
          </cell>
          <cell r="Q126">
            <v>51069000</v>
          </cell>
          <cell r="R126">
            <v>3.4130294307701342E-2</v>
          </cell>
          <cell r="S126">
            <v>576000</v>
          </cell>
          <cell r="T126">
            <v>12619000</v>
          </cell>
          <cell r="U126">
            <v>4.5645455265868926E-2</v>
          </cell>
          <cell r="V126">
            <v>52812000</v>
          </cell>
          <cell r="W126">
            <v>90709000</v>
          </cell>
          <cell r="X126">
            <v>0.58221345180742812</v>
          </cell>
          <cell r="Y126">
            <v>13195000</v>
          </cell>
          <cell r="Z126">
            <v>90709000</v>
          </cell>
          <cell r="AA126">
            <v>0.14546516883660937</v>
          </cell>
          <cell r="AB126">
            <v>1817000</v>
          </cell>
          <cell r="AC126">
            <v>90709000</v>
          </cell>
          <cell r="AD126">
            <v>2.0031088425624802E-2</v>
          </cell>
          <cell r="AE126">
            <v>9083000</v>
          </cell>
          <cell r="AF126">
            <v>90709000</v>
          </cell>
          <cell r="AG126">
            <v>0.10013339359931209</v>
          </cell>
          <cell r="AH126">
            <v>10466000</v>
          </cell>
          <cell r="AI126">
            <v>90709000</v>
          </cell>
          <cell r="AJ126">
            <v>0.11537995127275133</v>
          </cell>
          <cell r="AK126">
            <v>3336000</v>
          </cell>
          <cell r="AL126">
            <v>90709000</v>
          </cell>
          <cell r="AM126">
            <v>3.6776946058274258E-2</v>
          </cell>
          <cell r="AN126">
            <v>81742000</v>
          </cell>
          <cell r="AO126">
            <v>154563</v>
          </cell>
          <cell r="AP126">
            <v>528.85878250292762</v>
          </cell>
          <cell r="AQ126">
            <v>31264000</v>
          </cell>
          <cell r="AR126">
            <v>77493000</v>
          </cell>
          <cell r="AS126">
            <v>0.40344289161601693</v>
          </cell>
          <cell r="AT126">
            <v>22131000</v>
          </cell>
          <cell r="AU126">
            <v>77493000</v>
          </cell>
          <cell r="AV126">
            <v>0.2855870852851225</v>
          </cell>
          <cell r="AW126">
            <v>442000</v>
          </cell>
          <cell r="AX126">
            <v>77493000</v>
          </cell>
          <cell r="AY126">
            <v>5.7037409830565343E-3</v>
          </cell>
          <cell r="AZ126">
            <v>10562000</v>
          </cell>
          <cell r="BA126">
            <v>77493000</v>
          </cell>
          <cell r="BB126">
            <v>0.13629618159059528</v>
          </cell>
          <cell r="BC126">
            <v>13094000</v>
          </cell>
          <cell r="BD126">
            <v>77493000</v>
          </cell>
          <cell r="BE126">
            <v>0.16897010052520872</v>
          </cell>
          <cell r="BF126">
            <v>77483000</v>
          </cell>
          <cell r="BG126">
            <v>154563</v>
          </cell>
          <cell r="BH126">
            <v>501.3036755238964</v>
          </cell>
          <cell r="BI126">
            <v>14093000</v>
          </cell>
          <cell r="BJ126">
            <v>11821000</v>
          </cell>
          <cell r="BK126">
            <v>1.1922003214618053</v>
          </cell>
          <cell r="BL126">
            <v>2185000</v>
          </cell>
          <cell r="BM126">
            <v>75302000</v>
          </cell>
          <cell r="BN126">
            <v>2.9016493585827734E-2</v>
          </cell>
          <cell r="BO126">
            <v>18073000</v>
          </cell>
          <cell r="BP126">
            <v>10556000</v>
          </cell>
          <cell r="BQ126">
            <v>1.7121068586585828</v>
          </cell>
          <cell r="BR126">
            <v>599</v>
          </cell>
          <cell r="BS126" t="str">
            <v>On Time</v>
          </cell>
          <cell r="BT126" t="str">
            <v>On Time</v>
          </cell>
          <cell r="BU126" t="str">
            <v>On Time</v>
          </cell>
          <cell r="BV126">
            <v>4197000</v>
          </cell>
          <cell r="BW126">
            <v>154563</v>
          </cell>
          <cell r="BX126">
            <v>27.153976048601542</v>
          </cell>
          <cell r="BY126">
            <v>1199451</v>
          </cell>
          <cell r="BZ126">
            <v>154563</v>
          </cell>
          <cell r="CA126">
            <v>7.7602725102385435</v>
          </cell>
          <cell r="CB126">
            <v>12241000</v>
          </cell>
          <cell r="CC126">
            <v>50141</v>
          </cell>
          <cell r="CD126">
            <v>244.13154903173051</v>
          </cell>
          <cell r="CE126">
            <v>6572493</v>
          </cell>
          <cell r="CF126">
            <v>50141</v>
          </cell>
          <cell r="CG126">
            <v>131.0802137970922</v>
          </cell>
          <cell r="CH126">
            <v>28167000</v>
          </cell>
          <cell r="CI126">
            <v>154563</v>
          </cell>
          <cell r="CJ126">
            <v>182.23636963568254</v>
          </cell>
          <cell r="CK126">
            <v>33263000</v>
          </cell>
          <cell r="CL126">
            <v>154563</v>
          </cell>
          <cell r="CM126">
            <v>215.20674417551419</v>
          </cell>
          <cell r="CN126" t="str">
            <v>N/A</v>
          </cell>
          <cell r="CO126" t="str">
            <v>N/A</v>
          </cell>
          <cell r="CP126" t="str">
            <v>N/A</v>
          </cell>
          <cell r="CQ126" t="str">
            <v>N/A</v>
          </cell>
          <cell r="CR126">
            <v>2858</v>
          </cell>
          <cell r="CS126">
            <v>133084</v>
          </cell>
          <cell r="CT126">
            <v>2858</v>
          </cell>
          <cell r="CU126">
            <v>46.565430370888734</v>
          </cell>
          <cell r="CV126">
            <v>36</v>
          </cell>
          <cell r="CW126">
            <v>888000</v>
          </cell>
          <cell r="CX126">
            <v>9618000</v>
          </cell>
          <cell r="CY126">
            <v>9.2326887086712411E-2</v>
          </cell>
          <cell r="CZ126">
            <v>5716000</v>
          </cell>
          <cell r="DA126">
            <v>154563</v>
          </cell>
          <cell r="DB126">
            <v>36.981683844128284</v>
          </cell>
          <cell r="DC126">
            <v>7323000</v>
          </cell>
          <cell r="DD126">
            <v>154563</v>
          </cell>
          <cell r="DE126">
            <v>47.378738766716488</v>
          </cell>
          <cell r="DF126">
            <v>3902000</v>
          </cell>
          <cell r="DG126">
            <v>154563</v>
          </cell>
          <cell r="DH126">
            <v>25.245369202202337</v>
          </cell>
          <cell r="DI126">
            <v>462.4</v>
          </cell>
          <cell r="DJ126">
            <v>334.26254325259515</v>
          </cell>
          <cell r="DK126">
            <v>1.129529369787563E-2</v>
          </cell>
          <cell r="DL126">
            <v>0.3</v>
          </cell>
          <cell r="DM126">
            <v>19.47</v>
          </cell>
        </row>
        <row r="127">
          <cell r="B127" t="str">
            <v>Queanbeyan City Council</v>
          </cell>
          <cell r="C127">
            <v>4</v>
          </cell>
          <cell r="D127">
            <v>8270000</v>
          </cell>
          <cell r="E127">
            <v>13264</v>
          </cell>
          <cell r="F127">
            <v>623.49215922798555</v>
          </cell>
          <cell r="G127">
            <v>9000</v>
          </cell>
          <cell r="H127">
            <v>11</v>
          </cell>
          <cell r="I127">
            <v>818.18181818181813</v>
          </cell>
          <cell r="J127">
            <v>3894000</v>
          </cell>
          <cell r="K127">
            <v>1004</v>
          </cell>
          <cell r="L127">
            <v>3878.4860557768925</v>
          </cell>
          <cell r="M127">
            <v>3724000</v>
          </cell>
          <cell r="N127">
            <v>30613000</v>
          </cell>
          <cell r="O127">
            <v>0.12164766602423807</v>
          </cell>
          <cell r="P127">
            <v>1674000</v>
          </cell>
          <cell r="Q127">
            <v>20438000</v>
          </cell>
          <cell r="R127">
            <v>8.1906253058029163E-2</v>
          </cell>
          <cell r="S127">
            <v>1607000</v>
          </cell>
          <cell r="T127">
            <v>6894000</v>
          </cell>
          <cell r="U127">
            <v>0.23310124746156077</v>
          </cell>
          <cell r="V127">
            <v>22112000</v>
          </cell>
          <cell r="W127">
            <v>51303000</v>
          </cell>
          <cell r="X127">
            <v>0.43100793325926356</v>
          </cell>
          <cell r="Y127">
            <v>8501000</v>
          </cell>
          <cell r="Z127">
            <v>51303000</v>
          </cell>
          <cell r="AA127">
            <v>0.16570181081028401</v>
          </cell>
          <cell r="AB127">
            <v>2507000</v>
          </cell>
          <cell r="AC127">
            <v>51303000</v>
          </cell>
          <cell r="AD127">
            <v>4.8866538019219148E-2</v>
          </cell>
          <cell r="AE127">
            <v>8315000</v>
          </cell>
          <cell r="AF127">
            <v>51303000</v>
          </cell>
          <cell r="AG127">
            <v>0.1620762918347855</v>
          </cell>
          <cell r="AH127">
            <v>8833000</v>
          </cell>
          <cell r="AI127">
            <v>51303000</v>
          </cell>
          <cell r="AJ127">
            <v>0.17217316726117382</v>
          </cell>
          <cell r="AK127">
            <v>1035000</v>
          </cell>
          <cell r="AL127">
            <v>51303000</v>
          </cell>
          <cell r="AM127">
            <v>2.017425881527396E-2</v>
          </cell>
          <cell r="AN127">
            <v>27047000</v>
          </cell>
          <cell r="AO127">
            <v>33303</v>
          </cell>
          <cell r="AP127">
            <v>812.14905564063292</v>
          </cell>
          <cell r="AQ127">
            <v>12681000</v>
          </cell>
          <cell r="AR127">
            <v>37560000</v>
          </cell>
          <cell r="AS127">
            <v>0.33761980830670929</v>
          </cell>
          <cell r="AT127">
            <v>13475000</v>
          </cell>
          <cell r="AU127">
            <v>37560000</v>
          </cell>
          <cell r="AV127">
            <v>0.35875931842385517</v>
          </cell>
          <cell r="AW127">
            <v>48000</v>
          </cell>
          <cell r="AX127">
            <v>37560000</v>
          </cell>
          <cell r="AY127">
            <v>1.2779552715654952E-3</v>
          </cell>
          <cell r="AZ127">
            <v>5636000</v>
          </cell>
          <cell r="BA127">
            <v>37560000</v>
          </cell>
          <cell r="BB127">
            <v>0.15005324813631524</v>
          </cell>
          <cell r="BC127">
            <v>5720000</v>
          </cell>
          <cell r="BD127">
            <v>37560000</v>
          </cell>
          <cell r="BE127">
            <v>0.15228966986155484</v>
          </cell>
          <cell r="BF127">
            <v>28181000</v>
          </cell>
          <cell r="BG127">
            <v>33303</v>
          </cell>
          <cell r="BH127">
            <v>846.20004203825476</v>
          </cell>
          <cell r="BI127">
            <v>10562000</v>
          </cell>
          <cell r="BJ127">
            <v>3900000</v>
          </cell>
          <cell r="BK127">
            <v>2.7082051282051283</v>
          </cell>
          <cell r="BL127">
            <v>498000</v>
          </cell>
          <cell r="BM127">
            <v>37065000</v>
          </cell>
          <cell r="BN127">
            <v>1.3435855928773777E-2</v>
          </cell>
          <cell r="BO127">
            <v>8870000</v>
          </cell>
          <cell r="BP127">
            <v>3614000</v>
          </cell>
          <cell r="BQ127">
            <v>2.4543442169341452</v>
          </cell>
          <cell r="BR127">
            <v>263</v>
          </cell>
          <cell r="BS127" t="str">
            <v>&lt;=2</v>
          </cell>
          <cell r="BT127" t="str">
            <v>&lt;=2</v>
          </cell>
          <cell r="BU127" t="str">
            <v>On Time</v>
          </cell>
          <cell r="BV127">
            <v>750000</v>
          </cell>
          <cell r="BW127">
            <v>33303</v>
          </cell>
          <cell r="BX127">
            <v>22.520493649220789</v>
          </cell>
          <cell r="BY127">
            <v>204344</v>
          </cell>
          <cell r="BZ127">
            <v>33303</v>
          </cell>
          <cell r="CA127">
            <v>6.135903672341831</v>
          </cell>
          <cell r="CB127">
            <v>2055000</v>
          </cell>
          <cell r="CC127">
            <v>12701</v>
          </cell>
          <cell r="CD127">
            <v>161.79828359971657</v>
          </cell>
          <cell r="CE127">
            <v>2296808</v>
          </cell>
          <cell r="CF127">
            <v>12701</v>
          </cell>
          <cell r="CG127">
            <v>180.83678450515708</v>
          </cell>
          <cell r="CH127">
            <v>13550000</v>
          </cell>
          <cell r="CI127">
            <v>33303</v>
          </cell>
          <cell r="CJ127">
            <v>406.87025192925563</v>
          </cell>
          <cell r="CK127">
            <v>7321370</v>
          </cell>
          <cell r="CL127">
            <v>33303</v>
          </cell>
          <cell r="CM127">
            <v>219.84115545146082</v>
          </cell>
          <cell r="CN127">
            <v>436</v>
          </cell>
          <cell r="CO127">
            <v>258</v>
          </cell>
          <cell r="CP127">
            <v>315</v>
          </cell>
          <cell r="CQ127">
            <v>303</v>
          </cell>
          <cell r="CR127">
            <v>638</v>
          </cell>
          <cell r="CS127">
            <v>29832</v>
          </cell>
          <cell r="CT127">
            <v>638</v>
          </cell>
          <cell r="CU127">
            <v>46.758620689655174</v>
          </cell>
          <cell r="CV127">
            <v>35</v>
          </cell>
          <cell r="CW127">
            <v>22000</v>
          </cell>
          <cell r="CX127">
            <v>1156000</v>
          </cell>
          <cell r="CY127">
            <v>1.9031141868512111E-2</v>
          </cell>
          <cell r="CZ127">
            <v>428000</v>
          </cell>
          <cell r="DA127">
            <v>33303</v>
          </cell>
          <cell r="DB127">
            <v>12.851695042488664</v>
          </cell>
          <cell r="DC127">
            <v>1994000</v>
          </cell>
          <cell r="DD127">
            <v>33303</v>
          </cell>
          <cell r="DE127">
            <v>59.874485782061676</v>
          </cell>
          <cell r="DF127">
            <v>3899000</v>
          </cell>
          <cell r="DG127">
            <v>33303</v>
          </cell>
          <cell r="DH127">
            <v>117.07653965108248</v>
          </cell>
          <cell r="DI127">
            <v>52.2</v>
          </cell>
          <cell r="DJ127">
            <v>637.9885057471264</v>
          </cell>
          <cell r="DK127">
            <v>2.9630814745009282E-2</v>
          </cell>
          <cell r="DL127">
            <v>2.61</v>
          </cell>
          <cell r="DM127">
            <v>11.7</v>
          </cell>
        </row>
        <row r="128">
          <cell r="B128" t="str">
            <v>Singleton Shire Council</v>
          </cell>
          <cell r="C128">
            <v>4</v>
          </cell>
          <cell r="D128">
            <v>2961000</v>
          </cell>
          <cell r="E128">
            <v>6847</v>
          </cell>
          <cell r="F128">
            <v>432.45216883306557</v>
          </cell>
          <cell r="G128">
            <v>1721000</v>
          </cell>
          <cell r="H128">
            <v>1444</v>
          </cell>
          <cell r="I128">
            <v>1191.8282548476454</v>
          </cell>
          <cell r="J128">
            <v>528000</v>
          </cell>
          <cell r="K128">
            <v>614</v>
          </cell>
          <cell r="L128">
            <v>859.9348534201954</v>
          </cell>
          <cell r="M128">
            <v>1972000</v>
          </cell>
          <cell r="N128">
            <v>17827000</v>
          </cell>
          <cell r="O128">
            <v>0.11061872440679868</v>
          </cell>
          <cell r="P128">
            <v>665000</v>
          </cell>
          <cell r="Q128">
            <v>10460000</v>
          </cell>
          <cell r="R128">
            <v>6.3575525812619507E-2</v>
          </cell>
          <cell r="S128">
            <v>938000</v>
          </cell>
          <cell r="T128">
            <v>5764000</v>
          </cell>
          <cell r="U128">
            <v>0.16273421235253296</v>
          </cell>
          <cell r="V128">
            <v>11125000</v>
          </cell>
          <cell r="W128">
            <v>28172000</v>
          </cell>
          <cell r="X128">
            <v>0.39489564106204744</v>
          </cell>
          <cell r="Y128">
            <v>6702000</v>
          </cell>
          <cell r="Z128">
            <v>28172000</v>
          </cell>
          <cell r="AA128">
            <v>0.23789578304699702</v>
          </cell>
          <cell r="AB128">
            <v>1077000</v>
          </cell>
          <cell r="AC128">
            <v>28172000</v>
          </cell>
          <cell r="AD128">
            <v>3.8229447678546073E-2</v>
          </cell>
          <cell r="AE128">
            <v>4039000</v>
          </cell>
          <cell r="AF128">
            <v>28172000</v>
          </cell>
          <cell r="AG128">
            <v>0.14336930285389748</v>
          </cell>
          <cell r="AH128">
            <v>4497000</v>
          </cell>
          <cell r="AI128">
            <v>28172000</v>
          </cell>
          <cell r="AJ128">
            <v>0.15962657958256424</v>
          </cell>
          <cell r="AK128">
            <v>732000</v>
          </cell>
          <cell r="AL128">
            <v>28172000</v>
          </cell>
          <cell r="AM128">
            <v>2.5983245775947749E-2</v>
          </cell>
          <cell r="AN128">
            <v>19907000</v>
          </cell>
          <cell r="AO128">
            <v>21460</v>
          </cell>
          <cell r="AP128">
            <v>927.63280521901208</v>
          </cell>
          <cell r="AQ128">
            <v>7756000</v>
          </cell>
          <cell r="AR128">
            <v>24155000</v>
          </cell>
          <cell r="AS128">
            <v>0.32109294141999584</v>
          </cell>
          <cell r="AT128">
            <v>7640000</v>
          </cell>
          <cell r="AU128">
            <v>24155000</v>
          </cell>
          <cell r="AV128">
            <v>0.31629062305940797</v>
          </cell>
          <cell r="AW128">
            <v>330000</v>
          </cell>
          <cell r="AX128">
            <v>24155000</v>
          </cell>
          <cell r="AY128">
            <v>1.3661767749948251E-2</v>
          </cell>
          <cell r="AZ128">
            <v>6456000</v>
          </cell>
          <cell r="BA128">
            <v>24155000</v>
          </cell>
          <cell r="BB128">
            <v>0.26727385634444212</v>
          </cell>
          <cell r="BC128">
            <v>1973000</v>
          </cell>
          <cell r="BD128">
            <v>24155000</v>
          </cell>
          <cell r="BE128">
            <v>8.1680811426205757E-2</v>
          </cell>
          <cell r="BF128">
            <v>20162000</v>
          </cell>
          <cell r="BG128">
            <v>21460</v>
          </cell>
          <cell r="BH128">
            <v>939.51537744641189</v>
          </cell>
          <cell r="BI128">
            <v>9934000</v>
          </cell>
          <cell r="BJ128">
            <v>3491000</v>
          </cell>
          <cell r="BK128">
            <v>2.8456029790890862</v>
          </cell>
          <cell r="BL128">
            <v>811000</v>
          </cell>
          <cell r="BM128">
            <v>23007000</v>
          </cell>
          <cell r="BN128">
            <v>3.5250141261355242E-2</v>
          </cell>
          <cell r="BO128">
            <v>6374000</v>
          </cell>
          <cell r="BP128">
            <v>5102000</v>
          </cell>
          <cell r="BQ128">
            <v>1.249313994511956</v>
          </cell>
          <cell r="BR128">
            <v>176</v>
          </cell>
          <cell r="BS128" t="str">
            <v>On Time</v>
          </cell>
          <cell r="BT128" t="str">
            <v>&lt;=4</v>
          </cell>
          <cell r="BU128" t="str">
            <v>On Time</v>
          </cell>
          <cell r="BV128">
            <v>734000</v>
          </cell>
          <cell r="BW128">
            <v>21460</v>
          </cell>
          <cell r="BX128">
            <v>34.203168685927309</v>
          </cell>
          <cell r="BY128">
            <v>143025</v>
          </cell>
          <cell r="BZ128">
            <v>21460</v>
          </cell>
          <cell r="CA128">
            <v>6.664725069897484</v>
          </cell>
          <cell r="CB128">
            <v>1322000</v>
          </cell>
          <cell r="CC128">
            <v>6781</v>
          </cell>
          <cell r="CD128">
            <v>194.95649609202184</v>
          </cell>
          <cell r="CE128">
            <v>1649000</v>
          </cell>
          <cell r="CF128">
            <v>6357</v>
          </cell>
          <cell r="CG128">
            <v>259.3990876199465</v>
          </cell>
          <cell r="CH128">
            <v>1353800</v>
          </cell>
          <cell r="CI128">
            <v>21460</v>
          </cell>
          <cell r="CJ128">
            <v>63.084808946877914</v>
          </cell>
          <cell r="CK128">
            <v>16770000</v>
          </cell>
          <cell r="CL128">
            <v>21460</v>
          </cell>
          <cell r="CM128">
            <v>781.45386766076422</v>
          </cell>
          <cell r="CN128">
            <v>546.75009793645199</v>
          </cell>
          <cell r="CO128">
            <v>425</v>
          </cell>
          <cell r="CP128">
            <v>312.692813653244</v>
          </cell>
          <cell r="CQ128">
            <v>348.66817734832603</v>
          </cell>
          <cell r="CR128">
            <v>871</v>
          </cell>
          <cell r="CS128">
            <v>41116</v>
          </cell>
          <cell r="CT128">
            <v>871</v>
          </cell>
          <cell r="CU128">
            <v>47.205510907003443</v>
          </cell>
          <cell r="CV128">
            <v>30</v>
          </cell>
          <cell r="CW128">
            <v>10000</v>
          </cell>
          <cell r="CX128">
            <v>933000</v>
          </cell>
          <cell r="CY128">
            <v>1.0718113612004287E-2</v>
          </cell>
          <cell r="CZ128">
            <v>272000</v>
          </cell>
          <cell r="DA128">
            <v>21460</v>
          </cell>
          <cell r="DB128">
            <v>12.674743709226467</v>
          </cell>
          <cell r="DC128">
            <v>1000000</v>
          </cell>
          <cell r="DD128">
            <v>21460</v>
          </cell>
          <cell r="DE128">
            <v>46.598322460391429</v>
          </cell>
          <cell r="DF128">
            <v>1084000</v>
          </cell>
          <cell r="DG128">
            <v>21460</v>
          </cell>
          <cell r="DH128">
            <v>50.512581547064308</v>
          </cell>
          <cell r="DI128">
            <v>4895.8999999999996</v>
          </cell>
          <cell r="DJ128">
            <v>4.3832594619988159</v>
          </cell>
          <cell r="DK128">
            <v>8.5073906129990995E-3</v>
          </cell>
          <cell r="DL128">
            <v>2.17</v>
          </cell>
          <cell r="DM128">
            <v>2.29</v>
          </cell>
        </row>
        <row r="129">
          <cell r="B129" t="str">
            <v>Bellingen Shire Council</v>
          </cell>
          <cell r="C129">
            <v>11</v>
          </cell>
          <cell r="D129">
            <v>2462000</v>
          </cell>
          <cell r="E129">
            <v>4797</v>
          </cell>
          <cell r="F129">
            <v>513.23744006670836</v>
          </cell>
          <cell r="G129">
            <v>758000</v>
          </cell>
          <cell r="H129">
            <v>538</v>
          </cell>
          <cell r="I129">
            <v>1408.9219330855019</v>
          </cell>
          <cell r="J129">
            <v>253000</v>
          </cell>
          <cell r="K129">
            <v>344</v>
          </cell>
          <cell r="L129">
            <v>735.46511627906978</v>
          </cell>
          <cell r="M129">
            <v>1478000</v>
          </cell>
          <cell r="N129">
            <v>9765000</v>
          </cell>
          <cell r="O129">
            <v>0.15135688684075782</v>
          </cell>
          <cell r="P129">
            <v>317000</v>
          </cell>
          <cell r="Q129">
            <v>5898000</v>
          </cell>
          <cell r="R129">
            <v>5.3747032892505937E-2</v>
          </cell>
          <cell r="S129">
            <v>-622000</v>
          </cell>
          <cell r="T129">
            <v>4172000</v>
          </cell>
          <cell r="U129">
            <v>-0.14908916586768936</v>
          </cell>
          <cell r="V129">
            <v>6215000</v>
          </cell>
          <cell r="W129">
            <v>17129000</v>
          </cell>
          <cell r="X129">
            <v>0.36283495825792517</v>
          </cell>
          <cell r="Y129">
            <v>3550000</v>
          </cell>
          <cell r="Z129">
            <v>17129000</v>
          </cell>
          <cell r="AA129">
            <v>0.2072508611127328</v>
          </cell>
          <cell r="AB129">
            <v>996000</v>
          </cell>
          <cell r="AC129">
            <v>17129000</v>
          </cell>
          <cell r="AD129">
            <v>5.8147002160079397E-2</v>
          </cell>
          <cell r="AE129">
            <v>5055000</v>
          </cell>
          <cell r="AF129">
            <v>17129000</v>
          </cell>
          <cell r="AG129">
            <v>0.2951135501196801</v>
          </cell>
          <cell r="AH129">
            <v>1221000</v>
          </cell>
          <cell r="AI129">
            <v>17129000</v>
          </cell>
          <cell r="AJ129">
            <v>7.1282620117928658E-2</v>
          </cell>
          <cell r="AK129">
            <v>92000</v>
          </cell>
          <cell r="AL129">
            <v>17129000</v>
          </cell>
          <cell r="AM129">
            <v>5.37100823165392E-3</v>
          </cell>
          <cell r="AN129">
            <v>12148000</v>
          </cell>
          <cell r="AO129">
            <v>12755</v>
          </cell>
          <cell r="AP129">
            <v>952.41081928655433</v>
          </cell>
          <cell r="AQ129">
            <v>5424000</v>
          </cell>
          <cell r="AR129">
            <v>15973000</v>
          </cell>
          <cell r="AS129">
            <v>0.33957302948725976</v>
          </cell>
          <cell r="AT129">
            <v>4701000</v>
          </cell>
          <cell r="AU129">
            <v>15973000</v>
          </cell>
          <cell r="AV129">
            <v>0.294309146685031</v>
          </cell>
          <cell r="AW129">
            <v>113000</v>
          </cell>
          <cell r="AX129">
            <v>15973000</v>
          </cell>
          <cell r="AY129">
            <v>7.0744381143179116E-3</v>
          </cell>
          <cell r="AZ129">
            <v>4547000</v>
          </cell>
          <cell r="BA129">
            <v>15973000</v>
          </cell>
          <cell r="BB129">
            <v>0.28466787704250923</v>
          </cell>
          <cell r="BC129">
            <v>1188000</v>
          </cell>
          <cell r="BD129">
            <v>15973000</v>
          </cell>
          <cell r="BE129">
            <v>7.4375508670882107E-2</v>
          </cell>
          <cell r="BF129">
            <v>13172000</v>
          </cell>
          <cell r="BG129">
            <v>12755</v>
          </cell>
          <cell r="BH129">
            <v>1032.6930615444924</v>
          </cell>
          <cell r="BI129">
            <v>8789000</v>
          </cell>
          <cell r="BJ129">
            <v>1786000</v>
          </cell>
          <cell r="BK129">
            <v>4.9210526315789478</v>
          </cell>
          <cell r="BL129">
            <v>453000</v>
          </cell>
          <cell r="BM129">
            <v>13145000</v>
          </cell>
          <cell r="BN129">
            <v>3.4461772537086342E-2</v>
          </cell>
          <cell r="BO129">
            <v>3001000</v>
          </cell>
          <cell r="BP129">
            <v>3428000</v>
          </cell>
          <cell r="BQ129">
            <v>0.87543757292882152</v>
          </cell>
          <cell r="BR129">
            <v>110</v>
          </cell>
          <cell r="BS129" t="str">
            <v>On Time</v>
          </cell>
          <cell r="BT129" t="str">
            <v>On Time</v>
          </cell>
          <cell r="BU129" t="str">
            <v>&lt;=2</v>
          </cell>
          <cell r="BV129">
            <v>364000</v>
          </cell>
          <cell r="BW129">
            <v>12755</v>
          </cell>
          <cell r="BX129">
            <v>28.537828302626423</v>
          </cell>
          <cell r="BY129">
            <v>98884</v>
          </cell>
          <cell r="BZ129">
            <v>12755</v>
          </cell>
          <cell r="CA129">
            <v>7.7525676205409644</v>
          </cell>
          <cell r="CB129">
            <v>748000</v>
          </cell>
          <cell r="CC129">
            <v>3282</v>
          </cell>
          <cell r="CD129">
            <v>227.90981109079829</v>
          </cell>
          <cell r="CE129">
            <v>271270</v>
          </cell>
          <cell r="CF129">
            <v>3490</v>
          </cell>
          <cell r="CG129">
            <v>77.727793696275072</v>
          </cell>
          <cell r="CH129">
            <v>695213</v>
          </cell>
          <cell r="CI129">
            <v>12755</v>
          </cell>
          <cell r="CJ129">
            <v>54.505135241081931</v>
          </cell>
          <cell r="CK129">
            <v>1784480</v>
          </cell>
          <cell r="CL129">
            <v>12755</v>
          </cell>
          <cell r="CM129">
            <v>139.90435123480987</v>
          </cell>
          <cell r="CN129">
            <v>311.55877449812999</v>
          </cell>
          <cell r="CO129">
            <v>360</v>
          </cell>
          <cell r="CP129">
            <v>409.20207583560301</v>
          </cell>
          <cell r="CQ129">
            <v>514</v>
          </cell>
          <cell r="CR129">
            <v>444</v>
          </cell>
          <cell r="CS129">
            <v>20980</v>
          </cell>
          <cell r="CT129">
            <v>444</v>
          </cell>
          <cell r="CU129">
            <v>47.252252252252255</v>
          </cell>
          <cell r="CV129">
            <v>33</v>
          </cell>
          <cell r="CW129">
            <v>8000</v>
          </cell>
          <cell r="CX129">
            <v>548000</v>
          </cell>
          <cell r="CY129">
            <v>1.4598540145985401E-2</v>
          </cell>
          <cell r="CZ129">
            <v>602000</v>
          </cell>
          <cell r="DA129">
            <v>12755</v>
          </cell>
          <cell r="DB129">
            <v>47.197177577420618</v>
          </cell>
          <cell r="DC129">
            <v>675000</v>
          </cell>
          <cell r="DD129">
            <v>12755</v>
          </cell>
          <cell r="DE129">
            <v>52.920423363386909</v>
          </cell>
          <cell r="DF129">
            <v>599000</v>
          </cell>
          <cell r="DG129">
            <v>12755</v>
          </cell>
          <cell r="DH129">
            <v>46.961975695805563</v>
          </cell>
          <cell r="DI129">
            <v>1602.4</v>
          </cell>
          <cell r="DJ129">
            <v>7.9599350973539682</v>
          </cell>
          <cell r="DK129">
            <v>3.0221113824093759E-3</v>
          </cell>
          <cell r="DL129">
            <v>2.72</v>
          </cell>
          <cell r="DM129">
            <v>2.97</v>
          </cell>
        </row>
        <row r="130">
          <cell r="B130" t="str">
            <v>Tallaganda Shire Council</v>
          </cell>
          <cell r="C130">
            <v>9</v>
          </cell>
          <cell r="D130">
            <v>390000</v>
          </cell>
          <cell r="E130">
            <v>1152</v>
          </cell>
          <cell r="F130">
            <v>338.54166666666669</v>
          </cell>
          <cell r="G130">
            <v>1233000</v>
          </cell>
          <cell r="H130">
            <v>1455</v>
          </cell>
          <cell r="I130">
            <v>847.42268041237116</v>
          </cell>
          <cell r="J130">
            <v>47000</v>
          </cell>
          <cell r="K130">
            <v>116</v>
          </cell>
          <cell r="L130">
            <v>405.17241379310343</v>
          </cell>
          <cell r="M130">
            <v>443000</v>
          </cell>
          <cell r="N130">
            <v>3968000</v>
          </cell>
          <cell r="O130">
            <v>0.11164314516129033</v>
          </cell>
          <cell r="P130">
            <v>40000</v>
          </cell>
          <cell r="Q130">
            <v>1950000</v>
          </cell>
          <cell r="R130">
            <v>2.0512820512820513E-2</v>
          </cell>
          <cell r="S130">
            <v>321000</v>
          </cell>
          <cell r="T130">
            <v>1657000</v>
          </cell>
          <cell r="U130">
            <v>0.19372359686179844</v>
          </cell>
          <cell r="V130">
            <v>1990000</v>
          </cell>
          <cell r="W130">
            <v>6561000</v>
          </cell>
          <cell r="X130">
            <v>0.30330742264898641</v>
          </cell>
          <cell r="Y130">
            <v>1978000</v>
          </cell>
          <cell r="Z130">
            <v>6561000</v>
          </cell>
          <cell r="AA130">
            <v>0.30147843316567596</v>
          </cell>
          <cell r="AB130">
            <v>211000</v>
          </cell>
          <cell r="AC130">
            <v>6561000</v>
          </cell>
          <cell r="AD130">
            <v>3.2159731748209117E-2</v>
          </cell>
          <cell r="AE130">
            <v>2064000</v>
          </cell>
          <cell r="AF130">
            <v>6561000</v>
          </cell>
          <cell r="AG130">
            <v>0.314586191129401</v>
          </cell>
          <cell r="AH130">
            <v>178000</v>
          </cell>
          <cell r="AI130">
            <v>6561000</v>
          </cell>
          <cell r="AJ130">
            <v>2.7130010669105319E-2</v>
          </cell>
          <cell r="AK130">
            <v>140000</v>
          </cell>
          <cell r="AL130">
            <v>6561000</v>
          </cell>
          <cell r="AM130">
            <v>2.1338210638622162E-2</v>
          </cell>
          <cell r="AN130">
            <v>6068000</v>
          </cell>
          <cell r="AO130">
            <v>2800</v>
          </cell>
          <cell r="AP130">
            <v>2167.1428571428573</v>
          </cell>
          <cell r="AQ130">
            <v>2527000</v>
          </cell>
          <cell r="AR130">
            <v>5497000</v>
          </cell>
          <cell r="AS130">
            <v>0.45970529379661634</v>
          </cell>
          <cell r="AT130">
            <v>1624000</v>
          </cell>
          <cell r="AU130">
            <v>5497000</v>
          </cell>
          <cell r="AV130">
            <v>0.2954338730216482</v>
          </cell>
          <cell r="AW130">
            <v>3000</v>
          </cell>
          <cell r="AX130">
            <v>5497000</v>
          </cell>
          <cell r="AY130">
            <v>5.4575222848826633E-4</v>
          </cell>
          <cell r="AZ130">
            <v>791000</v>
          </cell>
          <cell r="BA130">
            <v>5497000</v>
          </cell>
          <cell r="BB130">
            <v>0.14389667091140623</v>
          </cell>
          <cell r="BC130">
            <v>552000</v>
          </cell>
          <cell r="BD130">
            <v>5497000</v>
          </cell>
          <cell r="BE130">
            <v>0.100418410041841</v>
          </cell>
          <cell r="BF130">
            <v>5123000</v>
          </cell>
          <cell r="BG130">
            <v>2800</v>
          </cell>
          <cell r="BH130">
            <v>1829.6428571428571</v>
          </cell>
          <cell r="BI130">
            <v>2753000</v>
          </cell>
          <cell r="BJ130">
            <v>1169000</v>
          </cell>
          <cell r="BK130">
            <v>2.3550042771599657</v>
          </cell>
          <cell r="BL130">
            <v>3000</v>
          </cell>
          <cell r="BM130">
            <v>5506000</v>
          </cell>
          <cell r="BN130">
            <v>5.4486015256084274E-4</v>
          </cell>
          <cell r="BO130">
            <v>1395000</v>
          </cell>
          <cell r="BP130">
            <v>668000</v>
          </cell>
          <cell r="BQ130">
            <v>2.0883233532934131</v>
          </cell>
          <cell r="BR130">
            <v>55</v>
          </cell>
          <cell r="BS130" t="str">
            <v>Not Received</v>
          </cell>
          <cell r="BT130" t="str">
            <v>Not Received</v>
          </cell>
          <cell r="BU130" t="str">
            <v>On Time</v>
          </cell>
          <cell r="BV130">
            <v>81000</v>
          </cell>
          <cell r="BW130">
            <v>2800</v>
          </cell>
          <cell r="BX130">
            <v>28.928571428571427</v>
          </cell>
          <cell r="BY130">
            <v>18739</v>
          </cell>
          <cell r="BZ130">
            <v>2800</v>
          </cell>
          <cell r="CA130">
            <v>6.6924999999999999</v>
          </cell>
          <cell r="CB130">
            <v>120000</v>
          </cell>
          <cell r="CC130">
            <v>511</v>
          </cell>
          <cell r="CD130">
            <v>234.83365949119374</v>
          </cell>
          <cell r="CE130">
            <v>46945</v>
          </cell>
          <cell r="CF130">
            <v>511</v>
          </cell>
          <cell r="CG130">
            <v>91.868884540117421</v>
          </cell>
          <cell r="CH130">
            <v>470000</v>
          </cell>
          <cell r="CI130">
            <v>2800</v>
          </cell>
          <cell r="CJ130">
            <v>167.85714285714286</v>
          </cell>
          <cell r="CK130">
            <v>162500</v>
          </cell>
          <cell r="CL130">
            <v>2800</v>
          </cell>
          <cell r="CM130">
            <v>58.035714285714285</v>
          </cell>
          <cell r="CN130">
            <v>366.964364665311</v>
          </cell>
          <cell r="CO130">
            <v>421.49435531788498</v>
          </cell>
          <cell r="CP130">
            <v>264.15094339622601</v>
          </cell>
          <cell r="CQ130">
            <v>371.76256764013402</v>
          </cell>
          <cell r="CR130">
            <v>154</v>
          </cell>
          <cell r="CS130">
            <v>7359</v>
          </cell>
          <cell r="CT130">
            <v>154</v>
          </cell>
          <cell r="CU130">
            <v>47.785714285714285</v>
          </cell>
          <cell r="CV130">
            <v>43</v>
          </cell>
          <cell r="CW130">
            <v>3000</v>
          </cell>
          <cell r="CX130">
            <v>184000</v>
          </cell>
          <cell r="CY130">
            <v>1.6304347826086956E-2</v>
          </cell>
          <cell r="CZ130">
            <v>133000</v>
          </cell>
          <cell r="DA130">
            <v>2800</v>
          </cell>
          <cell r="DB130">
            <v>47.5</v>
          </cell>
          <cell r="DC130">
            <v>173000</v>
          </cell>
          <cell r="DD130">
            <v>2800</v>
          </cell>
          <cell r="DE130">
            <v>61.785714285714285</v>
          </cell>
          <cell r="DF130">
            <v>22000</v>
          </cell>
          <cell r="DG130">
            <v>2800</v>
          </cell>
          <cell r="DH130">
            <v>7.8571428571428568</v>
          </cell>
          <cell r="DI130">
            <v>3321.7</v>
          </cell>
          <cell r="DJ130">
            <v>0.84294186711623575</v>
          </cell>
          <cell r="DK130">
            <v>1.3920080642603638E-2</v>
          </cell>
          <cell r="DL130">
            <v>0.6</v>
          </cell>
          <cell r="DM130">
            <v>4.47</v>
          </cell>
        </row>
        <row r="131">
          <cell r="B131" t="str">
            <v>Baulkham Hills, The Council of the Shire of</v>
          </cell>
          <cell r="C131">
            <v>7</v>
          </cell>
          <cell r="D131">
            <v>36284000</v>
          </cell>
          <cell r="E131">
            <v>50525</v>
          </cell>
          <cell r="F131">
            <v>718.1395348837209</v>
          </cell>
          <cell r="G131">
            <v>470000</v>
          </cell>
          <cell r="H131">
            <v>439</v>
          </cell>
          <cell r="I131">
            <v>1070.615034168565</v>
          </cell>
          <cell r="J131">
            <v>4142000</v>
          </cell>
          <cell r="K131">
            <v>1981</v>
          </cell>
          <cell r="L131">
            <v>2090.8632004038363</v>
          </cell>
          <cell r="M131">
            <v>1723000</v>
          </cell>
          <cell r="N131">
            <v>61313000</v>
          </cell>
          <cell r="O131">
            <v>2.8101707631334301E-2</v>
          </cell>
          <cell r="P131">
            <v>2937000</v>
          </cell>
          <cell r="Q131">
            <v>50104000</v>
          </cell>
          <cell r="R131">
            <v>5.8618074405237107E-2</v>
          </cell>
          <cell r="S131">
            <v>-5205000</v>
          </cell>
          <cell r="T131">
            <v>13477000</v>
          </cell>
          <cell r="U131">
            <v>-0.38621354900942345</v>
          </cell>
          <cell r="V131">
            <v>53041000</v>
          </cell>
          <cell r="W131">
            <v>134324000</v>
          </cell>
          <cell r="X131">
            <v>0.39487358923200622</v>
          </cell>
          <cell r="Y131">
            <v>8272000</v>
          </cell>
          <cell r="Z131">
            <v>134324000</v>
          </cell>
          <cell r="AA131">
            <v>6.1582442452577352E-2</v>
          </cell>
          <cell r="AB131">
            <v>8325000</v>
          </cell>
          <cell r="AC131">
            <v>134324000</v>
          </cell>
          <cell r="AD131">
            <v>6.1977010809684048E-2</v>
          </cell>
          <cell r="AE131">
            <v>7023000</v>
          </cell>
          <cell r="AF131">
            <v>134324000</v>
          </cell>
          <cell r="AG131">
            <v>5.2284029659628958E-2</v>
          </cell>
          <cell r="AH131">
            <v>55493000</v>
          </cell>
          <cell r="AI131">
            <v>134324000</v>
          </cell>
          <cell r="AJ131">
            <v>0.41312795926267831</v>
          </cell>
          <cell r="AK131">
            <v>2170000</v>
          </cell>
          <cell r="AL131">
            <v>134324000</v>
          </cell>
          <cell r="AM131">
            <v>1.6154968583425151E-2</v>
          </cell>
          <cell r="AN131">
            <v>90299000</v>
          </cell>
          <cell r="AO131">
            <v>150430</v>
          </cell>
          <cell r="AP131">
            <v>600.27255201754974</v>
          </cell>
          <cell r="AQ131">
            <v>25507000</v>
          </cell>
          <cell r="AR131">
            <v>73727000</v>
          </cell>
          <cell r="AS131">
            <v>0.34596552145075754</v>
          </cell>
          <cell r="AT131">
            <v>12670000</v>
          </cell>
          <cell r="AU131">
            <v>73727000</v>
          </cell>
          <cell r="AV131">
            <v>0.17185020413145793</v>
          </cell>
          <cell r="AW131">
            <v>0</v>
          </cell>
          <cell r="AX131">
            <v>73727000</v>
          </cell>
          <cell r="AY131">
            <v>0</v>
          </cell>
          <cell r="AZ131">
            <v>12072000</v>
          </cell>
          <cell r="BA131">
            <v>73727000</v>
          </cell>
          <cell r="BB131">
            <v>0.16373920002170167</v>
          </cell>
          <cell r="BC131">
            <v>23478000</v>
          </cell>
          <cell r="BD131">
            <v>73727000</v>
          </cell>
          <cell r="BE131">
            <v>0.31844507439608283</v>
          </cell>
          <cell r="BF131">
            <v>73727000</v>
          </cell>
          <cell r="BG131">
            <v>150430</v>
          </cell>
          <cell r="BH131">
            <v>490.10835604600146</v>
          </cell>
          <cell r="BI131">
            <v>73500000</v>
          </cell>
          <cell r="BJ131">
            <v>15519000</v>
          </cell>
          <cell r="BK131">
            <v>4.7361299052774015</v>
          </cell>
          <cell r="BL131">
            <v>0</v>
          </cell>
          <cell r="BM131">
            <v>86662000</v>
          </cell>
          <cell r="BN131">
            <v>0</v>
          </cell>
          <cell r="BO131">
            <v>57668000</v>
          </cell>
          <cell r="BP131">
            <v>12072000</v>
          </cell>
          <cell r="BQ131">
            <v>4.7770046388336649</v>
          </cell>
          <cell r="BR131">
            <v>558</v>
          </cell>
          <cell r="BS131" t="str">
            <v>On Time</v>
          </cell>
          <cell r="BT131" t="str">
            <v>On Time</v>
          </cell>
          <cell r="BU131" t="str">
            <v>On Time</v>
          </cell>
          <cell r="BV131">
            <v>2708000</v>
          </cell>
          <cell r="BW131">
            <v>150430</v>
          </cell>
          <cell r="BX131">
            <v>18.001728378647876</v>
          </cell>
          <cell r="BY131">
            <v>926949</v>
          </cell>
          <cell r="BZ131">
            <v>150430</v>
          </cell>
          <cell r="CA131">
            <v>6.1619956125772788</v>
          </cell>
          <cell r="CB131">
            <v>12145000</v>
          </cell>
          <cell r="CC131">
            <v>48099</v>
          </cell>
          <cell r="CD131">
            <v>252.50005197613257</v>
          </cell>
          <cell r="CE131">
            <v>4817534</v>
          </cell>
          <cell r="CF131">
            <v>48099</v>
          </cell>
          <cell r="CG131">
            <v>100.15871431838499</v>
          </cell>
          <cell r="CH131">
            <v>13701</v>
          </cell>
          <cell r="CI131">
            <v>150430</v>
          </cell>
          <cell r="CJ131">
            <v>9.1078907132885731E-2</v>
          </cell>
          <cell r="CK131">
            <v>50155000</v>
          </cell>
          <cell r="CL131">
            <v>150430</v>
          </cell>
          <cell r="CM131">
            <v>333.41088878548163</v>
          </cell>
          <cell r="CN131" t="str">
            <v>N/A</v>
          </cell>
          <cell r="CO131" t="str">
            <v>N/A</v>
          </cell>
          <cell r="CP131" t="str">
            <v>N/A</v>
          </cell>
          <cell r="CQ131" t="str">
            <v>N/A</v>
          </cell>
          <cell r="CR131">
            <v>4377</v>
          </cell>
          <cell r="CS131">
            <v>211859</v>
          </cell>
          <cell r="CT131">
            <v>4377</v>
          </cell>
          <cell r="CU131">
            <v>48.402787297235548</v>
          </cell>
          <cell r="CV131">
            <v>33</v>
          </cell>
          <cell r="CW131">
            <v>924000</v>
          </cell>
          <cell r="CX131">
            <v>9049000</v>
          </cell>
          <cell r="CY131">
            <v>0.10211073046745497</v>
          </cell>
          <cell r="CZ131">
            <v>1756000</v>
          </cell>
          <cell r="DA131">
            <v>150430</v>
          </cell>
          <cell r="DB131">
            <v>11.673203483347736</v>
          </cell>
          <cell r="DC131">
            <v>4235000</v>
          </cell>
          <cell r="DD131">
            <v>150430</v>
          </cell>
          <cell r="DE131">
            <v>28.152629129827826</v>
          </cell>
          <cell r="DF131">
            <v>3573000</v>
          </cell>
          <cell r="DG131">
            <v>150430</v>
          </cell>
          <cell r="DH131">
            <v>23.751911187927941</v>
          </cell>
          <cell r="DI131">
            <v>400.6</v>
          </cell>
          <cell r="DJ131">
            <v>375.51173240139786</v>
          </cell>
          <cell r="DK131">
            <v>3.3697512545026509E-2</v>
          </cell>
          <cell r="DL131">
            <v>0.26</v>
          </cell>
          <cell r="DM131">
            <v>18.48</v>
          </cell>
        </row>
        <row r="132">
          <cell r="B132" t="str">
            <v>Wollongong City Council</v>
          </cell>
          <cell r="C132">
            <v>5</v>
          </cell>
          <cell r="D132">
            <v>46856000</v>
          </cell>
          <cell r="E132">
            <v>68301</v>
          </cell>
          <cell r="F132">
            <v>686.02216658614077</v>
          </cell>
          <cell r="G132">
            <v>318000</v>
          </cell>
          <cell r="H132">
            <v>222</v>
          </cell>
          <cell r="I132">
            <v>1432.4324324324325</v>
          </cell>
          <cell r="J132">
            <v>24050000</v>
          </cell>
          <cell r="K132">
            <v>3811</v>
          </cell>
          <cell r="L132">
            <v>6310.6796116504856</v>
          </cell>
          <cell r="M132">
            <v>5562000</v>
          </cell>
          <cell r="N132">
            <v>102893000</v>
          </cell>
          <cell r="O132">
            <v>5.4056155423595383E-2</v>
          </cell>
          <cell r="P132">
            <v>3122000</v>
          </cell>
          <cell r="Q132">
            <v>82370000</v>
          </cell>
          <cell r="R132">
            <v>3.7902148840597304E-2</v>
          </cell>
          <cell r="S132">
            <v>-546000</v>
          </cell>
          <cell r="T132">
            <v>17947000</v>
          </cell>
          <cell r="U132">
            <v>-3.0422911907282555E-2</v>
          </cell>
          <cell r="V132">
            <v>85492000</v>
          </cell>
          <cell r="W132">
            <v>137859000</v>
          </cell>
          <cell r="X132">
            <v>0.62014086856860995</v>
          </cell>
          <cell r="Y132">
            <v>17401000</v>
          </cell>
          <cell r="Z132">
            <v>137859000</v>
          </cell>
          <cell r="AA132">
            <v>0.12622317005055891</v>
          </cell>
          <cell r="AB132">
            <v>3817000</v>
          </cell>
          <cell r="AC132">
            <v>137859000</v>
          </cell>
          <cell r="AD132">
            <v>2.7687709906498669E-2</v>
          </cell>
          <cell r="AE132">
            <v>19770000</v>
          </cell>
          <cell r="AF132">
            <v>137859000</v>
          </cell>
          <cell r="AG132">
            <v>0.14340739451178378</v>
          </cell>
          <cell r="AH132">
            <v>8565000</v>
          </cell>
          <cell r="AI132">
            <v>137859000</v>
          </cell>
          <cell r="AJ132">
            <v>6.2128696711857764E-2</v>
          </cell>
          <cell r="AK132">
            <v>2814000</v>
          </cell>
          <cell r="AL132">
            <v>137859000</v>
          </cell>
          <cell r="AM132">
            <v>2.0412160250690925E-2</v>
          </cell>
          <cell r="AN132">
            <v>129835000</v>
          </cell>
          <cell r="AO132">
            <v>191074</v>
          </cell>
          <cell r="AP132">
            <v>679.50113568565064</v>
          </cell>
          <cell r="AQ132">
            <v>59538000</v>
          </cell>
          <cell r="AR132">
            <v>145776000</v>
          </cell>
          <cell r="AS132">
            <v>0.40842113928218637</v>
          </cell>
          <cell r="AT132">
            <v>33250000</v>
          </cell>
          <cell r="AU132">
            <v>145776000</v>
          </cell>
          <cell r="AV132">
            <v>0.22808967182526615</v>
          </cell>
          <cell r="AW132">
            <v>238000</v>
          </cell>
          <cell r="AX132">
            <v>145776000</v>
          </cell>
          <cell r="AY132">
            <v>1.6326418614861157E-3</v>
          </cell>
          <cell r="AZ132">
            <v>29401000</v>
          </cell>
          <cell r="BA132">
            <v>145776000</v>
          </cell>
          <cell r="BB132">
            <v>0.20168614861156844</v>
          </cell>
          <cell r="BC132">
            <v>23349000</v>
          </cell>
          <cell r="BD132">
            <v>145776000</v>
          </cell>
          <cell r="BE132">
            <v>0.16017039841949293</v>
          </cell>
          <cell r="BF132">
            <v>145776000</v>
          </cell>
          <cell r="BG132">
            <v>191074</v>
          </cell>
          <cell r="BH132">
            <v>762.92954562106831</v>
          </cell>
          <cell r="BI132">
            <v>39228000</v>
          </cell>
          <cell r="BJ132">
            <v>23264000</v>
          </cell>
          <cell r="BK132">
            <v>1.6862104539202201</v>
          </cell>
          <cell r="BL132">
            <v>2869000</v>
          </cell>
          <cell r="BM132">
            <v>124841000</v>
          </cell>
          <cell r="BN132">
            <v>2.2981232127265883E-2</v>
          </cell>
          <cell r="BO132">
            <v>18772000</v>
          </cell>
          <cell r="BP132">
            <v>29401000</v>
          </cell>
          <cell r="BQ132">
            <v>0.63848168429645247</v>
          </cell>
          <cell r="BR132">
            <v>1041.4000000000001</v>
          </cell>
          <cell r="BS132" t="str">
            <v>On Time</v>
          </cell>
          <cell r="BT132" t="str">
            <v>On Time</v>
          </cell>
          <cell r="BU132" t="str">
            <v>On Time</v>
          </cell>
          <cell r="BV132">
            <v>5459000</v>
          </cell>
          <cell r="BW132">
            <v>191074</v>
          </cell>
          <cell r="BX132">
            <v>28.570082795147428</v>
          </cell>
          <cell r="BY132">
            <v>1391866</v>
          </cell>
          <cell r="BZ132">
            <v>191074</v>
          </cell>
          <cell r="CA132">
            <v>7.2844343029402223</v>
          </cell>
          <cell r="CB132">
            <v>13485000</v>
          </cell>
          <cell r="CC132">
            <v>74673</v>
          </cell>
          <cell r="CD132">
            <v>180.58736089349563</v>
          </cell>
          <cell r="CE132">
            <v>9226000</v>
          </cell>
          <cell r="CF132">
            <v>73047</v>
          </cell>
          <cell r="CG132">
            <v>126.30224376086629</v>
          </cell>
          <cell r="CH132">
            <v>38061360</v>
          </cell>
          <cell r="CI132">
            <v>191074</v>
          </cell>
          <cell r="CJ132">
            <v>199.196960339973</v>
          </cell>
          <cell r="CK132">
            <v>33586340</v>
          </cell>
          <cell r="CL132">
            <v>191074</v>
          </cell>
          <cell r="CM132">
            <v>175.77661010917237</v>
          </cell>
          <cell r="CN132" t="str">
            <v>N/A</v>
          </cell>
          <cell r="CO132" t="str">
            <v>N/A</v>
          </cell>
          <cell r="CP132" t="str">
            <v>N/A</v>
          </cell>
          <cell r="CQ132" t="str">
            <v>N/A</v>
          </cell>
          <cell r="CR132">
            <v>2248</v>
          </cell>
          <cell r="CS132">
            <v>110152</v>
          </cell>
          <cell r="CT132">
            <v>2248</v>
          </cell>
          <cell r="CU132">
            <v>49</v>
          </cell>
          <cell r="CV132">
            <v>46</v>
          </cell>
          <cell r="CW132">
            <v>365000</v>
          </cell>
          <cell r="CX132">
            <v>6545000</v>
          </cell>
          <cell r="CY132">
            <v>5.5767761650114593E-2</v>
          </cell>
          <cell r="CZ132">
            <v>3459000</v>
          </cell>
          <cell r="DA132">
            <v>191074</v>
          </cell>
          <cell r="DB132">
            <v>18.102933941823586</v>
          </cell>
          <cell r="DC132">
            <v>19008000</v>
          </cell>
          <cell r="DD132">
            <v>191074</v>
          </cell>
          <cell r="DE132">
            <v>99.479782701989805</v>
          </cell>
          <cell r="DF132">
            <v>4345000</v>
          </cell>
          <cell r="DG132">
            <v>191074</v>
          </cell>
          <cell r="DH132">
            <v>22.739880883846048</v>
          </cell>
          <cell r="DI132">
            <v>684.1</v>
          </cell>
          <cell r="DJ132">
            <v>279.30711884227452</v>
          </cell>
          <cell r="DK132">
            <v>6.9220744118778654E-3</v>
          </cell>
          <cell r="DL132">
            <v>1.47</v>
          </cell>
          <cell r="DM132">
            <v>14.55</v>
          </cell>
        </row>
        <row r="133">
          <cell r="B133" t="str">
            <v>Kogarah Municipal Council</v>
          </cell>
          <cell r="C133">
            <v>2</v>
          </cell>
          <cell r="D133">
            <v>11917000</v>
          </cell>
          <cell r="E133">
            <v>19358</v>
          </cell>
          <cell r="F133">
            <v>615.6111168509143</v>
          </cell>
          <cell r="G133">
            <v>0</v>
          </cell>
          <cell r="H133">
            <v>0</v>
          </cell>
          <cell r="I133" t="str">
            <v>N/A</v>
          </cell>
          <cell r="J133">
            <v>1756000</v>
          </cell>
          <cell r="K133">
            <v>945</v>
          </cell>
          <cell r="L133">
            <v>1858.2010582010582</v>
          </cell>
          <cell r="M133">
            <v>1102000</v>
          </cell>
          <cell r="N133">
            <v>21129000</v>
          </cell>
          <cell r="O133">
            <v>5.2155804818022622E-2</v>
          </cell>
          <cell r="P133">
            <v>913000</v>
          </cell>
          <cell r="Q133">
            <v>17356000</v>
          </cell>
          <cell r="R133">
            <v>5.2604286702005072E-2</v>
          </cell>
          <cell r="S133">
            <v>723000</v>
          </cell>
          <cell r="T133">
            <v>2137000</v>
          </cell>
          <cell r="U133">
            <v>0.3383247543284979</v>
          </cell>
          <cell r="V133">
            <v>18269000</v>
          </cell>
          <cell r="W133">
            <v>32808000</v>
          </cell>
          <cell r="X133">
            <v>0.55684589124603756</v>
          </cell>
          <cell r="Y133">
            <v>2860000</v>
          </cell>
          <cell r="Z133">
            <v>32808000</v>
          </cell>
          <cell r="AA133">
            <v>8.7173860034138018E-2</v>
          </cell>
          <cell r="AB133">
            <v>1132000</v>
          </cell>
          <cell r="AC133">
            <v>32808000</v>
          </cell>
          <cell r="AD133">
            <v>3.4503779565959521E-2</v>
          </cell>
          <cell r="AE133">
            <v>4541000</v>
          </cell>
          <cell r="AF133">
            <v>32808000</v>
          </cell>
          <cell r="AG133">
            <v>0.13841136308217508</v>
          </cell>
          <cell r="AH133">
            <v>4630000</v>
          </cell>
          <cell r="AI133">
            <v>32808000</v>
          </cell>
          <cell r="AJ133">
            <v>0.1411241160692514</v>
          </cell>
          <cell r="AK133">
            <v>1376000</v>
          </cell>
          <cell r="AL133">
            <v>32808000</v>
          </cell>
          <cell r="AM133">
            <v>4.1940990002438429E-2</v>
          </cell>
          <cell r="AN133">
            <v>30993000</v>
          </cell>
          <cell r="AO133">
            <v>53200</v>
          </cell>
          <cell r="AP133">
            <v>582.57518796992485</v>
          </cell>
          <cell r="AQ133">
            <v>11320000</v>
          </cell>
          <cell r="AR133">
            <v>27923000</v>
          </cell>
          <cell r="AS133">
            <v>0.40540056584177919</v>
          </cell>
          <cell r="AT133">
            <v>5566000</v>
          </cell>
          <cell r="AU133">
            <v>27923000</v>
          </cell>
          <cell r="AV133">
            <v>0.19933388246248612</v>
          </cell>
          <cell r="AW133">
            <v>3000</v>
          </cell>
          <cell r="AX133">
            <v>27923000</v>
          </cell>
          <cell r="AY133">
            <v>1.074383125022383E-4</v>
          </cell>
          <cell r="AZ133">
            <v>5242000</v>
          </cell>
          <cell r="BA133">
            <v>27923000</v>
          </cell>
          <cell r="BB133">
            <v>0.18773054471224437</v>
          </cell>
          <cell r="BC133">
            <v>5792000</v>
          </cell>
          <cell r="BD133">
            <v>27923000</v>
          </cell>
          <cell r="BE133">
            <v>0.20742756867098808</v>
          </cell>
          <cell r="BF133">
            <v>27923000</v>
          </cell>
          <cell r="BG133">
            <v>53200</v>
          </cell>
          <cell r="BH133">
            <v>524.86842105263156</v>
          </cell>
          <cell r="BI133">
            <v>10429000</v>
          </cell>
          <cell r="BJ133">
            <v>5495000</v>
          </cell>
          <cell r="BK133">
            <v>1.8979071883530483</v>
          </cell>
          <cell r="BL133">
            <v>3000</v>
          </cell>
          <cell r="BM133">
            <v>29426000</v>
          </cell>
          <cell r="BN133">
            <v>1.0195065588255284E-4</v>
          </cell>
          <cell r="BO133">
            <v>10080000</v>
          </cell>
          <cell r="BP133">
            <v>5242000</v>
          </cell>
          <cell r="BQ133">
            <v>1.92293017932087</v>
          </cell>
          <cell r="BR133">
            <v>238</v>
          </cell>
          <cell r="BS133" t="str">
            <v>On Time</v>
          </cell>
          <cell r="BT133" t="str">
            <v>On Time</v>
          </cell>
          <cell r="BU133" t="str">
            <v>On Time</v>
          </cell>
          <cell r="BV133">
            <v>1466000</v>
          </cell>
          <cell r="BW133">
            <v>53200</v>
          </cell>
          <cell r="BX133">
            <v>27.556390977443609</v>
          </cell>
          <cell r="BY133">
            <v>298903</v>
          </cell>
          <cell r="BZ133">
            <v>53200</v>
          </cell>
          <cell r="CA133">
            <v>5.6184774436090228</v>
          </cell>
          <cell r="CB133">
            <v>4249000</v>
          </cell>
          <cell r="CC133">
            <v>19470</v>
          </cell>
          <cell r="CD133">
            <v>218.23317925012842</v>
          </cell>
          <cell r="CE133">
            <v>2523035</v>
          </cell>
          <cell r="CF133">
            <v>19969</v>
          </cell>
          <cell r="CG133">
            <v>126.34758876258201</v>
          </cell>
          <cell r="CH133">
            <v>15674380</v>
          </cell>
          <cell r="CI133">
            <v>53200</v>
          </cell>
          <cell r="CJ133">
            <v>294.63120300751882</v>
          </cell>
          <cell r="CK133">
            <v>16830000</v>
          </cell>
          <cell r="CL133">
            <v>53200</v>
          </cell>
          <cell r="CM133">
            <v>316.35338345864659</v>
          </cell>
          <cell r="CN133" t="str">
            <v>N/A</v>
          </cell>
          <cell r="CO133" t="str">
            <v>N/A</v>
          </cell>
          <cell r="CP133" t="str">
            <v>N/A</v>
          </cell>
          <cell r="CQ133" t="str">
            <v>N/A</v>
          </cell>
          <cell r="CR133">
            <v>765</v>
          </cell>
          <cell r="CS133">
            <v>38364</v>
          </cell>
          <cell r="CT133">
            <v>765</v>
          </cell>
          <cell r="CU133">
            <v>50.149019607843137</v>
          </cell>
          <cell r="CV133">
            <v>41</v>
          </cell>
          <cell r="CW133">
            <v>106000</v>
          </cell>
          <cell r="CX133">
            <v>1744000</v>
          </cell>
          <cell r="CY133">
            <v>6.0779816513761471E-2</v>
          </cell>
          <cell r="CZ133">
            <v>1245000</v>
          </cell>
          <cell r="DA133">
            <v>53200</v>
          </cell>
          <cell r="DB133">
            <v>23.402255639097746</v>
          </cell>
          <cell r="DC133">
            <v>1744000</v>
          </cell>
          <cell r="DD133">
            <v>53200</v>
          </cell>
          <cell r="DE133">
            <v>32.781954887218042</v>
          </cell>
          <cell r="DF133">
            <v>754000</v>
          </cell>
          <cell r="DG133">
            <v>53200</v>
          </cell>
          <cell r="DH133">
            <v>14.172932330827068</v>
          </cell>
          <cell r="DI133">
            <v>15.6</v>
          </cell>
          <cell r="DJ133">
            <v>3410.2564102564102</v>
          </cell>
          <cell r="DK133">
            <v>1.151516979355649E-2</v>
          </cell>
          <cell r="DL133">
            <v>0.36</v>
          </cell>
          <cell r="DM133">
            <v>27.77</v>
          </cell>
        </row>
        <row r="134">
          <cell r="B134" t="str">
            <v>Wingecarribee Shire Council</v>
          </cell>
          <cell r="C134">
            <v>4</v>
          </cell>
          <cell r="D134">
            <v>8267000</v>
          </cell>
          <cell r="E134">
            <v>17189</v>
          </cell>
          <cell r="F134">
            <v>480.94711734248648</v>
          </cell>
          <cell r="G134">
            <v>1762000</v>
          </cell>
          <cell r="H134">
            <v>1651</v>
          </cell>
          <cell r="I134">
            <v>1067.2319806178075</v>
          </cell>
          <cell r="J134">
            <v>1700000</v>
          </cell>
          <cell r="K134">
            <v>1233</v>
          </cell>
          <cell r="L134">
            <v>1378.7510137875101</v>
          </cell>
          <cell r="M134">
            <v>3705000</v>
          </cell>
          <cell r="N134">
            <v>34780000</v>
          </cell>
          <cell r="O134">
            <v>0.1065267395054629</v>
          </cell>
          <cell r="P134">
            <v>-124000</v>
          </cell>
          <cell r="Q134">
            <v>22920000</v>
          </cell>
          <cell r="R134">
            <v>-5.4101221640488655E-3</v>
          </cell>
          <cell r="S134">
            <v>1017000</v>
          </cell>
          <cell r="T134">
            <v>10967000</v>
          </cell>
          <cell r="U134">
            <v>9.2732743685602262E-2</v>
          </cell>
          <cell r="V134">
            <v>22796000</v>
          </cell>
          <cell r="W134">
            <v>54704000</v>
          </cell>
          <cell r="X134">
            <v>0.41671541386370281</v>
          </cell>
          <cell r="Y134">
            <v>11984000</v>
          </cell>
          <cell r="Z134">
            <v>54704000</v>
          </cell>
          <cell r="AA134">
            <v>0.21906990348054986</v>
          </cell>
          <cell r="AB134">
            <v>2499000</v>
          </cell>
          <cell r="AC134">
            <v>54704000</v>
          </cell>
          <cell r="AD134">
            <v>4.5682217022521204E-2</v>
          </cell>
          <cell r="AE134">
            <v>8540000</v>
          </cell>
          <cell r="AF134">
            <v>54704000</v>
          </cell>
          <cell r="AG134">
            <v>0.15611289850833576</v>
          </cell>
          <cell r="AH134">
            <v>8192000</v>
          </cell>
          <cell r="AI134">
            <v>54704000</v>
          </cell>
          <cell r="AJ134">
            <v>0.14975138929511553</v>
          </cell>
          <cell r="AK134">
            <v>693000</v>
          </cell>
          <cell r="AL134">
            <v>54704000</v>
          </cell>
          <cell r="AM134">
            <v>1.2668177829774788E-2</v>
          </cell>
          <cell r="AN134">
            <v>32598000</v>
          </cell>
          <cell r="AO134">
            <v>43476</v>
          </cell>
          <cell r="AP134">
            <v>749.79298923544025</v>
          </cell>
          <cell r="AQ134">
            <v>15373000</v>
          </cell>
          <cell r="AR134">
            <v>46306000</v>
          </cell>
          <cell r="AS134">
            <v>0.33198721547963544</v>
          </cell>
          <cell r="AT134">
            <v>10727000</v>
          </cell>
          <cell r="AU134">
            <v>46306000</v>
          </cell>
          <cell r="AV134">
            <v>0.23165464518636894</v>
          </cell>
          <cell r="AW134">
            <v>1988000</v>
          </cell>
          <cell r="AX134">
            <v>46306000</v>
          </cell>
          <cell r="AY134">
            <v>4.2931801494406771E-2</v>
          </cell>
          <cell r="AZ134">
            <v>11218000</v>
          </cell>
          <cell r="BA134">
            <v>46306000</v>
          </cell>
          <cell r="BB134">
            <v>0.24225802271843822</v>
          </cell>
          <cell r="BC134">
            <v>7000000</v>
          </cell>
          <cell r="BD134">
            <v>46306000</v>
          </cell>
          <cell r="BE134">
            <v>0.15116831512115061</v>
          </cell>
          <cell r="BF134">
            <v>34164000</v>
          </cell>
          <cell r="BG134">
            <v>43476</v>
          </cell>
          <cell r="BH134">
            <v>785.81286226883799</v>
          </cell>
          <cell r="BI134">
            <v>17424000</v>
          </cell>
          <cell r="BJ134">
            <v>6013000</v>
          </cell>
          <cell r="BK134">
            <v>2.8977216031930815</v>
          </cell>
          <cell r="BL134">
            <v>5092000</v>
          </cell>
          <cell r="BM134">
            <v>41919000</v>
          </cell>
          <cell r="BN134">
            <v>0.12147236336744674</v>
          </cell>
          <cell r="BO134">
            <v>42501000</v>
          </cell>
          <cell r="BP134">
            <v>7262000</v>
          </cell>
          <cell r="BQ134">
            <v>5.8525199669512533</v>
          </cell>
          <cell r="BR134">
            <v>304</v>
          </cell>
          <cell r="BS134" t="str">
            <v>&lt;=2</v>
          </cell>
          <cell r="BT134" t="str">
            <v>&lt;=16</v>
          </cell>
          <cell r="BU134" t="str">
            <v>On Time</v>
          </cell>
          <cell r="BV134">
            <v>1492000</v>
          </cell>
          <cell r="BW134">
            <v>43476</v>
          </cell>
          <cell r="BX134">
            <v>34.317784524795286</v>
          </cell>
          <cell r="BY134">
            <v>360581</v>
          </cell>
          <cell r="BZ134">
            <v>43476</v>
          </cell>
          <cell r="CA134">
            <v>8.2937942773024194</v>
          </cell>
          <cell r="CB134">
            <v>3050000</v>
          </cell>
          <cell r="CC134">
            <v>14265</v>
          </cell>
          <cell r="CD134">
            <v>213.81002453557659</v>
          </cell>
          <cell r="CE134">
            <v>2683296</v>
          </cell>
          <cell r="CF134">
            <v>13614</v>
          </cell>
          <cell r="CG134">
            <v>197.09828118113705</v>
          </cell>
          <cell r="CH134">
            <v>9411900</v>
          </cell>
          <cell r="CI134">
            <v>43476</v>
          </cell>
          <cell r="CJ134">
            <v>216.48495721777533</v>
          </cell>
          <cell r="CK134">
            <v>5362000</v>
          </cell>
          <cell r="CL134">
            <v>43476</v>
          </cell>
          <cell r="CM134">
            <v>123.33241328549084</v>
          </cell>
          <cell r="CN134">
            <v>407.44721546868902</v>
          </cell>
          <cell r="CO134">
            <v>286</v>
          </cell>
          <cell r="CP134">
            <v>437.48459991634599</v>
          </cell>
          <cell r="CQ134">
            <v>446</v>
          </cell>
          <cell r="CR134">
            <v>1416</v>
          </cell>
          <cell r="CS134">
            <v>71451</v>
          </cell>
          <cell r="CT134">
            <v>1416</v>
          </cell>
          <cell r="CU134">
            <v>50.459745762711862</v>
          </cell>
          <cell r="CV134">
            <v>33</v>
          </cell>
          <cell r="CW134">
            <v>327000</v>
          </cell>
          <cell r="CX134">
            <v>2862000</v>
          </cell>
          <cell r="CY134">
            <v>0.11425576519916142</v>
          </cell>
          <cell r="CZ134">
            <v>1174000</v>
          </cell>
          <cell r="DA134">
            <v>43476</v>
          </cell>
          <cell r="DB134">
            <v>27.003404177017206</v>
          </cell>
          <cell r="DC134">
            <v>2496000</v>
          </cell>
          <cell r="DD134">
            <v>43476</v>
          </cell>
          <cell r="DE134">
            <v>57.410985371239306</v>
          </cell>
          <cell r="DF134">
            <v>1213000</v>
          </cell>
          <cell r="DG134">
            <v>43476</v>
          </cell>
          <cell r="DH134">
            <v>27.900450823442821</v>
          </cell>
          <cell r="DI134">
            <v>2688.8</v>
          </cell>
          <cell r="DJ134">
            <v>16.169294852722402</v>
          </cell>
          <cell r="DK134">
            <v>2.2834231163490593E-2</v>
          </cell>
          <cell r="DL134">
            <v>1.2</v>
          </cell>
          <cell r="DM134">
            <v>5.27</v>
          </cell>
        </row>
        <row r="135">
          <cell r="B135" t="str">
            <v>Hunters Hill, The Council of the Municipality of</v>
          </cell>
          <cell r="C135">
            <v>2</v>
          </cell>
          <cell r="D135">
            <v>4516000</v>
          </cell>
          <cell r="E135">
            <v>4327</v>
          </cell>
          <cell r="F135">
            <v>1043.6792234804714</v>
          </cell>
          <cell r="G135">
            <v>0</v>
          </cell>
          <cell r="H135">
            <v>0</v>
          </cell>
          <cell r="I135" t="str">
            <v>N/A</v>
          </cell>
          <cell r="J135">
            <v>204000</v>
          </cell>
          <cell r="K135">
            <v>201</v>
          </cell>
          <cell r="L135">
            <v>1014.9253731343283</v>
          </cell>
          <cell r="M135">
            <v>574000</v>
          </cell>
          <cell r="N135">
            <v>6940000</v>
          </cell>
          <cell r="O135">
            <v>8.2708933717579244E-2</v>
          </cell>
          <cell r="P135">
            <v>1045000</v>
          </cell>
          <cell r="Q135">
            <v>5146000</v>
          </cell>
          <cell r="R135">
            <v>0.20307034589972794</v>
          </cell>
          <cell r="S135">
            <v>42000</v>
          </cell>
          <cell r="T135">
            <v>707000</v>
          </cell>
          <cell r="U135">
            <v>5.9405940594059403E-2</v>
          </cell>
          <cell r="V135">
            <v>6191000</v>
          </cell>
          <cell r="W135">
            <v>8345000</v>
          </cell>
          <cell r="X135">
            <v>0.74188136608747757</v>
          </cell>
          <cell r="Y135">
            <v>749000</v>
          </cell>
          <cell r="Z135">
            <v>8345000</v>
          </cell>
          <cell r="AA135">
            <v>8.9754343918514085E-2</v>
          </cell>
          <cell r="AB135">
            <v>236000</v>
          </cell>
          <cell r="AC135">
            <v>8345000</v>
          </cell>
          <cell r="AD135">
            <v>2.8280407429598562E-2</v>
          </cell>
          <cell r="AE135">
            <v>629000</v>
          </cell>
          <cell r="AF135">
            <v>8345000</v>
          </cell>
          <cell r="AG135">
            <v>7.5374475733972435E-2</v>
          </cell>
          <cell r="AH135">
            <v>337000</v>
          </cell>
          <cell r="AI135">
            <v>8345000</v>
          </cell>
          <cell r="AJ135">
            <v>4.0383463151587778E-2</v>
          </cell>
          <cell r="AK135">
            <v>203000</v>
          </cell>
          <cell r="AL135">
            <v>8345000</v>
          </cell>
          <cell r="AM135">
            <v>2.4325943678849611E-2</v>
          </cell>
          <cell r="AN135">
            <v>8252000</v>
          </cell>
          <cell r="AO135">
            <v>13543</v>
          </cell>
          <cell r="AP135">
            <v>609.31846710477737</v>
          </cell>
          <cell r="AQ135">
            <v>2924000</v>
          </cell>
          <cell r="AR135">
            <v>8125000</v>
          </cell>
          <cell r="AS135">
            <v>0.35987692307692309</v>
          </cell>
          <cell r="AT135">
            <v>2117000</v>
          </cell>
          <cell r="AU135">
            <v>8125000</v>
          </cell>
          <cell r="AV135">
            <v>0.26055384615384614</v>
          </cell>
          <cell r="AW135">
            <v>6000</v>
          </cell>
          <cell r="AX135">
            <v>8125000</v>
          </cell>
          <cell r="AY135">
            <v>7.3846153846153842E-4</v>
          </cell>
          <cell r="AZ135">
            <v>1042000</v>
          </cell>
          <cell r="BA135">
            <v>8125000</v>
          </cell>
          <cell r="BB135">
            <v>0.12824615384615384</v>
          </cell>
          <cell r="BC135">
            <v>2036000</v>
          </cell>
          <cell r="BD135">
            <v>8125000</v>
          </cell>
          <cell r="BE135">
            <v>0.25058461538461541</v>
          </cell>
          <cell r="BF135">
            <v>8125000</v>
          </cell>
          <cell r="BG135">
            <v>13543</v>
          </cell>
          <cell r="BH135">
            <v>599.94092889315516</v>
          </cell>
          <cell r="BI135">
            <v>4609000</v>
          </cell>
          <cell r="BJ135">
            <v>949000</v>
          </cell>
          <cell r="BK135">
            <v>4.8566912539515279</v>
          </cell>
          <cell r="BL135">
            <v>6000</v>
          </cell>
          <cell r="BM135">
            <v>7925000</v>
          </cell>
          <cell r="BN135">
            <v>7.570977917981072E-4</v>
          </cell>
          <cell r="BO135">
            <v>320000</v>
          </cell>
          <cell r="BP135">
            <v>1042000</v>
          </cell>
          <cell r="BQ135">
            <v>0.30710172744721687</v>
          </cell>
          <cell r="BR135">
            <v>56</v>
          </cell>
          <cell r="BS135" t="str">
            <v>&lt;=4</v>
          </cell>
          <cell r="BT135" t="str">
            <v>&lt;=16</v>
          </cell>
          <cell r="BU135" t="str">
            <v>On Time</v>
          </cell>
          <cell r="BV135">
            <v>449000</v>
          </cell>
          <cell r="BW135">
            <v>13543</v>
          </cell>
          <cell r="BX135">
            <v>33.153658716680205</v>
          </cell>
          <cell r="BY135">
            <v>116374</v>
          </cell>
          <cell r="BZ135">
            <v>13543</v>
          </cell>
          <cell r="CA135">
            <v>8.5929262349553266</v>
          </cell>
          <cell r="CB135">
            <v>1259000</v>
          </cell>
          <cell r="CC135">
            <v>4329</v>
          </cell>
          <cell r="CD135">
            <v>290.82929082929081</v>
          </cell>
          <cell r="CE135">
            <v>724638</v>
          </cell>
          <cell r="CF135">
            <v>4329</v>
          </cell>
          <cell r="CG135">
            <v>167.39154539154538</v>
          </cell>
          <cell r="CH135">
            <v>1597110</v>
          </cell>
          <cell r="CI135">
            <v>13543</v>
          </cell>
          <cell r="CJ135">
            <v>117.92881931625193</v>
          </cell>
          <cell r="CK135">
            <v>2919240</v>
          </cell>
          <cell r="CL135">
            <v>13543</v>
          </cell>
          <cell r="CM135">
            <v>215.55342243225283</v>
          </cell>
          <cell r="CN135" t="str">
            <v>N/A</v>
          </cell>
          <cell r="CO135" t="str">
            <v>N/A</v>
          </cell>
          <cell r="CP135" t="str">
            <v>N/A</v>
          </cell>
          <cell r="CQ135" t="str">
            <v>N/A</v>
          </cell>
          <cell r="CR135">
            <v>189</v>
          </cell>
          <cell r="CS135">
            <v>9692</v>
          </cell>
          <cell r="CT135">
            <v>189</v>
          </cell>
          <cell r="CU135">
            <v>51.280423280423278</v>
          </cell>
          <cell r="CV135">
            <v>44</v>
          </cell>
          <cell r="CW135">
            <v>171000</v>
          </cell>
          <cell r="CX135">
            <v>635000</v>
          </cell>
          <cell r="CY135">
            <v>0.26929133858267718</v>
          </cell>
          <cell r="CZ135">
            <v>91000</v>
          </cell>
          <cell r="DA135">
            <v>13543</v>
          </cell>
          <cell r="DB135">
            <v>6.7193384036033379</v>
          </cell>
          <cell r="DC135">
            <v>615000</v>
          </cell>
          <cell r="DD135">
            <v>13543</v>
          </cell>
          <cell r="DE135">
            <v>45.410913386989591</v>
          </cell>
          <cell r="DF135">
            <v>256000</v>
          </cell>
          <cell r="DG135">
            <v>13543</v>
          </cell>
          <cell r="DH135">
            <v>18.902754190356642</v>
          </cell>
          <cell r="DI135">
            <v>5.8</v>
          </cell>
          <cell r="DJ135">
            <v>2335</v>
          </cell>
          <cell r="DK135">
            <v>1.4668160326408941E-2</v>
          </cell>
          <cell r="DL135">
            <v>0.35</v>
          </cell>
          <cell r="DM135">
            <v>15.12</v>
          </cell>
        </row>
        <row r="136">
          <cell r="B136" t="str">
            <v>Dungog Shire Council</v>
          </cell>
          <cell r="C136">
            <v>10</v>
          </cell>
          <cell r="D136">
            <v>1187000</v>
          </cell>
          <cell r="E136">
            <v>2895</v>
          </cell>
          <cell r="F136">
            <v>410.01727115716756</v>
          </cell>
          <cell r="G136">
            <v>1282000</v>
          </cell>
          <cell r="H136">
            <v>1037</v>
          </cell>
          <cell r="I136">
            <v>1236.2584378013501</v>
          </cell>
          <cell r="J136">
            <v>140000</v>
          </cell>
          <cell r="K136">
            <v>364</v>
          </cell>
          <cell r="L136">
            <v>384.61538461538464</v>
          </cell>
          <cell r="M136">
            <v>270000</v>
          </cell>
          <cell r="N136">
            <v>4925000</v>
          </cell>
          <cell r="O136">
            <v>5.4822335025380711E-2</v>
          </cell>
          <cell r="P136">
            <v>212000</v>
          </cell>
          <cell r="Q136">
            <v>3747000</v>
          </cell>
          <cell r="R136">
            <v>5.6578596210301577E-2</v>
          </cell>
          <cell r="S136">
            <v>114000</v>
          </cell>
          <cell r="T136">
            <v>852000</v>
          </cell>
          <cell r="U136">
            <v>0.13380281690140844</v>
          </cell>
          <cell r="V136">
            <v>3959000</v>
          </cell>
          <cell r="W136">
            <v>9645000</v>
          </cell>
          <cell r="X136">
            <v>0.41047174701918093</v>
          </cell>
          <cell r="Y136">
            <v>966000</v>
          </cell>
          <cell r="Z136">
            <v>9645000</v>
          </cell>
          <cell r="AA136">
            <v>0.10015552099533437</v>
          </cell>
          <cell r="AB136">
            <v>247000</v>
          </cell>
          <cell r="AC136">
            <v>9645000</v>
          </cell>
          <cell r="AD136">
            <v>2.5609123898392951E-2</v>
          </cell>
          <cell r="AE136">
            <v>2360000</v>
          </cell>
          <cell r="AF136">
            <v>9645000</v>
          </cell>
          <cell r="AG136">
            <v>0.24468636599274235</v>
          </cell>
          <cell r="AH136">
            <v>1874000</v>
          </cell>
          <cell r="AI136">
            <v>9645000</v>
          </cell>
          <cell r="AJ136">
            <v>0.19429756350440644</v>
          </cell>
          <cell r="AK136">
            <v>239000</v>
          </cell>
          <cell r="AL136">
            <v>9645000</v>
          </cell>
          <cell r="AM136">
            <v>2.4779678589942976E-2</v>
          </cell>
          <cell r="AN136">
            <v>6225000</v>
          </cell>
          <cell r="AO136">
            <v>8409</v>
          </cell>
          <cell r="AP136">
            <v>740.27827327863008</v>
          </cell>
          <cell r="AQ136">
            <v>2633000</v>
          </cell>
          <cell r="AR136">
            <v>8144000</v>
          </cell>
          <cell r="AS136">
            <v>0.32330550098231825</v>
          </cell>
          <cell r="AT136">
            <v>2440000</v>
          </cell>
          <cell r="AU136">
            <v>8144000</v>
          </cell>
          <cell r="AV136">
            <v>0.29960707269155207</v>
          </cell>
          <cell r="AW136">
            <v>66000</v>
          </cell>
          <cell r="AX136">
            <v>8144000</v>
          </cell>
          <cell r="AY136">
            <v>8.1041257367387032E-3</v>
          </cell>
          <cell r="AZ136">
            <v>1946000</v>
          </cell>
          <cell r="BA136">
            <v>8144000</v>
          </cell>
          <cell r="BB136">
            <v>0.23894891944990176</v>
          </cell>
          <cell r="BC136">
            <v>1059000</v>
          </cell>
          <cell r="BD136">
            <v>8144000</v>
          </cell>
          <cell r="BE136">
            <v>0.1300343811394892</v>
          </cell>
          <cell r="BF136">
            <v>6816000</v>
          </cell>
          <cell r="BG136">
            <v>8409</v>
          </cell>
          <cell r="BH136">
            <v>810.56011416339641</v>
          </cell>
          <cell r="BI136">
            <v>2555000</v>
          </cell>
          <cell r="BJ136">
            <v>1193000</v>
          </cell>
          <cell r="BK136">
            <v>2.1416596814752724</v>
          </cell>
          <cell r="BL136">
            <v>138000</v>
          </cell>
          <cell r="BM136">
            <v>6522000</v>
          </cell>
          <cell r="BN136">
            <v>2.1159153633854646E-2</v>
          </cell>
          <cell r="BO136">
            <v>2410000</v>
          </cell>
          <cell r="BP136">
            <v>1761000</v>
          </cell>
          <cell r="BQ136">
            <v>1.3685406019307211</v>
          </cell>
          <cell r="BR136">
            <v>67</v>
          </cell>
          <cell r="BS136" t="str">
            <v>&lt;=4</v>
          </cell>
          <cell r="BT136" t="str">
            <v>&lt;=4</v>
          </cell>
          <cell r="BU136" t="str">
            <v>On Time</v>
          </cell>
          <cell r="BV136">
            <v>118000</v>
          </cell>
          <cell r="BW136">
            <v>8409</v>
          </cell>
          <cell r="BX136">
            <v>14.032584136044713</v>
          </cell>
          <cell r="BY136">
            <v>44557</v>
          </cell>
          <cell r="BZ136">
            <v>8409</v>
          </cell>
          <cell r="CA136">
            <v>5.2987275538113927</v>
          </cell>
          <cell r="CB136">
            <v>363000</v>
          </cell>
          <cell r="CC136">
            <v>2874</v>
          </cell>
          <cell r="CD136">
            <v>126.30480167014613</v>
          </cell>
          <cell r="CE136">
            <v>359332</v>
          </cell>
          <cell r="CF136">
            <v>2874</v>
          </cell>
          <cell r="CG136">
            <v>125.0285316631872</v>
          </cell>
          <cell r="CH136">
            <v>752000</v>
          </cell>
          <cell r="CI136">
            <v>8409</v>
          </cell>
          <cell r="CJ136">
            <v>89.427993816149367</v>
          </cell>
          <cell r="CK136">
            <v>3652000</v>
          </cell>
          <cell r="CL136">
            <v>8409</v>
          </cell>
          <cell r="CM136">
            <v>434.29658699012964</v>
          </cell>
          <cell r="CN136">
            <v>426.83632157316401</v>
          </cell>
          <cell r="CO136">
            <v>255</v>
          </cell>
          <cell r="CP136">
            <v>399.93601023836197</v>
          </cell>
          <cell r="CQ136">
            <v>351</v>
          </cell>
          <cell r="CR136">
            <v>306</v>
          </cell>
          <cell r="CS136">
            <v>15908</v>
          </cell>
          <cell r="CT136">
            <v>306</v>
          </cell>
          <cell r="CU136">
            <v>51.986928104575163</v>
          </cell>
          <cell r="CV136">
            <v>35</v>
          </cell>
          <cell r="CW136">
            <v>24000</v>
          </cell>
          <cell r="CX136">
            <v>502000</v>
          </cell>
          <cell r="CY136">
            <v>4.7808764940239043E-2</v>
          </cell>
          <cell r="CZ136">
            <v>108000</v>
          </cell>
          <cell r="DA136">
            <v>8409</v>
          </cell>
          <cell r="DB136">
            <v>12.843382090617196</v>
          </cell>
          <cell r="DC136">
            <v>423000</v>
          </cell>
          <cell r="DD136">
            <v>8409</v>
          </cell>
          <cell r="DE136">
            <v>50.303246521584015</v>
          </cell>
          <cell r="DF136">
            <v>98000</v>
          </cell>
          <cell r="DG136">
            <v>8409</v>
          </cell>
          <cell r="DH136">
            <v>11.654180045189678</v>
          </cell>
          <cell r="DI136">
            <v>2251.1999999999998</v>
          </cell>
          <cell r="DJ136">
            <v>3.7353411513859278</v>
          </cell>
          <cell r="DK136">
            <v>1.070524086462199E-2</v>
          </cell>
          <cell r="DL136">
            <v>2.15</v>
          </cell>
          <cell r="DM136">
            <v>1.65</v>
          </cell>
        </row>
        <row r="137">
          <cell r="B137" t="str">
            <v>Shellharbour City Council</v>
          </cell>
          <cell r="C137">
            <v>4</v>
          </cell>
          <cell r="D137">
            <v>14244000</v>
          </cell>
          <cell r="E137">
            <v>21359</v>
          </cell>
          <cell r="F137">
            <v>666.88515379933517</v>
          </cell>
          <cell r="G137">
            <v>379000</v>
          </cell>
          <cell r="H137">
            <v>118</v>
          </cell>
          <cell r="I137">
            <v>3211.8644067796608</v>
          </cell>
          <cell r="J137">
            <v>2019000</v>
          </cell>
          <cell r="K137">
            <v>814</v>
          </cell>
          <cell r="L137">
            <v>2480.3439803439805</v>
          </cell>
          <cell r="M137">
            <v>1747000</v>
          </cell>
          <cell r="N137">
            <v>26765000</v>
          </cell>
          <cell r="O137">
            <v>6.5271810199887911E-2</v>
          </cell>
          <cell r="P137">
            <v>1296000</v>
          </cell>
          <cell r="Q137">
            <v>18386000</v>
          </cell>
          <cell r="R137">
            <v>7.0488415098444474E-2</v>
          </cell>
          <cell r="S137">
            <v>-65000</v>
          </cell>
          <cell r="T137">
            <v>7148000</v>
          </cell>
          <cell r="U137">
            <v>-9.0934527140458868E-3</v>
          </cell>
          <cell r="V137">
            <v>19682000</v>
          </cell>
          <cell r="W137">
            <v>48710000</v>
          </cell>
          <cell r="X137">
            <v>0.40406487374255801</v>
          </cell>
          <cell r="Y137">
            <v>7083000</v>
          </cell>
          <cell r="Z137">
            <v>48710000</v>
          </cell>
          <cell r="AA137">
            <v>0.14541161979059741</v>
          </cell>
          <cell r="AB137">
            <v>1951000</v>
          </cell>
          <cell r="AC137">
            <v>48710000</v>
          </cell>
          <cell r="AD137">
            <v>4.0053377129952779E-2</v>
          </cell>
          <cell r="AE137">
            <v>6175000</v>
          </cell>
          <cell r="AF137">
            <v>48710000</v>
          </cell>
          <cell r="AG137">
            <v>0.12677068363785671</v>
          </cell>
          <cell r="AH137">
            <v>12516000</v>
          </cell>
          <cell r="AI137">
            <v>48710000</v>
          </cell>
          <cell r="AJ137">
            <v>0.25694929172654485</v>
          </cell>
          <cell r="AK137">
            <v>1303000</v>
          </cell>
          <cell r="AL137">
            <v>48710000</v>
          </cell>
          <cell r="AM137">
            <v>2.6750153972490247E-2</v>
          </cell>
          <cell r="AN137">
            <v>36243000</v>
          </cell>
          <cell r="AO137">
            <v>60639</v>
          </cell>
          <cell r="AP137">
            <v>597.68465838816599</v>
          </cell>
          <cell r="AQ137">
            <v>16870000</v>
          </cell>
          <cell r="AR137">
            <v>40196000</v>
          </cell>
          <cell r="AS137">
            <v>0.4196935018409792</v>
          </cell>
          <cell r="AT137">
            <v>7925000</v>
          </cell>
          <cell r="AU137">
            <v>40196000</v>
          </cell>
          <cell r="AV137">
            <v>0.19715892128570006</v>
          </cell>
          <cell r="AW137">
            <v>327000</v>
          </cell>
          <cell r="AX137">
            <v>40196000</v>
          </cell>
          <cell r="AY137">
            <v>8.1351378246591697E-3</v>
          </cell>
          <cell r="AZ137">
            <v>7971000</v>
          </cell>
          <cell r="BA137">
            <v>40196000</v>
          </cell>
          <cell r="BB137">
            <v>0.19830331376256344</v>
          </cell>
          <cell r="BC137">
            <v>7103000</v>
          </cell>
          <cell r="BD137">
            <v>40196000</v>
          </cell>
          <cell r="BE137">
            <v>0.17670912528609811</v>
          </cell>
          <cell r="BF137">
            <v>40196000</v>
          </cell>
          <cell r="BG137">
            <v>60639</v>
          </cell>
          <cell r="BH137">
            <v>662.87372812876197</v>
          </cell>
          <cell r="BI137">
            <v>23504000</v>
          </cell>
          <cell r="BJ137">
            <v>8380000</v>
          </cell>
          <cell r="BK137">
            <v>2.8047732696897376</v>
          </cell>
          <cell r="BL137">
            <v>1958000</v>
          </cell>
          <cell r="BM137">
            <v>34231000</v>
          </cell>
          <cell r="BN137">
            <v>5.7199614384622129E-2</v>
          </cell>
          <cell r="BO137">
            <v>15012000</v>
          </cell>
          <cell r="BP137">
            <v>7971000</v>
          </cell>
          <cell r="BQ137">
            <v>1.8833270605946557</v>
          </cell>
          <cell r="BR137">
            <v>271</v>
          </cell>
          <cell r="BS137" t="str">
            <v>On Time</v>
          </cell>
          <cell r="BT137" t="str">
            <v>On Time</v>
          </cell>
          <cell r="BU137" t="str">
            <v>On Time</v>
          </cell>
          <cell r="BV137">
            <v>1254000</v>
          </cell>
          <cell r="BW137">
            <v>60639</v>
          </cell>
          <cell r="BX137">
            <v>20.679760550140998</v>
          </cell>
          <cell r="BY137">
            <v>337345</v>
          </cell>
          <cell r="BZ137">
            <v>60639</v>
          </cell>
          <cell r="CA137">
            <v>5.5631689176932335</v>
          </cell>
          <cell r="CB137">
            <v>2983000</v>
          </cell>
          <cell r="CC137">
            <v>21032</v>
          </cell>
          <cell r="CD137">
            <v>141.83149486496768</v>
          </cell>
          <cell r="CE137">
            <v>1635000</v>
          </cell>
          <cell r="CF137">
            <v>27971</v>
          </cell>
          <cell r="CG137">
            <v>58.45339816238247</v>
          </cell>
          <cell r="CH137">
            <v>13914307</v>
          </cell>
          <cell r="CI137">
            <v>60639</v>
          </cell>
          <cell r="CJ137">
            <v>229.46135325450618</v>
          </cell>
          <cell r="CK137">
            <v>12416850</v>
          </cell>
          <cell r="CL137">
            <v>60639</v>
          </cell>
          <cell r="CM137">
            <v>204.76673427991886</v>
          </cell>
          <cell r="CN137" t="str">
            <v>N/A</v>
          </cell>
          <cell r="CO137" t="str">
            <v>N/A</v>
          </cell>
          <cell r="CP137" t="str">
            <v>N/A</v>
          </cell>
          <cell r="CQ137" t="str">
            <v>N/A</v>
          </cell>
          <cell r="CR137">
            <v>860</v>
          </cell>
          <cell r="CS137">
            <v>44723</v>
          </cell>
          <cell r="CT137">
            <v>860</v>
          </cell>
          <cell r="CU137">
            <v>52.003488372093024</v>
          </cell>
          <cell r="CV137">
            <v>43</v>
          </cell>
          <cell r="CW137">
            <v>188000</v>
          </cell>
          <cell r="CX137">
            <v>2582000</v>
          </cell>
          <cell r="CY137">
            <v>7.2811773818745165E-2</v>
          </cell>
          <cell r="CZ137">
            <v>759000</v>
          </cell>
          <cell r="DA137">
            <v>60639</v>
          </cell>
          <cell r="DB137">
            <v>12.516697175085341</v>
          </cell>
          <cell r="DC137">
            <v>4294000</v>
          </cell>
          <cell r="DD137">
            <v>60639</v>
          </cell>
          <cell r="DE137">
            <v>70.812513398967667</v>
          </cell>
          <cell r="DF137">
            <v>2354000</v>
          </cell>
          <cell r="DG137">
            <v>60639</v>
          </cell>
          <cell r="DH137">
            <v>38.819901383598015</v>
          </cell>
          <cell r="DI137">
            <v>147.4</v>
          </cell>
          <cell r="DJ137">
            <v>411.39077340569878</v>
          </cell>
          <cell r="DK137">
            <v>1.9175976005699313E-2</v>
          </cell>
          <cell r="DL137">
            <v>2.12</v>
          </cell>
          <cell r="DM137">
            <v>10.68</v>
          </cell>
        </row>
        <row r="138">
          <cell r="B138" t="str">
            <v>Hastings Council</v>
          </cell>
          <cell r="C138">
            <v>4</v>
          </cell>
          <cell r="D138">
            <v>12332000</v>
          </cell>
          <cell r="E138">
            <v>26384</v>
          </cell>
          <cell r="F138">
            <v>467.40448756822315</v>
          </cell>
          <cell r="G138">
            <v>1445000</v>
          </cell>
          <cell r="H138">
            <v>1406</v>
          </cell>
          <cell r="I138">
            <v>1027.7382645803698</v>
          </cell>
          <cell r="J138">
            <v>3557000</v>
          </cell>
          <cell r="K138">
            <v>1745</v>
          </cell>
          <cell r="L138">
            <v>2038.3954154727794</v>
          </cell>
          <cell r="M138">
            <v>3440000</v>
          </cell>
          <cell r="N138">
            <v>51957000</v>
          </cell>
          <cell r="O138">
            <v>6.6208595569413164E-2</v>
          </cell>
          <cell r="P138">
            <v>2622000</v>
          </cell>
          <cell r="Q138">
            <v>35505000</v>
          </cell>
          <cell r="R138">
            <v>7.3848753696662439E-2</v>
          </cell>
          <cell r="S138">
            <v>984000</v>
          </cell>
          <cell r="T138">
            <v>12846000</v>
          </cell>
          <cell r="U138">
            <v>7.6599719757122833E-2</v>
          </cell>
          <cell r="V138">
            <v>38127000</v>
          </cell>
          <cell r="W138">
            <v>95012000</v>
          </cell>
          <cell r="X138">
            <v>0.40128615332800066</v>
          </cell>
          <cell r="Y138">
            <v>13830000</v>
          </cell>
          <cell r="Z138">
            <v>95012000</v>
          </cell>
          <cell r="AA138">
            <v>0.145560560771271</v>
          </cell>
          <cell r="AB138">
            <v>4914000</v>
          </cell>
          <cell r="AC138">
            <v>95012000</v>
          </cell>
          <cell r="AD138">
            <v>5.1719782764282407E-2</v>
          </cell>
          <cell r="AE138">
            <v>15111000</v>
          </cell>
          <cell r="AF138">
            <v>95012000</v>
          </cell>
          <cell r="AG138">
            <v>0.15904306824401129</v>
          </cell>
          <cell r="AH138">
            <v>21686000</v>
          </cell>
          <cell r="AI138">
            <v>95012000</v>
          </cell>
          <cell r="AJ138">
            <v>0.22824485328169072</v>
          </cell>
          <cell r="AK138">
            <v>1344000</v>
          </cell>
          <cell r="AL138">
            <v>95012000</v>
          </cell>
          <cell r="AM138">
            <v>1.4145581610743906E-2</v>
          </cell>
          <cell r="AN138">
            <v>42860000</v>
          </cell>
          <cell r="AO138">
            <v>67024</v>
          </cell>
          <cell r="AP138">
            <v>639.47242778706141</v>
          </cell>
          <cell r="AQ138">
            <v>18062000</v>
          </cell>
          <cell r="AR138">
            <v>64109000</v>
          </cell>
          <cell r="AS138">
            <v>0.28173891341309332</v>
          </cell>
          <cell r="AT138">
            <v>21572000</v>
          </cell>
          <cell r="AU138">
            <v>64109000</v>
          </cell>
          <cell r="AV138">
            <v>0.33648941646258718</v>
          </cell>
          <cell r="AW138">
            <v>1769000</v>
          </cell>
          <cell r="AX138">
            <v>64109000</v>
          </cell>
          <cell r="AY138">
            <v>2.75936295995882E-2</v>
          </cell>
          <cell r="AZ138">
            <v>18458000</v>
          </cell>
          <cell r="BA138">
            <v>64109000</v>
          </cell>
          <cell r="BB138">
            <v>0.28791589324431827</v>
          </cell>
          <cell r="BC138">
            <v>4248000</v>
          </cell>
          <cell r="BD138">
            <v>64109000</v>
          </cell>
          <cell r="BE138">
            <v>6.6262147280413047E-2</v>
          </cell>
          <cell r="BF138">
            <v>45261000</v>
          </cell>
          <cell r="BG138">
            <v>67024</v>
          </cell>
          <cell r="BH138">
            <v>675.29541656719982</v>
          </cell>
          <cell r="BI138">
            <v>13802000</v>
          </cell>
          <cell r="BJ138">
            <v>7645000</v>
          </cell>
          <cell r="BK138">
            <v>1.8053629823413997</v>
          </cell>
          <cell r="BL138">
            <v>5688000</v>
          </cell>
          <cell r="BM138">
            <v>64461000</v>
          </cell>
          <cell r="BN138">
            <v>8.8239400567785176E-2</v>
          </cell>
          <cell r="BO138">
            <v>32279000</v>
          </cell>
          <cell r="BP138">
            <v>12741000</v>
          </cell>
          <cell r="BQ138">
            <v>2.5334746095282945</v>
          </cell>
          <cell r="BR138">
            <v>405</v>
          </cell>
          <cell r="BS138" t="str">
            <v>On Time</v>
          </cell>
          <cell r="BT138" t="str">
            <v>On Time</v>
          </cell>
          <cell r="BU138" t="str">
            <v>On Time</v>
          </cell>
          <cell r="BV138">
            <v>1761000</v>
          </cell>
          <cell r="BW138">
            <v>67024</v>
          </cell>
          <cell r="BX138">
            <v>26.274170446407258</v>
          </cell>
          <cell r="BY138">
            <v>712866</v>
          </cell>
          <cell r="BZ138">
            <v>67024</v>
          </cell>
          <cell r="CA138">
            <v>10.635981141083791</v>
          </cell>
          <cell r="CB138">
            <v>5614000</v>
          </cell>
          <cell r="CC138">
            <v>24703</v>
          </cell>
          <cell r="CD138">
            <v>227.25984698214791</v>
          </cell>
          <cell r="CE138">
            <v>3760175</v>
          </cell>
          <cell r="CF138">
            <v>23615</v>
          </cell>
          <cell r="CG138">
            <v>159.22824475968665</v>
          </cell>
          <cell r="CH138">
            <v>13878000</v>
          </cell>
          <cell r="CI138">
            <v>67024</v>
          </cell>
          <cell r="CJ138">
            <v>207.06015755550251</v>
          </cell>
          <cell r="CK138">
            <v>10009000</v>
          </cell>
          <cell r="CL138">
            <v>67024</v>
          </cell>
          <cell r="CM138">
            <v>149.33456672236809</v>
          </cell>
          <cell r="CN138">
            <v>338.68031620517303</v>
          </cell>
          <cell r="CO138">
            <v>401</v>
          </cell>
          <cell r="CP138">
            <v>463.30240173408401</v>
          </cell>
          <cell r="CQ138">
            <v>390</v>
          </cell>
          <cell r="CR138">
            <v>923</v>
          </cell>
          <cell r="CS138">
            <v>48386</v>
          </cell>
          <cell r="CT138">
            <v>923</v>
          </cell>
          <cell r="CU138">
            <v>52.422535211267608</v>
          </cell>
          <cell r="CV138">
            <v>37</v>
          </cell>
          <cell r="CW138">
            <v>42000</v>
          </cell>
          <cell r="CX138">
            <v>3284000</v>
          </cell>
          <cell r="CY138">
            <v>1.2789281364190013E-2</v>
          </cell>
          <cell r="CZ138">
            <v>1173000</v>
          </cell>
          <cell r="DA138">
            <v>67024</v>
          </cell>
          <cell r="DB138">
            <v>17.501193602291718</v>
          </cell>
          <cell r="DC138">
            <v>3410000</v>
          </cell>
          <cell r="DD138">
            <v>67024</v>
          </cell>
          <cell r="DE138">
            <v>50.877297684411552</v>
          </cell>
          <cell r="DF138">
            <v>1030000</v>
          </cell>
          <cell r="DG138">
            <v>67024</v>
          </cell>
          <cell r="DH138">
            <v>15.367629505848651</v>
          </cell>
          <cell r="DI138">
            <v>3687.4</v>
          </cell>
          <cell r="DJ138">
            <v>18.176492921841948</v>
          </cell>
          <cell r="DK138">
            <v>2.7606338294797972E-2</v>
          </cell>
          <cell r="DL138">
            <v>2.04</v>
          </cell>
          <cell r="DM138">
            <v>2.97</v>
          </cell>
        </row>
        <row r="139">
          <cell r="B139" t="str">
            <v>Richmond Valley Council</v>
          </cell>
          <cell r="C139">
            <v>4</v>
          </cell>
          <cell r="D139">
            <v>2672000</v>
          </cell>
          <cell r="E139">
            <v>7196</v>
          </cell>
          <cell r="F139">
            <v>371.31739855475263</v>
          </cell>
          <cell r="G139">
            <v>965000</v>
          </cell>
          <cell r="H139">
            <v>1591</v>
          </cell>
          <cell r="I139">
            <v>606.53676932746703</v>
          </cell>
          <cell r="J139">
            <v>658000</v>
          </cell>
          <cell r="K139">
            <v>651</v>
          </cell>
          <cell r="L139">
            <v>1010.752688172043</v>
          </cell>
          <cell r="M139">
            <v>2846000</v>
          </cell>
          <cell r="N139">
            <v>17671000</v>
          </cell>
          <cell r="O139">
            <v>0.16105483560636069</v>
          </cell>
          <cell r="P139">
            <v>113000</v>
          </cell>
          <cell r="Q139">
            <v>8862000</v>
          </cell>
          <cell r="R139">
            <v>1.2751071992778154E-2</v>
          </cell>
          <cell r="S139">
            <v>-294000</v>
          </cell>
          <cell r="T139">
            <v>8990000</v>
          </cell>
          <cell r="U139">
            <v>-3.270300333704116E-2</v>
          </cell>
          <cell r="V139">
            <v>8975000</v>
          </cell>
          <cell r="W139">
            <v>28418000</v>
          </cell>
          <cell r="X139">
            <v>0.31582095854739956</v>
          </cell>
          <cell r="Y139">
            <v>8696000</v>
          </cell>
          <cell r="Z139">
            <v>28418000</v>
          </cell>
          <cell r="AA139">
            <v>0.30600323738475615</v>
          </cell>
          <cell r="AB139">
            <v>960000</v>
          </cell>
          <cell r="AC139">
            <v>28418000</v>
          </cell>
          <cell r="AD139">
            <v>3.3781406151031035E-2</v>
          </cell>
          <cell r="AE139">
            <v>6696000</v>
          </cell>
          <cell r="AF139">
            <v>28418000</v>
          </cell>
          <cell r="AG139">
            <v>0.23562530790344149</v>
          </cell>
          <cell r="AH139">
            <v>3023000</v>
          </cell>
          <cell r="AI139">
            <v>28418000</v>
          </cell>
          <cell r="AJ139">
            <v>0.10637624041100711</v>
          </cell>
          <cell r="AK139">
            <v>68000</v>
          </cell>
          <cell r="AL139">
            <v>28418000</v>
          </cell>
          <cell r="AM139">
            <v>2.3928496023646983E-3</v>
          </cell>
          <cell r="AN139">
            <v>19996000</v>
          </cell>
          <cell r="AO139">
            <v>21029</v>
          </cell>
          <cell r="AP139">
            <v>950.87735983641642</v>
          </cell>
          <cell r="AQ139">
            <v>11058000</v>
          </cell>
          <cell r="AR139">
            <v>29773000</v>
          </cell>
          <cell r="AS139">
            <v>0.37141033822590935</v>
          </cell>
          <cell r="AT139">
            <v>7196000</v>
          </cell>
          <cell r="AU139">
            <v>29773000</v>
          </cell>
          <cell r="AV139">
            <v>0.24169549591912134</v>
          </cell>
          <cell r="AW139">
            <v>242000</v>
          </cell>
          <cell r="AX139">
            <v>29773000</v>
          </cell>
          <cell r="AY139">
            <v>8.128169818291741E-3</v>
          </cell>
          <cell r="AZ139">
            <v>8287000</v>
          </cell>
          <cell r="BA139">
            <v>29773000</v>
          </cell>
          <cell r="BB139">
            <v>0.27833943505861014</v>
          </cell>
          <cell r="BC139">
            <v>2990000</v>
          </cell>
          <cell r="BD139">
            <v>29773000</v>
          </cell>
          <cell r="BE139">
            <v>0.10042656097806738</v>
          </cell>
          <cell r="BF139">
            <v>24228000</v>
          </cell>
          <cell r="BG139">
            <v>21029</v>
          </cell>
          <cell r="BH139">
            <v>1152.1232583575063</v>
          </cell>
          <cell r="BI139">
            <v>13150000</v>
          </cell>
          <cell r="BJ139">
            <v>5075000</v>
          </cell>
          <cell r="BK139">
            <v>2.5911330049261085</v>
          </cell>
          <cell r="BL139">
            <v>1115000</v>
          </cell>
          <cell r="BM139">
            <v>22917000</v>
          </cell>
          <cell r="BN139">
            <v>4.8653837762359819E-2</v>
          </cell>
          <cell r="BO139">
            <v>3316000</v>
          </cell>
          <cell r="BP139">
            <v>7429000</v>
          </cell>
          <cell r="BQ139">
            <v>0.44635886391169738</v>
          </cell>
          <cell r="BR139">
            <v>217</v>
          </cell>
          <cell r="BS139" t="str">
            <v>On Time</v>
          </cell>
          <cell r="BT139" t="str">
            <v>On Time</v>
          </cell>
          <cell r="BU139" t="str">
            <v>On Time</v>
          </cell>
          <cell r="BV139">
            <v>388000</v>
          </cell>
          <cell r="BW139">
            <v>21029</v>
          </cell>
          <cell r="BX139">
            <v>18.45071092301108</v>
          </cell>
          <cell r="BY139">
            <v>142663</v>
          </cell>
          <cell r="BZ139">
            <v>21029</v>
          </cell>
          <cell r="CA139">
            <v>6.7841076608493029</v>
          </cell>
          <cell r="CB139">
            <v>1129000</v>
          </cell>
          <cell r="CC139">
            <v>5843</v>
          </cell>
          <cell r="CD139">
            <v>193.222659592675</v>
          </cell>
          <cell r="CE139">
            <v>392435</v>
          </cell>
          <cell r="CF139">
            <v>5843</v>
          </cell>
          <cell r="CG139">
            <v>67.163272291631017</v>
          </cell>
          <cell r="CH139">
            <v>2434000</v>
          </cell>
          <cell r="CI139">
            <v>21029</v>
          </cell>
          <cell r="CJ139">
            <v>115.74492367682724</v>
          </cell>
          <cell r="CK139">
            <v>9480000</v>
          </cell>
          <cell r="CL139">
            <v>21029</v>
          </cell>
          <cell r="CM139">
            <v>450.80602976841504</v>
          </cell>
          <cell r="CN139">
            <v>244.445104660797</v>
          </cell>
          <cell r="CO139">
            <v>437</v>
          </cell>
          <cell r="CP139">
            <v>421.10622789152097</v>
          </cell>
          <cell r="CQ139">
            <v>438</v>
          </cell>
          <cell r="CR139">
            <v>468</v>
          </cell>
          <cell r="CS139">
            <v>25081</v>
          </cell>
          <cell r="CT139">
            <v>468</v>
          </cell>
          <cell r="CU139">
            <v>53.591880341880341</v>
          </cell>
          <cell r="CV139">
            <v>35</v>
          </cell>
          <cell r="CW139">
            <v>25000</v>
          </cell>
          <cell r="CX139">
            <v>1282000</v>
          </cell>
          <cell r="CY139">
            <v>1.9500780031201249E-2</v>
          </cell>
          <cell r="CZ139">
            <v>711000</v>
          </cell>
          <cell r="DA139">
            <v>21029</v>
          </cell>
          <cell r="DB139">
            <v>33.810452232631128</v>
          </cell>
          <cell r="DC139">
            <v>1213000</v>
          </cell>
          <cell r="DD139">
            <v>21029</v>
          </cell>
          <cell r="DE139">
            <v>57.682248323743401</v>
          </cell>
          <cell r="DF139">
            <v>1248000</v>
          </cell>
          <cell r="DG139">
            <v>21029</v>
          </cell>
          <cell r="DH139">
            <v>59.346616577107802</v>
          </cell>
          <cell r="DI139">
            <v>2608.6999999999998</v>
          </cell>
          <cell r="DJ139">
            <v>8.0611032314946147</v>
          </cell>
          <cell r="DK139">
            <v>8.4860626756055879E-4</v>
          </cell>
          <cell r="DL139">
            <v>5.57</v>
          </cell>
          <cell r="DM139">
            <v>1.92</v>
          </cell>
        </row>
        <row r="140">
          <cell r="B140" t="str">
            <v>Goulburn City Council</v>
          </cell>
          <cell r="C140">
            <v>4</v>
          </cell>
          <cell r="D140">
            <v>5417000</v>
          </cell>
          <cell r="E140">
            <v>8042</v>
          </cell>
          <cell r="F140">
            <v>673.5886595374285</v>
          </cell>
          <cell r="G140">
            <v>79000</v>
          </cell>
          <cell r="H140">
            <v>37</v>
          </cell>
          <cell r="I140">
            <v>2135.135135135135</v>
          </cell>
          <cell r="J140">
            <v>2095000</v>
          </cell>
          <cell r="K140">
            <v>606</v>
          </cell>
          <cell r="L140">
            <v>3457.0957095709573</v>
          </cell>
          <cell r="M140">
            <v>1117000</v>
          </cell>
          <cell r="N140">
            <v>19107000</v>
          </cell>
          <cell r="O140">
            <v>5.8460250170094728E-2</v>
          </cell>
          <cell r="P140">
            <v>988000</v>
          </cell>
          <cell r="Q140">
            <v>13731000</v>
          </cell>
          <cell r="R140">
            <v>7.1953972762362539E-2</v>
          </cell>
          <cell r="S140">
            <v>-279000</v>
          </cell>
          <cell r="T140">
            <v>4667000</v>
          </cell>
          <cell r="U140">
            <v>-5.9781444182558388E-2</v>
          </cell>
          <cell r="V140">
            <v>14719000</v>
          </cell>
          <cell r="W140">
            <v>25933000</v>
          </cell>
          <cell r="X140">
            <v>0.56757798943431148</v>
          </cell>
          <cell r="Y140">
            <v>4388000</v>
          </cell>
          <cell r="Z140">
            <v>25933000</v>
          </cell>
          <cell r="AA140">
            <v>0.16920525970770833</v>
          </cell>
          <cell r="AB140">
            <v>652000</v>
          </cell>
          <cell r="AC140">
            <v>25933000</v>
          </cell>
          <cell r="AD140">
            <v>2.5141711333050553E-2</v>
          </cell>
          <cell r="AE140">
            <v>4086000</v>
          </cell>
          <cell r="AF140">
            <v>25933000</v>
          </cell>
          <cell r="AG140">
            <v>0.15755986580804379</v>
          </cell>
          <cell r="AH140">
            <v>1661000</v>
          </cell>
          <cell r="AI140">
            <v>25933000</v>
          </cell>
          <cell r="AJ140">
            <v>6.4049666448154866E-2</v>
          </cell>
          <cell r="AK140">
            <v>427000</v>
          </cell>
          <cell r="AL140">
            <v>25933000</v>
          </cell>
          <cell r="AM140">
            <v>1.6465507268730962E-2</v>
          </cell>
          <cell r="AN140">
            <v>16031000</v>
          </cell>
          <cell r="AO140">
            <v>21283</v>
          </cell>
          <cell r="AP140">
            <v>753.23027768641634</v>
          </cell>
          <cell r="AQ140">
            <v>9000000</v>
          </cell>
          <cell r="AR140">
            <v>21607000</v>
          </cell>
          <cell r="AS140">
            <v>0.41653167954829451</v>
          </cell>
          <cell r="AT140">
            <v>5527000</v>
          </cell>
          <cell r="AU140">
            <v>21607000</v>
          </cell>
          <cell r="AV140">
            <v>0.25579673254038043</v>
          </cell>
          <cell r="AW140">
            <v>972000</v>
          </cell>
          <cell r="AX140">
            <v>21607000</v>
          </cell>
          <cell r="AY140">
            <v>4.4985421391215807E-2</v>
          </cell>
          <cell r="AZ140">
            <v>3851000</v>
          </cell>
          <cell r="BA140">
            <v>21607000</v>
          </cell>
          <cell r="BB140">
            <v>0.17822927754894247</v>
          </cell>
          <cell r="BC140">
            <v>2257000</v>
          </cell>
          <cell r="BD140">
            <v>21607000</v>
          </cell>
          <cell r="BE140">
            <v>0.10445688897116676</v>
          </cell>
          <cell r="BF140">
            <v>14093000</v>
          </cell>
          <cell r="BG140">
            <v>21283</v>
          </cell>
          <cell r="BH140">
            <v>662.17168632241692</v>
          </cell>
          <cell r="BI140">
            <v>6358000</v>
          </cell>
          <cell r="BJ140">
            <v>2124000</v>
          </cell>
          <cell r="BK140">
            <v>2.9934086629001881</v>
          </cell>
          <cell r="BL140">
            <v>3079000</v>
          </cell>
          <cell r="BM140">
            <v>22873000</v>
          </cell>
          <cell r="BN140">
            <v>0.13461286232676081</v>
          </cell>
          <cell r="BO140">
            <v>3364000</v>
          </cell>
          <cell r="BP140">
            <v>2475000</v>
          </cell>
          <cell r="BQ140">
            <v>1.3591919191919193</v>
          </cell>
          <cell r="BR140">
            <v>187</v>
          </cell>
          <cell r="BS140" t="str">
            <v>On Time</v>
          </cell>
          <cell r="BT140" t="str">
            <v>Not Received</v>
          </cell>
          <cell r="BU140" t="str">
            <v>On Time</v>
          </cell>
          <cell r="BV140">
            <v>593000</v>
          </cell>
          <cell r="BW140">
            <v>21283</v>
          </cell>
          <cell r="BX140">
            <v>27.862613353380631</v>
          </cell>
          <cell r="BY140">
            <v>136813</v>
          </cell>
          <cell r="BZ140">
            <v>21283</v>
          </cell>
          <cell r="CA140">
            <v>6.4282760888972419</v>
          </cell>
          <cell r="CB140">
            <v>1192000</v>
          </cell>
          <cell r="CC140">
            <v>8390</v>
          </cell>
          <cell r="CD140">
            <v>142.07389749702025</v>
          </cell>
          <cell r="CE140">
            <v>897600</v>
          </cell>
          <cell r="CF140">
            <v>7769</v>
          </cell>
          <cell r="CG140">
            <v>115.53610503282276</v>
          </cell>
          <cell r="CH140">
            <v>4100000</v>
          </cell>
          <cell r="CI140">
            <v>21283</v>
          </cell>
          <cell r="CJ140">
            <v>192.64201475355918</v>
          </cell>
          <cell r="CK140">
            <v>8420000</v>
          </cell>
          <cell r="CL140">
            <v>21283</v>
          </cell>
          <cell r="CM140">
            <v>395.62091810365081</v>
          </cell>
          <cell r="CN140">
            <v>438.77192344520802</v>
          </cell>
          <cell r="CO140">
            <v>416</v>
          </cell>
          <cell r="CP140">
            <v>357.83316660766502</v>
          </cell>
          <cell r="CQ140">
            <v>369</v>
          </cell>
          <cell r="CR140">
            <v>362</v>
          </cell>
          <cell r="CS140">
            <v>20064</v>
          </cell>
          <cell r="CT140">
            <v>362</v>
          </cell>
          <cell r="CU140">
            <v>55.425414364640886</v>
          </cell>
          <cell r="CV140">
            <v>60</v>
          </cell>
          <cell r="CW140">
            <v>4000</v>
          </cell>
          <cell r="CX140">
            <v>608000</v>
          </cell>
          <cell r="CY140">
            <v>6.5789473684210523E-3</v>
          </cell>
          <cell r="CZ140">
            <v>128000</v>
          </cell>
          <cell r="DA140">
            <v>21283</v>
          </cell>
          <cell r="DB140">
            <v>6.014189728891604</v>
          </cell>
          <cell r="DC140">
            <v>1734000</v>
          </cell>
          <cell r="DD140">
            <v>21283</v>
          </cell>
          <cell r="DE140">
            <v>81.473476483578438</v>
          </cell>
          <cell r="DF140">
            <v>482000</v>
          </cell>
          <cell r="DG140">
            <v>21283</v>
          </cell>
          <cell r="DH140">
            <v>22.647183197857444</v>
          </cell>
          <cell r="DI140">
            <v>55.4</v>
          </cell>
          <cell r="DJ140">
            <v>384.16967509025272</v>
          </cell>
          <cell r="DK140">
            <v>-1.6550499361877025E-3</v>
          </cell>
          <cell r="DL140">
            <v>1.91</v>
          </cell>
          <cell r="DM140">
            <v>2.7</v>
          </cell>
        </row>
        <row r="141">
          <cell r="B141" t="str">
            <v>Hawkesbury City Council</v>
          </cell>
          <cell r="C141">
            <v>6</v>
          </cell>
          <cell r="D141">
            <v>13977000</v>
          </cell>
          <cell r="E141">
            <v>21275</v>
          </cell>
          <cell r="F141">
            <v>656.96827262044656</v>
          </cell>
          <cell r="G141">
            <v>1110000</v>
          </cell>
          <cell r="H141">
            <v>760</v>
          </cell>
          <cell r="I141">
            <v>1460.5263157894738</v>
          </cell>
          <cell r="J141">
            <v>1545000</v>
          </cell>
          <cell r="K141">
            <v>1357</v>
          </cell>
          <cell r="L141">
            <v>1138.5408990420044</v>
          </cell>
          <cell r="M141">
            <v>1067000</v>
          </cell>
          <cell r="N141">
            <v>32892000</v>
          </cell>
          <cell r="O141">
            <v>3.2439498966313998E-2</v>
          </cell>
          <cell r="P141">
            <v>1334000</v>
          </cell>
          <cell r="Q141">
            <v>25615000</v>
          </cell>
          <cell r="R141">
            <v>5.2078860042943591E-2</v>
          </cell>
          <cell r="S141">
            <v>-1248000</v>
          </cell>
          <cell r="T141">
            <v>7191000</v>
          </cell>
          <cell r="U141">
            <v>-0.17355027117229871</v>
          </cell>
          <cell r="V141">
            <v>26949000</v>
          </cell>
          <cell r="W141">
            <v>49161000</v>
          </cell>
          <cell r="X141">
            <v>0.54817843412461098</v>
          </cell>
          <cell r="Y141">
            <v>5943000</v>
          </cell>
          <cell r="Z141">
            <v>49161000</v>
          </cell>
          <cell r="AA141">
            <v>0.12088850918410936</v>
          </cell>
          <cell r="AB141">
            <v>1853000</v>
          </cell>
          <cell r="AC141">
            <v>49161000</v>
          </cell>
          <cell r="AD141">
            <v>3.7692479811232478E-2</v>
          </cell>
          <cell r="AE141">
            <v>11398000</v>
          </cell>
          <cell r="AF141">
            <v>49161000</v>
          </cell>
          <cell r="AG141">
            <v>0.23185045056040357</v>
          </cell>
          <cell r="AH141">
            <v>1004000</v>
          </cell>
          <cell r="AI141">
            <v>49161000</v>
          </cell>
          <cell r="AJ141">
            <v>2.0422692784931144E-2</v>
          </cell>
          <cell r="AK141">
            <v>2014000</v>
          </cell>
          <cell r="AL141">
            <v>49161000</v>
          </cell>
          <cell r="AM141">
            <v>4.0967433534712473E-2</v>
          </cell>
          <cell r="AN141">
            <v>46936000</v>
          </cell>
          <cell r="AO141">
            <v>63294</v>
          </cell>
          <cell r="AP141">
            <v>741.55528170126706</v>
          </cell>
          <cell r="AQ141">
            <v>16130000</v>
          </cell>
          <cell r="AR141">
            <v>47589000</v>
          </cell>
          <cell r="AS141">
            <v>0.33894387358423167</v>
          </cell>
          <cell r="AT141">
            <v>19949000</v>
          </cell>
          <cell r="AU141">
            <v>47589000</v>
          </cell>
          <cell r="AV141">
            <v>0.41919351110550757</v>
          </cell>
          <cell r="AW141">
            <v>293000</v>
          </cell>
          <cell r="AX141">
            <v>47589000</v>
          </cell>
          <cell r="AY141">
            <v>6.1568849944314864E-3</v>
          </cell>
          <cell r="AZ141">
            <v>6223000</v>
          </cell>
          <cell r="BA141">
            <v>47589000</v>
          </cell>
          <cell r="BB141">
            <v>0.13076551303872744</v>
          </cell>
          <cell r="BC141">
            <v>4994000</v>
          </cell>
          <cell r="BD141">
            <v>47589000</v>
          </cell>
          <cell r="BE141">
            <v>0.10494021727710186</v>
          </cell>
          <cell r="BF141">
            <v>44373000</v>
          </cell>
          <cell r="BG141">
            <v>63294</v>
          </cell>
          <cell r="BH141">
            <v>701.06171201061716</v>
          </cell>
          <cell r="BI141">
            <v>16698000</v>
          </cell>
          <cell r="BJ141">
            <v>5423000</v>
          </cell>
          <cell r="BK141">
            <v>3.079107505070994</v>
          </cell>
          <cell r="BL141">
            <v>365000</v>
          </cell>
          <cell r="BM141">
            <v>41180000</v>
          </cell>
          <cell r="BN141">
            <v>8.8635259834871291E-3</v>
          </cell>
          <cell r="BO141">
            <v>-24227000</v>
          </cell>
          <cell r="BP141">
            <v>5299000</v>
          </cell>
          <cell r="BQ141">
            <v>-4.5719947159841476</v>
          </cell>
          <cell r="BR141">
            <v>330</v>
          </cell>
          <cell r="BS141" t="str">
            <v>&lt;=2</v>
          </cell>
          <cell r="BT141" t="str">
            <v>&lt;=2</v>
          </cell>
          <cell r="BU141" t="str">
            <v>On Time</v>
          </cell>
          <cell r="BV141">
            <v>1528000</v>
          </cell>
          <cell r="BW141">
            <v>63294</v>
          </cell>
          <cell r="BX141">
            <v>24.141308812841661</v>
          </cell>
          <cell r="BY141">
            <v>281364</v>
          </cell>
          <cell r="BZ141">
            <v>63294</v>
          </cell>
          <cell r="CA141">
            <v>4.4453502701677881</v>
          </cell>
          <cell r="CB141">
            <v>4726000</v>
          </cell>
          <cell r="CC141">
            <v>20262</v>
          </cell>
          <cell r="CD141">
            <v>233.24449708814529</v>
          </cell>
          <cell r="CE141">
            <v>2001000</v>
          </cell>
          <cell r="CF141">
            <v>20078</v>
          </cell>
          <cell r="CG141">
            <v>99.66132084869011</v>
          </cell>
          <cell r="CH141">
            <v>10316000</v>
          </cell>
          <cell r="CI141">
            <v>63294</v>
          </cell>
          <cell r="CJ141">
            <v>162.98543305842577</v>
          </cell>
          <cell r="CK141">
            <v>13140000</v>
          </cell>
          <cell r="CL141">
            <v>63294</v>
          </cell>
          <cell r="CM141">
            <v>207.60261636174044</v>
          </cell>
          <cell r="CN141" t="str">
            <v>N/A</v>
          </cell>
          <cell r="CO141" t="str">
            <v>N/A</v>
          </cell>
          <cell r="CP141">
            <v>357</v>
          </cell>
          <cell r="CQ141">
            <v>476</v>
          </cell>
          <cell r="CR141">
            <v>1423</v>
          </cell>
          <cell r="CS141">
            <v>78948</v>
          </cell>
          <cell r="CT141">
            <v>1423</v>
          </cell>
          <cell r="CU141">
            <v>55.479971890372454</v>
          </cell>
          <cell r="CV141">
            <v>38</v>
          </cell>
          <cell r="CW141">
            <v>354000</v>
          </cell>
          <cell r="CX141">
            <v>2638000</v>
          </cell>
          <cell r="CY141">
            <v>0.13419257012888552</v>
          </cell>
          <cell r="CZ141">
            <v>824000</v>
          </cell>
          <cell r="DA141">
            <v>63294</v>
          </cell>
          <cell r="DB141">
            <v>13.018611558757543</v>
          </cell>
          <cell r="DC141">
            <v>4931000</v>
          </cell>
          <cell r="DD141">
            <v>63294</v>
          </cell>
          <cell r="DE141">
            <v>77.906278636205641</v>
          </cell>
          <cell r="DF141">
            <v>2069000</v>
          </cell>
          <cell r="DG141">
            <v>63294</v>
          </cell>
          <cell r="DH141">
            <v>32.68872246974437</v>
          </cell>
          <cell r="DI141">
            <v>2775.7</v>
          </cell>
          <cell r="DJ141">
            <v>22.802896566631841</v>
          </cell>
          <cell r="DK141">
            <v>1.0877977006586548E-2</v>
          </cell>
          <cell r="DL141">
            <v>1.7</v>
          </cell>
          <cell r="DM141">
            <v>5.63</v>
          </cell>
        </row>
        <row r="142">
          <cell r="B142" t="str">
            <v>Bombala Council</v>
          </cell>
          <cell r="C142">
            <v>9</v>
          </cell>
          <cell r="D142">
            <v>370000</v>
          </cell>
          <cell r="E142">
            <v>1053</v>
          </cell>
          <cell r="F142">
            <v>351.3770180436847</v>
          </cell>
          <cell r="G142">
            <v>789000</v>
          </cell>
          <cell r="H142">
            <v>657</v>
          </cell>
          <cell r="I142">
            <v>1200.9132420091323</v>
          </cell>
          <cell r="J142">
            <v>65000</v>
          </cell>
          <cell r="K142">
            <v>156</v>
          </cell>
          <cell r="L142">
            <v>416.66666666666669</v>
          </cell>
          <cell r="M142">
            <v>973000</v>
          </cell>
          <cell r="N142">
            <v>3369000</v>
          </cell>
          <cell r="O142">
            <v>0.28880973582665481</v>
          </cell>
          <cell r="P142">
            <v>75000</v>
          </cell>
          <cell r="Q142">
            <v>1855000</v>
          </cell>
          <cell r="R142">
            <v>4.0431266846361183E-2</v>
          </cell>
          <cell r="S142">
            <v>118000</v>
          </cell>
          <cell r="T142">
            <v>1321000</v>
          </cell>
          <cell r="U142">
            <v>8.9326267978803942E-2</v>
          </cell>
          <cell r="V142">
            <v>1930000</v>
          </cell>
          <cell r="W142">
            <v>6987000</v>
          </cell>
          <cell r="X142">
            <v>0.276227279232861</v>
          </cell>
          <cell r="Y142">
            <v>1439000</v>
          </cell>
          <cell r="Z142">
            <v>6987000</v>
          </cell>
          <cell r="AA142">
            <v>0.20595391441248032</v>
          </cell>
          <cell r="AB142">
            <v>100000</v>
          </cell>
          <cell r="AC142">
            <v>6987000</v>
          </cell>
          <cell r="AD142">
            <v>1.4312294260770001E-2</v>
          </cell>
          <cell r="AE142">
            <v>2453000</v>
          </cell>
          <cell r="AF142">
            <v>6987000</v>
          </cell>
          <cell r="AG142">
            <v>0.35108057821668814</v>
          </cell>
          <cell r="AH142">
            <v>970000</v>
          </cell>
          <cell r="AI142">
            <v>6987000</v>
          </cell>
          <cell r="AJ142">
            <v>0.13882925432946902</v>
          </cell>
          <cell r="AK142">
            <v>95000</v>
          </cell>
          <cell r="AL142">
            <v>6987000</v>
          </cell>
          <cell r="AM142">
            <v>1.3596679547731501E-2</v>
          </cell>
          <cell r="AN142">
            <v>5205000</v>
          </cell>
          <cell r="AO142">
            <v>2611</v>
          </cell>
          <cell r="AP142">
            <v>1993.4890846418996</v>
          </cell>
          <cell r="AQ142">
            <v>2292000</v>
          </cell>
          <cell r="AR142">
            <v>5618000</v>
          </cell>
          <cell r="AS142">
            <v>0.40797436810252757</v>
          </cell>
          <cell r="AT142">
            <v>2127000</v>
          </cell>
          <cell r="AU142">
            <v>5618000</v>
          </cell>
          <cell r="AV142">
            <v>0.37860448558205767</v>
          </cell>
          <cell r="AW142">
            <v>79000</v>
          </cell>
          <cell r="AX142">
            <v>5618000</v>
          </cell>
          <cell r="AY142">
            <v>1.4061943752224991E-2</v>
          </cell>
          <cell r="AZ142">
            <v>796000</v>
          </cell>
          <cell r="BA142">
            <v>5618000</v>
          </cell>
          <cell r="BB142">
            <v>0.141687433250267</v>
          </cell>
          <cell r="BC142">
            <v>324000</v>
          </cell>
          <cell r="BD142">
            <v>5618000</v>
          </cell>
          <cell r="BE142">
            <v>5.7671769312922748E-2</v>
          </cell>
          <cell r="BF142">
            <v>4992000</v>
          </cell>
          <cell r="BG142">
            <v>2611</v>
          </cell>
          <cell r="BH142">
            <v>1911.911145155113</v>
          </cell>
          <cell r="BI142">
            <v>2768000</v>
          </cell>
          <cell r="BJ142">
            <v>786000</v>
          </cell>
          <cell r="BK142">
            <v>3.5216284987277353</v>
          </cell>
          <cell r="BL142">
            <v>242000</v>
          </cell>
          <cell r="BM142">
            <v>4730000</v>
          </cell>
          <cell r="BN142">
            <v>5.1162790697674418E-2</v>
          </cell>
          <cell r="BO142">
            <v>650000</v>
          </cell>
          <cell r="BP142">
            <v>690000</v>
          </cell>
          <cell r="BQ142">
            <v>0.94202898550724634</v>
          </cell>
          <cell r="BR142">
            <v>49</v>
          </cell>
          <cell r="BS142" t="str">
            <v>&lt;=2</v>
          </cell>
          <cell r="BT142" t="str">
            <v>&lt;=2</v>
          </cell>
          <cell r="BU142" t="str">
            <v>On Time</v>
          </cell>
          <cell r="BV142">
            <v>63000</v>
          </cell>
          <cell r="BW142">
            <v>2611</v>
          </cell>
          <cell r="BX142">
            <v>24.128686327077748</v>
          </cell>
          <cell r="BY142">
            <v>10719</v>
          </cell>
          <cell r="BZ142">
            <v>2611</v>
          </cell>
          <cell r="CA142">
            <v>4.1053236307927996</v>
          </cell>
          <cell r="CB142">
            <v>102000</v>
          </cell>
          <cell r="CC142">
            <v>861</v>
          </cell>
          <cell r="CD142">
            <v>118.46689895470384</v>
          </cell>
          <cell r="CE142">
            <v>67000</v>
          </cell>
          <cell r="CF142">
            <v>763</v>
          </cell>
          <cell r="CG142">
            <v>87.811271297509833</v>
          </cell>
          <cell r="CH142">
            <v>300000</v>
          </cell>
          <cell r="CI142">
            <v>2611</v>
          </cell>
          <cell r="CJ142">
            <v>114.89850631941785</v>
          </cell>
          <cell r="CK142">
            <v>220000</v>
          </cell>
          <cell r="CL142">
            <v>2611</v>
          </cell>
          <cell r="CM142">
            <v>84.258904634239755</v>
          </cell>
          <cell r="CN142">
            <v>427.114907688068</v>
          </cell>
          <cell r="CO142">
            <v>366</v>
          </cell>
          <cell r="CP142">
            <v>410.13645224171501</v>
          </cell>
          <cell r="CQ142">
            <v>277.57291317465598</v>
          </cell>
          <cell r="CR142">
            <v>17</v>
          </cell>
          <cell r="CS142">
            <v>989</v>
          </cell>
          <cell r="CT142">
            <v>17</v>
          </cell>
          <cell r="CU142">
            <v>58.176470588235297</v>
          </cell>
          <cell r="CV142">
            <v>39</v>
          </cell>
          <cell r="CW142">
            <v>1000</v>
          </cell>
          <cell r="CX142">
            <v>42000</v>
          </cell>
          <cell r="CY142">
            <v>2.3809523809523808E-2</v>
          </cell>
          <cell r="CZ142">
            <v>200000</v>
          </cell>
          <cell r="DA142">
            <v>2611</v>
          </cell>
          <cell r="DB142">
            <v>76.599004212945232</v>
          </cell>
          <cell r="DC142">
            <v>87000</v>
          </cell>
          <cell r="DD142">
            <v>2611</v>
          </cell>
          <cell r="DE142">
            <v>33.320566832631172</v>
          </cell>
          <cell r="DF142">
            <v>18000</v>
          </cell>
          <cell r="DG142">
            <v>2611</v>
          </cell>
          <cell r="DH142">
            <v>6.8939103791650709</v>
          </cell>
          <cell r="DI142">
            <v>3944.3</v>
          </cell>
          <cell r="DJ142">
            <v>0.66196790304997077</v>
          </cell>
          <cell r="DK142">
            <v>-2.5829915119459534E-2</v>
          </cell>
          <cell r="DL142">
            <v>0.82</v>
          </cell>
          <cell r="DM142">
            <v>2.97</v>
          </cell>
        </row>
        <row r="143">
          <cell r="B143" t="str">
            <v>Willoughby City Council</v>
          </cell>
          <cell r="C143">
            <v>2</v>
          </cell>
          <cell r="D143">
            <v>13621000</v>
          </cell>
          <cell r="E143">
            <v>25274</v>
          </cell>
          <cell r="F143">
            <v>538.93329112922368</v>
          </cell>
          <cell r="G143">
            <v>0</v>
          </cell>
          <cell r="H143">
            <v>0</v>
          </cell>
          <cell r="I143" t="str">
            <v>N/A</v>
          </cell>
          <cell r="J143">
            <v>10275000</v>
          </cell>
          <cell r="K143">
            <v>2462</v>
          </cell>
          <cell r="L143">
            <v>4173.4362307067422</v>
          </cell>
          <cell r="M143">
            <v>1770000</v>
          </cell>
          <cell r="N143">
            <v>42390000</v>
          </cell>
          <cell r="O143">
            <v>4.1755130927105449E-2</v>
          </cell>
          <cell r="P143">
            <v>1563000</v>
          </cell>
          <cell r="Q143">
            <v>28456000</v>
          </cell>
          <cell r="R143">
            <v>5.4926904694967672E-2</v>
          </cell>
          <cell r="S143">
            <v>503000</v>
          </cell>
          <cell r="T143">
            <v>11868000</v>
          </cell>
          <cell r="U143">
            <v>4.2382878328277723E-2</v>
          </cell>
          <cell r="V143">
            <v>30019000</v>
          </cell>
          <cell r="W143">
            <v>61597000</v>
          </cell>
          <cell r="X143">
            <v>0.48734516291377827</v>
          </cell>
          <cell r="Y143">
            <v>12371000</v>
          </cell>
          <cell r="Z143">
            <v>61597000</v>
          </cell>
          <cell r="AA143">
            <v>0.20083770313489294</v>
          </cell>
          <cell r="AB143">
            <v>1371000</v>
          </cell>
          <cell r="AC143">
            <v>61597000</v>
          </cell>
          <cell r="AD143">
            <v>2.22575774794227E-2</v>
          </cell>
          <cell r="AE143">
            <v>3649000</v>
          </cell>
          <cell r="AF143">
            <v>61597000</v>
          </cell>
          <cell r="AG143">
            <v>5.9239898046982806E-2</v>
          </cell>
          <cell r="AH143">
            <v>11366000</v>
          </cell>
          <cell r="AI143">
            <v>61597000</v>
          </cell>
          <cell r="AJ143">
            <v>0.18452197347273405</v>
          </cell>
          <cell r="AK143">
            <v>2821000</v>
          </cell>
          <cell r="AL143">
            <v>61597000</v>
          </cell>
          <cell r="AM143">
            <v>4.5797684952189228E-2</v>
          </cell>
          <cell r="AN143">
            <v>51328000</v>
          </cell>
          <cell r="AO143">
            <v>62869</v>
          </cell>
          <cell r="AP143">
            <v>816.42781020852885</v>
          </cell>
          <cell r="AQ143">
            <v>21972000</v>
          </cell>
          <cell r="AR143">
            <v>51626000</v>
          </cell>
          <cell r="AS143">
            <v>0.42559950412582809</v>
          </cell>
          <cell r="AT143">
            <v>12677000</v>
          </cell>
          <cell r="AU143">
            <v>51626000</v>
          </cell>
          <cell r="AV143">
            <v>0.24555456552899702</v>
          </cell>
          <cell r="AW143">
            <v>428000</v>
          </cell>
          <cell r="AX143">
            <v>51626000</v>
          </cell>
          <cell r="AY143">
            <v>8.2903963119358454E-3</v>
          </cell>
          <cell r="AZ143">
            <v>9347000</v>
          </cell>
          <cell r="BA143">
            <v>51626000</v>
          </cell>
          <cell r="BB143">
            <v>0.18105218300856157</v>
          </cell>
          <cell r="BC143">
            <v>7202000</v>
          </cell>
          <cell r="BD143">
            <v>51626000</v>
          </cell>
          <cell r="BE143">
            <v>0.13950335102467748</v>
          </cell>
          <cell r="BF143">
            <v>51651000</v>
          </cell>
          <cell r="BG143">
            <v>62869</v>
          </cell>
          <cell r="BH143">
            <v>821.56547742130465</v>
          </cell>
          <cell r="BI143">
            <v>13266000</v>
          </cell>
          <cell r="BJ143">
            <v>7857000</v>
          </cell>
          <cell r="BK143">
            <v>1.6884306987399771</v>
          </cell>
          <cell r="BL143">
            <v>1385000</v>
          </cell>
          <cell r="BM143">
            <v>48505000</v>
          </cell>
          <cell r="BN143">
            <v>2.855375734460365E-2</v>
          </cell>
          <cell r="BO143">
            <v>12964000</v>
          </cell>
          <cell r="BP143">
            <v>9347000</v>
          </cell>
          <cell r="BQ143">
            <v>1.3869690809885524</v>
          </cell>
          <cell r="BR143">
            <v>416</v>
          </cell>
          <cell r="BS143" t="str">
            <v>On Time</v>
          </cell>
          <cell r="BT143" t="str">
            <v>On Time</v>
          </cell>
          <cell r="BU143" t="str">
            <v>On Time</v>
          </cell>
          <cell r="BV143">
            <v>2528000</v>
          </cell>
          <cell r="BW143">
            <v>62869</v>
          </cell>
          <cell r="BX143">
            <v>40.210596637452483</v>
          </cell>
          <cell r="BY143">
            <v>842353</v>
          </cell>
          <cell r="BZ143">
            <v>62869</v>
          </cell>
          <cell r="CA143">
            <v>13.39854300211551</v>
          </cell>
          <cell r="CB143">
            <v>6123000</v>
          </cell>
          <cell r="CC143">
            <v>25362</v>
          </cell>
          <cell r="CD143">
            <v>241.42417790395081</v>
          </cell>
          <cell r="CE143">
            <v>3490450</v>
          </cell>
          <cell r="CF143">
            <v>25362</v>
          </cell>
          <cell r="CG143">
            <v>137.62518728806876</v>
          </cell>
          <cell r="CH143">
            <v>12434500</v>
          </cell>
          <cell r="CI143">
            <v>62869</v>
          </cell>
          <cell r="CJ143">
            <v>197.78428160142519</v>
          </cell>
          <cell r="CK143">
            <v>14811950</v>
          </cell>
          <cell r="CL143">
            <v>62869</v>
          </cell>
          <cell r="CM143">
            <v>235.60021632283002</v>
          </cell>
          <cell r="CN143" t="str">
            <v>N/A</v>
          </cell>
          <cell r="CO143" t="str">
            <v>N/A</v>
          </cell>
          <cell r="CP143" t="str">
            <v>N/A</v>
          </cell>
          <cell r="CQ143" t="str">
            <v>N/A</v>
          </cell>
          <cell r="CR143">
            <v>1131</v>
          </cell>
          <cell r="CS143">
            <v>66050</v>
          </cell>
          <cell r="CT143">
            <v>1131</v>
          </cell>
          <cell r="CU143">
            <v>58.399646330680817</v>
          </cell>
          <cell r="CV143">
            <v>54</v>
          </cell>
          <cell r="CW143">
            <v>347000</v>
          </cell>
          <cell r="CX143">
            <v>3178000</v>
          </cell>
          <cell r="CY143">
            <v>0.1091881686595343</v>
          </cell>
          <cell r="CZ143">
            <v>1545000</v>
          </cell>
          <cell r="DA143">
            <v>62869</v>
          </cell>
          <cell r="DB143">
            <v>24.574909732936742</v>
          </cell>
          <cell r="DC143">
            <v>4412000</v>
          </cell>
          <cell r="DD143">
            <v>62869</v>
          </cell>
          <cell r="DE143">
            <v>70.177671030237477</v>
          </cell>
          <cell r="DF143">
            <v>5015000</v>
          </cell>
          <cell r="DG143">
            <v>62869</v>
          </cell>
          <cell r="DH143">
            <v>79.769043566781718</v>
          </cell>
          <cell r="DI143">
            <v>22.6</v>
          </cell>
          <cell r="DJ143">
            <v>2781.8141592920351</v>
          </cell>
          <cell r="DK143">
            <v>2.0913821516307385E-2</v>
          </cell>
          <cell r="DL143">
            <v>0.13</v>
          </cell>
          <cell r="DM143">
            <v>26.56</v>
          </cell>
        </row>
        <row r="144">
          <cell r="B144" t="str">
            <v>Snowy River Shire Council</v>
          </cell>
          <cell r="C144">
            <v>10</v>
          </cell>
          <cell r="D144">
            <v>1827000</v>
          </cell>
          <cell r="E144">
            <v>3784</v>
          </cell>
          <cell r="F144">
            <v>482.82241014799155</v>
          </cell>
          <cell r="G144">
            <v>1094000</v>
          </cell>
          <cell r="H144">
            <v>827</v>
          </cell>
          <cell r="I144">
            <v>1322.8536880290205</v>
          </cell>
          <cell r="J144">
            <v>591000</v>
          </cell>
          <cell r="K144">
            <v>543</v>
          </cell>
          <cell r="L144">
            <v>1088.3977900552486</v>
          </cell>
          <cell r="M144">
            <v>1142000</v>
          </cell>
          <cell r="N144">
            <v>10444000</v>
          </cell>
          <cell r="O144">
            <v>0.10934507851397932</v>
          </cell>
          <cell r="P144">
            <v>486000</v>
          </cell>
          <cell r="Q144">
            <v>3809000</v>
          </cell>
          <cell r="R144">
            <v>0.12759254397479652</v>
          </cell>
          <cell r="S144">
            <v>300000</v>
          </cell>
          <cell r="T144">
            <v>5849000</v>
          </cell>
          <cell r="U144">
            <v>5.1290818943409131E-2</v>
          </cell>
          <cell r="V144">
            <v>4295000</v>
          </cell>
          <cell r="W144">
            <v>16301000</v>
          </cell>
          <cell r="X144">
            <v>0.26348076805103982</v>
          </cell>
          <cell r="Y144">
            <v>6149000</v>
          </cell>
          <cell r="Z144">
            <v>16301000</v>
          </cell>
          <cell r="AA144">
            <v>0.37721612171032454</v>
          </cell>
          <cell r="AB144">
            <v>648000</v>
          </cell>
          <cell r="AC144">
            <v>16301000</v>
          </cell>
          <cell r="AD144">
            <v>3.9752162444021841E-2</v>
          </cell>
          <cell r="AE144">
            <v>4288000</v>
          </cell>
          <cell r="AF144">
            <v>16301000</v>
          </cell>
          <cell r="AG144">
            <v>0.26305134654315687</v>
          </cell>
          <cell r="AH144">
            <v>863000</v>
          </cell>
          <cell r="AI144">
            <v>16301000</v>
          </cell>
          <cell r="AJ144">
            <v>5.2941537328998221E-2</v>
          </cell>
          <cell r="AK144">
            <v>58000</v>
          </cell>
          <cell r="AL144">
            <v>16301000</v>
          </cell>
          <cell r="AM144">
            <v>3.558063922458745E-3</v>
          </cell>
          <cell r="AN144">
            <v>12703000</v>
          </cell>
          <cell r="AO144">
            <v>7331</v>
          </cell>
          <cell r="AP144">
            <v>1732.778611376347</v>
          </cell>
          <cell r="AQ144">
            <v>5610000</v>
          </cell>
          <cell r="AR144">
            <v>14024000</v>
          </cell>
          <cell r="AS144">
            <v>0.40002852253280091</v>
          </cell>
          <cell r="AT144">
            <v>4405000</v>
          </cell>
          <cell r="AU144">
            <v>14024000</v>
          </cell>
          <cell r="AV144">
            <v>0.31410439247005134</v>
          </cell>
          <cell r="AW144">
            <v>137000</v>
          </cell>
          <cell r="AX144">
            <v>14024000</v>
          </cell>
          <cell r="AY144">
            <v>9.7689674843126073E-3</v>
          </cell>
          <cell r="AZ144">
            <v>2590000</v>
          </cell>
          <cell r="BA144">
            <v>14024000</v>
          </cell>
          <cell r="BB144">
            <v>0.18468339988590987</v>
          </cell>
          <cell r="BC144">
            <v>1282000</v>
          </cell>
          <cell r="BD144">
            <v>14024000</v>
          </cell>
          <cell r="BE144">
            <v>9.1414717626925268E-2</v>
          </cell>
          <cell r="BF144">
            <v>11885000</v>
          </cell>
          <cell r="BG144">
            <v>7331</v>
          </cell>
          <cell r="BH144">
            <v>1621.197653798936</v>
          </cell>
          <cell r="BI144">
            <v>7333000</v>
          </cell>
          <cell r="BJ144">
            <v>1679000</v>
          </cell>
          <cell r="BK144">
            <v>4.3674806432400235</v>
          </cell>
          <cell r="BL144">
            <v>3058000</v>
          </cell>
          <cell r="BM144">
            <v>13279000</v>
          </cell>
          <cell r="BN144">
            <v>0.23028842533323293</v>
          </cell>
          <cell r="BO144">
            <v>2244000</v>
          </cell>
          <cell r="BP144">
            <v>1825000</v>
          </cell>
          <cell r="BQ144">
            <v>1.2295890410958905</v>
          </cell>
          <cell r="BR144">
            <v>95</v>
          </cell>
          <cell r="BS144" t="str">
            <v>&lt;=2</v>
          </cell>
          <cell r="BT144" t="str">
            <v>&lt;=2</v>
          </cell>
          <cell r="BU144" t="str">
            <v>On Time</v>
          </cell>
          <cell r="BV144">
            <v>148000</v>
          </cell>
          <cell r="BW144">
            <v>7331</v>
          </cell>
          <cell r="BX144">
            <v>20.188241713272404</v>
          </cell>
          <cell r="BY144">
            <v>16132</v>
          </cell>
          <cell r="BZ144">
            <v>7331</v>
          </cell>
          <cell r="CA144">
            <v>2.200518346746692</v>
          </cell>
          <cell r="CB144">
            <v>716000</v>
          </cell>
          <cell r="CC144">
            <v>2586</v>
          </cell>
          <cell r="CD144">
            <v>276.87548337200309</v>
          </cell>
          <cell r="CE144">
            <v>412262</v>
          </cell>
          <cell r="CF144">
            <v>2586</v>
          </cell>
          <cell r="CG144">
            <v>159.42072699149264</v>
          </cell>
          <cell r="CH144">
            <v>0</v>
          </cell>
          <cell r="CI144">
            <v>7331</v>
          </cell>
          <cell r="CJ144">
            <v>0</v>
          </cell>
          <cell r="CK144">
            <v>0</v>
          </cell>
          <cell r="CL144">
            <v>7331</v>
          </cell>
          <cell r="CM144">
            <v>0</v>
          </cell>
          <cell r="CN144">
            <v>328.224966522839</v>
          </cell>
          <cell r="CO144">
            <v>295.14212023717698</v>
          </cell>
          <cell r="CP144">
            <v>412.133884236889</v>
          </cell>
          <cell r="CQ144">
            <v>334.44816053511698</v>
          </cell>
          <cell r="CR144">
            <v>237</v>
          </cell>
          <cell r="CS144">
            <v>14043</v>
          </cell>
          <cell r="CT144">
            <v>237</v>
          </cell>
          <cell r="CU144">
            <v>59.253164556962027</v>
          </cell>
          <cell r="CV144">
            <v>24</v>
          </cell>
          <cell r="CW144">
            <v>37000</v>
          </cell>
          <cell r="CX144">
            <v>859000</v>
          </cell>
          <cell r="CY144">
            <v>4.307334109429569E-2</v>
          </cell>
          <cell r="CZ144">
            <v>647000</v>
          </cell>
          <cell r="DA144">
            <v>7331</v>
          </cell>
          <cell r="DB144">
            <v>88.25535397626517</v>
          </cell>
          <cell r="DC144">
            <v>467000</v>
          </cell>
          <cell r="DD144">
            <v>7331</v>
          </cell>
          <cell r="DE144">
            <v>63.702087027690631</v>
          </cell>
          <cell r="DF144">
            <v>1155000</v>
          </cell>
          <cell r="DG144">
            <v>7331</v>
          </cell>
          <cell r="DH144">
            <v>157.55012958668667</v>
          </cell>
          <cell r="DI144">
            <v>6029.6</v>
          </cell>
          <cell r="DJ144">
            <v>1.2158352129494494</v>
          </cell>
          <cell r="DK144">
            <v>2.7214255897121564E-2</v>
          </cell>
          <cell r="DL144">
            <v>0.61</v>
          </cell>
          <cell r="DM144">
            <v>5.62</v>
          </cell>
        </row>
        <row r="145">
          <cell r="B145" t="str">
            <v>Ashfield, The Council of the Municipality of</v>
          </cell>
          <cell r="C145">
            <v>2</v>
          </cell>
          <cell r="D145">
            <v>8902000</v>
          </cell>
          <cell r="E145">
            <v>14496</v>
          </cell>
          <cell r="F145">
            <v>614.10044150110377</v>
          </cell>
          <cell r="G145">
            <v>0</v>
          </cell>
          <cell r="H145">
            <v>0</v>
          </cell>
          <cell r="I145" t="str">
            <v>N/A</v>
          </cell>
          <cell r="J145">
            <v>2292000</v>
          </cell>
          <cell r="K145">
            <v>826</v>
          </cell>
          <cell r="L145">
            <v>2774.818401937046</v>
          </cell>
          <cell r="M145">
            <v>189000</v>
          </cell>
          <cell r="N145">
            <v>15294000</v>
          </cell>
          <cell r="O145">
            <v>1.2357787367595135E-2</v>
          </cell>
          <cell r="P145">
            <v>747000</v>
          </cell>
          <cell r="Q145">
            <v>13342000</v>
          </cell>
          <cell r="R145">
            <v>5.598860740518663E-2</v>
          </cell>
          <cell r="S145">
            <v>-283000</v>
          </cell>
          <cell r="T145">
            <v>1488000</v>
          </cell>
          <cell r="U145">
            <v>-0.19018817204301075</v>
          </cell>
          <cell r="V145">
            <v>14089000</v>
          </cell>
          <cell r="W145">
            <v>19443000</v>
          </cell>
          <cell r="X145">
            <v>0.72463097258653497</v>
          </cell>
          <cell r="Y145">
            <v>1205000</v>
          </cell>
          <cell r="Z145">
            <v>19443000</v>
          </cell>
          <cell r="AA145">
            <v>6.1976032505271818E-2</v>
          </cell>
          <cell r="AB145">
            <v>598000</v>
          </cell>
          <cell r="AC145">
            <v>19443000</v>
          </cell>
          <cell r="AD145">
            <v>3.0756570488093403E-2</v>
          </cell>
          <cell r="AE145">
            <v>1565000</v>
          </cell>
          <cell r="AF145">
            <v>19443000</v>
          </cell>
          <cell r="AG145">
            <v>8.0491693668672523E-2</v>
          </cell>
          <cell r="AH145">
            <v>1052000</v>
          </cell>
          <cell r="AI145">
            <v>19443000</v>
          </cell>
          <cell r="AJ145">
            <v>5.4106876510826518E-2</v>
          </cell>
          <cell r="AK145">
            <v>934000</v>
          </cell>
          <cell r="AL145">
            <v>19443000</v>
          </cell>
          <cell r="AM145">
            <v>4.8037854240600732E-2</v>
          </cell>
          <cell r="AN145">
            <v>18709000</v>
          </cell>
          <cell r="AO145">
            <v>40362</v>
          </cell>
          <cell r="AP145">
            <v>463.53005302016749</v>
          </cell>
          <cell r="AQ145">
            <v>8523000</v>
          </cell>
          <cell r="AR145">
            <v>20017000</v>
          </cell>
          <cell r="AS145">
            <v>0.4257880801318879</v>
          </cell>
          <cell r="AT145">
            <v>4012000</v>
          </cell>
          <cell r="AU145">
            <v>20017000</v>
          </cell>
          <cell r="AV145">
            <v>0.20042963481041115</v>
          </cell>
          <cell r="AW145">
            <v>0</v>
          </cell>
          <cell r="AX145">
            <v>20017000</v>
          </cell>
          <cell r="AY145">
            <v>0</v>
          </cell>
          <cell r="AZ145">
            <v>2747000</v>
          </cell>
          <cell r="BA145">
            <v>20017000</v>
          </cell>
          <cell r="BB145">
            <v>0.13723335165109657</v>
          </cell>
          <cell r="BC145">
            <v>4735000</v>
          </cell>
          <cell r="BD145">
            <v>20017000</v>
          </cell>
          <cell r="BE145">
            <v>0.23654893340660438</v>
          </cell>
          <cell r="BF145">
            <v>20158000</v>
          </cell>
          <cell r="BG145">
            <v>40362</v>
          </cell>
          <cell r="BH145">
            <v>499.43015707844012</v>
          </cell>
          <cell r="BI145">
            <v>8475000</v>
          </cell>
          <cell r="BJ145">
            <v>2876000</v>
          </cell>
          <cell r="BK145">
            <v>2.9468011126564675</v>
          </cell>
          <cell r="BL145">
            <v>0</v>
          </cell>
          <cell r="BM145">
            <v>18179000</v>
          </cell>
          <cell r="BN145">
            <v>0</v>
          </cell>
          <cell r="BO145">
            <v>7944000</v>
          </cell>
          <cell r="BP145">
            <v>2747000</v>
          </cell>
          <cell r="BQ145">
            <v>2.8918820531488896</v>
          </cell>
          <cell r="BR145">
            <v>148</v>
          </cell>
          <cell r="BS145" t="str">
            <v>On Time</v>
          </cell>
          <cell r="BT145" t="str">
            <v>On Time</v>
          </cell>
          <cell r="BU145" t="str">
            <v>On Time</v>
          </cell>
          <cell r="BV145">
            <v>1161000</v>
          </cell>
          <cell r="BW145">
            <v>40362</v>
          </cell>
          <cell r="BX145">
            <v>28.764679649174965</v>
          </cell>
          <cell r="BY145">
            <v>309807</v>
          </cell>
          <cell r="BZ145">
            <v>40362</v>
          </cell>
          <cell r="CA145">
            <v>7.67570982607403</v>
          </cell>
          <cell r="CB145">
            <v>2551000</v>
          </cell>
          <cell r="CC145">
            <v>14572</v>
          </cell>
          <cell r="CD145">
            <v>175.061762283832</v>
          </cell>
          <cell r="CE145">
            <v>1459949</v>
          </cell>
          <cell r="CF145">
            <v>18100</v>
          </cell>
          <cell r="CG145">
            <v>80.660165745856347</v>
          </cell>
          <cell r="CH145">
            <v>5175350</v>
          </cell>
          <cell r="CI145">
            <v>40362</v>
          </cell>
          <cell r="CJ145">
            <v>128.22332887369308</v>
          </cell>
          <cell r="CK145">
            <v>15482590</v>
          </cell>
          <cell r="CL145">
            <v>40362</v>
          </cell>
          <cell r="CM145">
            <v>383.59323125712302</v>
          </cell>
          <cell r="CN145" t="str">
            <v>N/A</v>
          </cell>
          <cell r="CO145" t="str">
            <v>N/A</v>
          </cell>
          <cell r="CP145" t="str">
            <v>N/A</v>
          </cell>
          <cell r="CQ145" t="str">
            <v>N/A</v>
          </cell>
          <cell r="CR145">
            <v>461</v>
          </cell>
          <cell r="CS145">
            <v>27900</v>
          </cell>
          <cell r="CT145">
            <v>461</v>
          </cell>
          <cell r="CU145">
            <v>60.520607375271148</v>
          </cell>
          <cell r="CV145">
            <v>47.5</v>
          </cell>
          <cell r="CW145">
            <v>374000</v>
          </cell>
          <cell r="CX145">
            <v>1623000</v>
          </cell>
          <cell r="CY145">
            <v>0.23043746149106592</v>
          </cell>
          <cell r="CZ145">
            <v>397000</v>
          </cell>
          <cell r="DA145">
            <v>40362</v>
          </cell>
          <cell r="DB145">
            <v>9.8359843417075474</v>
          </cell>
          <cell r="DC145">
            <v>2037000</v>
          </cell>
          <cell r="DD145">
            <v>40362</v>
          </cell>
          <cell r="DE145">
            <v>50.468262226847031</v>
          </cell>
          <cell r="DF145">
            <v>651000</v>
          </cell>
          <cell r="DG145">
            <v>40362</v>
          </cell>
          <cell r="DH145">
            <v>16.129032258064516</v>
          </cell>
          <cell r="DI145">
            <v>8.3000000000000007</v>
          </cell>
          <cell r="DJ145">
            <v>4862.8915662650597</v>
          </cell>
          <cell r="DK145">
            <v>-5.4640089995213748E-3</v>
          </cell>
          <cell r="DL145">
            <v>0.49</v>
          </cell>
          <cell r="DM145">
            <v>36.25</v>
          </cell>
        </row>
        <row r="146">
          <cell r="B146" t="str">
            <v>Griffith City Council</v>
          </cell>
          <cell r="C146">
            <v>4</v>
          </cell>
          <cell r="D146">
            <v>4123000</v>
          </cell>
          <cell r="E146">
            <v>6918</v>
          </cell>
          <cell r="F146">
            <v>595.98149754264239</v>
          </cell>
          <cell r="G146">
            <v>3013000</v>
          </cell>
          <cell r="H146">
            <v>1372</v>
          </cell>
          <cell r="I146">
            <v>2196.0641399416909</v>
          </cell>
          <cell r="J146">
            <v>1304000</v>
          </cell>
          <cell r="K146">
            <v>966</v>
          </cell>
          <cell r="L146">
            <v>1349.8964803312629</v>
          </cell>
          <cell r="M146">
            <v>2501000</v>
          </cell>
          <cell r="N146">
            <v>21990000</v>
          </cell>
          <cell r="O146">
            <v>0.11373351523419736</v>
          </cell>
          <cell r="P146">
            <v>144000</v>
          </cell>
          <cell r="Q146">
            <v>14261000</v>
          </cell>
          <cell r="R146">
            <v>1.0097468620713835E-2</v>
          </cell>
          <cell r="S146">
            <v>845000</v>
          </cell>
          <cell r="T146">
            <v>6740000</v>
          </cell>
          <cell r="U146">
            <v>0.12537091988130564</v>
          </cell>
          <cell r="V146">
            <v>14405000</v>
          </cell>
          <cell r="W146">
            <v>31873000</v>
          </cell>
          <cell r="X146">
            <v>0.45194992626988362</v>
          </cell>
          <cell r="Y146">
            <v>7585000</v>
          </cell>
          <cell r="Z146">
            <v>31873000</v>
          </cell>
          <cell r="AA146">
            <v>0.2379757161233646</v>
          </cell>
          <cell r="AB146">
            <v>638000</v>
          </cell>
          <cell r="AC146">
            <v>31873000</v>
          </cell>
          <cell r="AD146">
            <v>2.0016942239513068E-2</v>
          </cell>
          <cell r="AE146">
            <v>3883000</v>
          </cell>
          <cell r="AF146">
            <v>31873000</v>
          </cell>
          <cell r="AG146">
            <v>0.12182725190600195</v>
          </cell>
          <cell r="AH146">
            <v>4845000</v>
          </cell>
          <cell r="AI146">
            <v>31873000</v>
          </cell>
          <cell r="AJ146">
            <v>0.1520095378533555</v>
          </cell>
          <cell r="AK146">
            <v>517000</v>
          </cell>
          <cell r="AL146">
            <v>31873000</v>
          </cell>
          <cell r="AM146">
            <v>1.6220625607881279E-2</v>
          </cell>
          <cell r="AN146">
            <v>18787000</v>
          </cell>
          <cell r="AO146">
            <v>24709</v>
          </cell>
          <cell r="AP146">
            <v>760.33024404063292</v>
          </cell>
          <cell r="AQ146">
            <v>11708000</v>
          </cell>
          <cell r="AR146">
            <v>27298000</v>
          </cell>
          <cell r="AS146">
            <v>0.42889588980877719</v>
          </cell>
          <cell r="AT146">
            <v>8547000</v>
          </cell>
          <cell r="AU146">
            <v>27298000</v>
          </cell>
          <cell r="AV146">
            <v>0.31309986079566271</v>
          </cell>
          <cell r="AW146">
            <v>0</v>
          </cell>
          <cell r="AX146">
            <v>27298000</v>
          </cell>
          <cell r="AY146">
            <v>0</v>
          </cell>
          <cell r="AZ146">
            <v>4738000</v>
          </cell>
          <cell r="BA146">
            <v>27298000</v>
          </cell>
          <cell r="BB146">
            <v>0.17356582899846143</v>
          </cell>
          <cell r="BC146">
            <v>2305000</v>
          </cell>
          <cell r="BD146">
            <v>27298000</v>
          </cell>
          <cell r="BE146">
            <v>8.4438420397098687E-2</v>
          </cell>
          <cell r="BF146">
            <v>18797000</v>
          </cell>
          <cell r="BG146">
            <v>24709</v>
          </cell>
          <cell r="BH146">
            <v>760.73495487474202</v>
          </cell>
          <cell r="BI146">
            <v>6235000</v>
          </cell>
          <cell r="BJ146">
            <v>3111000</v>
          </cell>
          <cell r="BK146">
            <v>2.0041787206685955</v>
          </cell>
          <cell r="BL146">
            <v>53000</v>
          </cell>
          <cell r="BM146">
            <v>25961000</v>
          </cell>
          <cell r="BN146">
            <v>2.0415238241978354E-3</v>
          </cell>
          <cell r="BO146">
            <v>4909000</v>
          </cell>
          <cell r="BP146">
            <v>2682000</v>
          </cell>
          <cell r="BQ146">
            <v>1.8303504847129008</v>
          </cell>
          <cell r="BR146">
            <v>204</v>
          </cell>
          <cell r="BS146" t="str">
            <v>On Time</v>
          </cell>
          <cell r="BT146" t="str">
            <v>On Time</v>
          </cell>
          <cell r="BU146" t="str">
            <v>On Time</v>
          </cell>
          <cell r="BV146">
            <v>551000</v>
          </cell>
          <cell r="BW146">
            <v>24709</v>
          </cell>
          <cell r="BX146">
            <v>22.299566959407503</v>
          </cell>
          <cell r="BY146">
            <v>146683</v>
          </cell>
          <cell r="BZ146">
            <v>24709</v>
          </cell>
          <cell r="CA146">
            <v>5.9364199279614711</v>
          </cell>
          <cell r="CB146">
            <v>979000</v>
          </cell>
          <cell r="CC146">
            <v>7701</v>
          </cell>
          <cell r="CD146">
            <v>127.12634722763278</v>
          </cell>
          <cell r="CE146">
            <v>297488</v>
          </cell>
          <cell r="CF146">
            <v>7701</v>
          </cell>
          <cell r="CG146">
            <v>38.629788339176727</v>
          </cell>
          <cell r="CH146">
            <v>2391792</v>
          </cell>
          <cell r="CI146">
            <v>24709</v>
          </cell>
          <cell r="CJ146">
            <v>96.798413533530294</v>
          </cell>
          <cell r="CK146">
            <v>8521980</v>
          </cell>
          <cell r="CL146">
            <v>24709</v>
          </cell>
          <cell r="CM146">
            <v>344.89376340604639</v>
          </cell>
          <cell r="CN146">
            <v>567.24141026101302</v>
          </cell>
          <cell r="CO146">
            <v>547.84313725490199</v>
          </cell>
          <cell r="CP146">
            <v>421.68898809523802</v>
          </cell>
          <cell r="CQ146">
            <v>568.44290657439399</v>
          </cell>
          <cell r="CR146">
            <v>413</v>
          </cell>
          <cell r="CS146">
            <v>25044</v>
          </cell>
          <cell r="CT146">
            <v>413</v>
          </cell>
          <cell r="CU146">
            <v>60.639225181598064</v>
          </cell>
          <cell r="CV146">
            <v>44</v>
          </cell>
          <cell r="CW146">
            <v>4000</v>
          </cell>
          <cell r="CX146">
            <v>1223000</v>
          </cell>
          <cell r="CY146">
            <v>3.2706459525756338E-3</v>
          </cell>
          <cell r="CZ146">
            <v>362000</v>
          </cell>
          <cell r="DA146">
            <v>24709</v>
          </cell>
          <cell r="DB146">
            <v>14.650532194746853</v>
          </cell>
          <cell r="DC146">
            <v>2044000</v>
          </cell>
          <cell r="DD146">
            <v>24709</v>
          </cell>
          <cell r="DE146">
            <v>82.722894491885555</v>
          </cell>
          <cell r="DF146">
            <v>61000</v>
          </cell>
          <cell r="DG146">
            <v>24709</v>
          </cell>
          <cell r="DH146">
            <v>2.4687360880650777</v>
          </cell>
          <cell r="DI146">
            <v>1640.4</v>
          </cell>
          <cell r="DJ146">
            <v>15.062789563521092</v>
          </cell>
          <cell r="DK146">
            <v>1.8780213300533033E-2</v>
          </cell>
          <cell r="DL146">
            <v>3.6</v>
          </cell>
          <cell r="DM146">
            <v>12.99</v>
          </cell>
        </row>
        <row r="147">
          <cell r="B147" t="str">
            <v>Yass Shire Council</v>
          </cell>
          <cell r="C147">
            <v>11</v>
          </cell>
          <cell r="D147">
            <v>1407000</v>
          </cell>
          <cell r="E147">
            <v>3664</v>
          </cell>
          <cell r="F147">
            <v>384.00655021834064</v>
          </cell>
          <cell r="G147">
            <v>1642000</v>
          </cell>
          <cell r="H147">
            <v>1102</v>
          </cell>
          <cell r="I147">
            <v>1490.0181488203266</v>
          </cell>
          <cell r="J147">
            <v>349000</v>
          </cell>
          <cell r="K147">
            <v>241</v>
          </cell>
          <cell r="L147">
            <v>1448.1327800829877</v>
          </cell>
          <cell r="M147">
            <v>683000</v>
          </cell>
          <cell r="N147">
            <v>10512000</v>
          </cell>
          <cell r="O147">
            <v>6.4973363774733645E-2</v>
          </cell>
          <cell r="P147">
            <v>432000</v>
          </cell>
          <cell r="Q147">
            <v>5387000</v>
          </cell>
          <cell r="R147">
            <v>8.0193057360311862E-2</v>
          </cell>
          <cell r="S147">
            <v>2316000</v>
          </cell>
          <cell r="T147">
            <v>2377000</v>
          </cell>
          <cell r="U147">
            <v>0.97433740008413972</v>
          </cell>
          <cell r="V147">
            <v>5819000</v>
          </cell>
          <cell r="W147">
            <v>16125000</v>
          </cell>
          <cell r="X147">
            <v>0.36086821705426358</v>
          </cell>
          <cell r="Y147">
            <v>4693000</v>
          </cell>
          <cell r="Z147">
            <v>16125000</v>
          </cell>
          <cell r="AA147">
            <v>0.29103875968992249</v>
          </cell>
          <cell r="AB147">
            <v>475000</v>
          </cell>
          <cell r="AC147">
            <v>16125000</v>
          </cell>
          <cell r="AD147">
            <v>2.9457364341085271E-2</v>
          </cell>
          <cell r="AE147">
            <v>4111000</v>
          </cell>
          <cell r="AF147">
            <v>16125000</v>
          </cell>
          <cell r="AG147">
            <v>0.25494573643410851</v>
          </cell>
          <cell r="AH147">
            <v>558000</v>
          </cell>
          <cell r="AI147">
            <v>16125000</v>
          </cell>
          <cell r="AJ147">
            <v>3.4604651162790698E-2</v>
          </cell>
          <cell r="AK147">
            <v>469000</v>
          </cell>
          <cell r="AL147">
            <v>16125000</v>
          </cell>
          <cell r="AM147">
            <v>2.9085271317829457E-2</v>
          </cell>
          <cell r="AN147">
            <v>12503000</v>
          </cell>
          <cell r="AO147">
            <v>10507</v>
          </cell>
          <cell r="AP147">
            <v>1189.9685923669933</v>
          </cell>
          <cell r="AQ147">
            <v>4908000</v>
          </cell>
          <cell r="AR147">
            <v>14635000</v>
          </cell>
          <cell r="AS147">
            <v>0.33536043730782372</v>
          </cell>
          <cell r="AT147">
            <v>2617000</v>
          </cell>
          <cell r="AU147">
            <v>14635000</v>
          </cell>
          <cell r="AV147">
            <v>0.17881790228903313</v>
          </cell>
          <cell r="AW147">
            <v>568000</v>
          </cell>
          <cell r="AX147">
            <v>14635000</v>
          </cell>
          <cell r="AY147">
            <v>3.8811069354287665E-2</v>
          </cell>
          <cell r="AZ147">
            <v>3746000</v>
          </cell>
          <cell r="BA147">
            <v>14635000</v>
          </cell>
          <cell r="BB147">
            <v>0.25596173556542534</v>
          </cell>
          <cell r="BC147">
            <v>2796000</v>
          </cell>
          <cell r="BD147">
            <v>14635000</v>
          </cell>
          <cell r="BE147">
            <v>0.19104885548343015</v>
          </cell>
          <cell r="BF147">
            <v>13049000</v>
          </cell>
          <cell r="BG147">
            <v>10507</v>
          </cell>
          <cell r="BH147">
            <v>1241.9339487960408</v>
          </cell>
          <cell r="BI147">
            <v>4828000</v>
          </cell>
          <cell r="BJ147">
            <v>2752000</v>
          </cell>
          <cell r="BK147">
            <v>1.754360465116279</v>
          </cell>
          <cell r="BL147">
            <v>1234000</v>
          </cell>
          <cell r="BM147">
            <v>13441000</v>
          </cell>
          <cell r="BN147">
            <v>9.1808645190090021E-2</v>
          </cell>
          <cell r="BO147">
            <v>173810000</v>
          </cell>
          <cell r="BP147">
            <v>3179000</v>
          </cell>
          <cell r="BQ147">
            <v>54.67442592010066</v>
          </cell>
          <cell r="BR147">
            <v>104</v>
          </cell>
          <cell r="BS147" t="str">
            <v>On Time</v>
          </cell>
          <cell r="BT147" t="str">
            <v>On Time</v>
          </cell>
          <cell r="BU147" t="str">
            <v>On Time</v>
          </cell>
          <cell r="BV147">
            <v>210000</v>
          </cell>
          <cell r="BW147">
            <v>10507</v>
          </cell>
          <cell r="BX147">
            <v>19.986675549633578</v>
          </cell>
          <cell r="BY147">
            <v>45000</v>
          </cell>
          <cell r="BZ147">
            <v>10507</v>
          </cell>
          <cell r="CA147">
            <v>4.282859046350052</v>
          </cell>
          <cell r="CB147">
            <v>646000</v>
          </cell>
          <cell r="CC147">
            <v>2841</v>
          </cell>
          <cell r="CD147">
            <v>227.38472368884194</v>
          </cell>
          <cell r="CE147">
            <v>621073</v>
          </cell>
          <cell r="CF147">
            <v>2841</v>
          </cell>
          <cell r="CG147">
            <v>218.61070045758535</v>
          </cell>
          <cell r="CH147">
            <v>4493000</v>
          </cell>
          <cell r="CI147">
            <v>10507</v>
          </cell>
          <cell r="CJ147">
            <v>427.61968211668409</v>
          </cell>
          <cell r="CK147">
            <v>2921000</v>
          </cell>
          <cell r="CL147">
            <v>10507</v>
          </cell>
          <cell r="CM147">
            <v>278.00513943085559</v>
          </cell>
          <cell r="CN147">
            <v>388.540031397174</v>
          </cell>
          <cell r="CO147">
            <v>425.77905643976402</v>
          </cell>
          <cell r="CP147">
            <v>387.597161584368</v>
          </cell>
          <cell r="CQ147">
            <v>347.49312199729002</v>
          </cell>
          <cell r="CR147">
            <v>546</v>
          </cell>
          <cell r="CS147">
            <v>33783</v>
          </cell>
          <cell r="CT147">
            <v>546</v>
          </cell>
          <cell r="CU147">
            <v>61.873626373626372</v>
          </cell>
          <cell r="CV147">
            <v>50</v>
          </cell>
          <cell r="CW147">
            <v>20000</v>
          </cell>
          <cell r="CX147">
            <v>577000</v>
          </cell>
          <cell r="CY147">
            <v>3.4662045060658578E-2</v>
          </cell>
          <cell r="CZ147">
            <v>197000</v>
          </cell>
          <cell r="DA147">
            <v>10507</v>
          </cell>
          <cell r="DB147">
            <v>18.749405158465784</v>
          </cell>
          <cell r="DC147">
            <v>362000</v>
          </cell>
          <cell r="DD147">
            <v>10507</v>
          </cell>
          <cell r="DE147">
            <v>34.453221661749311</v>
          </cell>
          <cell r="DF147">
            <v>435000</v>
          </cell>
          <cell r="DG147">
            <v>10507</v>
          </cell>
          <cell r="DH147">
            <v>41.40097078138384</v>
          </cell>
          <cell r="DI147">
            <v>3298.2</v>
          </cell>
          <cell r="DJ147">
            <v>3.1856770359590083</v>
          </cell>
          <cell r="DK147">
            <v>1.9946709239299532E-2</v>
          </cell>
          <cell r="DL147">
            <v>1.94</v>
          </cell>
          <cell r="DM147">
            <v>3.38</v>
          </cell>
        </row>
        <row r="148">
          <cell r="B148" t="str">
            <v>South Sydney City Council</v>
          </cell>
          <cell r="C148">
            <v>3</v>
          </cell>
          <cell r="D148">
            <v>16242000</v>
          </cell>
          <cell r="E148">
            <v>45510</v>
          </cell>
          <cell r="F148">
            <v>356.88859591298615</v>
          </cell>
          <cell r="G148">
            <v>0</v>
          </cell>
          <cell r="H148">
            <v>0</v>
          </cell>
          <cell r="I148" t="str">
            <v>N/A</v>
          </cell>
          <cell r="J148">
            <v>32429000</v>
          </cell>
          <cell r="K148">
            <v>6002</v>
          </cell>
          <cell r="L148">
            <v>5403.0323225591474</v>
          </cell>
          <cell r="M148">
            <v>1957000</v>
          </cell>
          <cell r="N148">
            <v>74326000</v>
          </cell>
          <cell r="O148">
            <v>2.63299518338132E-2</v>
          </cell>
          <cell r="P148">
            <v>1239000</v>
          </cell>
          <cell r="Q148">
            <v>57516000</v>
          </cell>
          <cell r="R148">
            <v>2.1541831838097224E-2</v>
          </cell>
          <cell r="S148">
            <v>935000</v>
          </cell>
          <cell r="T148">
            <v>14636000</v>
          </cell>
          <cell r="U148">
            <v>6.388357474719869E-2</v>
          </cell>
          <cell r="V148">
            <v>58755000</v>
          </cell>
          <cell r="W148">
            <v>115796000</v>
          </cell>
          <cell r="X148">
            <v>0.50740094649210676</v>
          </cell>
          <cell r="Y148">
            <v>15571000</v>
          </cell>
          <cell r="Z148">
            <v>115796000</v>
          </cell>
          <cell r="AA148">
            <v>0.13446923900652871</v>
          </cell>
          <cell r="AB148">
            <v>4133000</v>
          </cell>
          <cell r="AC148">
            <v>115796000</v>
          </cell>
          <cell r="AD148">
            <v>3.5692079173719297E-2</v>
          </cell>
          <cell r="AE148">
            <v>7162000</v>
          </cell>
          <cell r="AF148">
            <v>115796000</v>
          </cell>
          <cell r="AG148">
            <v>6.185015026425783E-2</v>
          </cell>
          <cell r="AH148">
            <v>15318000</v>
          </cell>
          <cell r="AI148">
            <v>115796000</v>
          </cell>
          <cell r="AJ148">
            <v>0.13228436215413314</v>
          </cell>
          <cell r="AK148">
            <v>14857000</v>
          </cell>
          <cell r="AL148">
            <v>115796000</v>
          </cell>
          <cell r="AM148">
            <v>0.12830322290925419</v>
          </cell>
          <cell r="AN148">
            <v>98998000</v>
          </cell>
          <cell r="AO148">
            <v>89958</v>
          </cell>
          <cell r="AP148">
            <v>1100.4913404032993</v>
          </cell>
          <cell r="AQ148">
            <v>48846000</v>
          </cell>
          <cell r="AR148">
            <v>105652000</v>
          </cell>
          <cell r="AS148">
            <v>0.46232915609737629</v>
          </cell>
          <cell r="AT148">
            <v>20950000</v>
          </cell>
          <cell r="AU148">
            <v>105652000</v>
          </cell>
          <cell r="AV148">
            <v>0.19829250747737856</v>
          </cell>
          <cell r="AW148">
            <v>0</v>
          </cell>
          <cell r="AX148">
            <v>105652000</v>
          </cell>
          <cell r="AY148">
            <v>0</v>
          </cell>
          <cell r="AZ148">
            <v>17319000</v>
          </cell>
          <cell r="BA148">
            <v>105652000</v>
          </cell>
          <cell r="BB148">
            <v>0.16392496119335176</v>
          </cell>
          <cell r="BC148">
            <v>18537000</v>
          </cell>
          <cell r="BD148">
            <v>105652000</v>
          </cell>
          <cell r="BE148">
            <v>0.17545337523189339</v>
          </cell>
          <cell r="BF148">
            <v>106383000</v>
          </cell>
          <cell r="BG148">
            <v>89958</v>
          </cell>
          <cell r="BH148">
            <v>1182.5852064296671</v>
          </cell>
          <cell r="BI148">
            <v>35061000</v>
          </cell>
          <cell r="BJ148">
            <v>27985000</v>
          </cell>
          <cell r="BK148">
            <v>1.2528497409326425</v>
          </cell>
          <cell r="BL148">
            <v>0</v>
          </cell>
          <cell r="BM148">
            <v>96157000</v>
          </cell>
          <cell r="BN148">
            <v>0</v>
          </cell>
          <cell r="BO148">
            <v>-163287000</v>
          </cell>
          <cell r="BP148">
            <v>17319000</v>
          </cell>
          <cell r="BQ148">
            <v>-9.4282002425082272</v>
          </cell>
          <cell r="BR148">
            <v>630</v>
          </cell>
          <cell r="BS148" t="str">
            <v>&lt;=2</v>
          </cell>
          <cell r="BT148" t="str">
            <v>On Time</v>
          </cell>
          <cell r="BU148" t="str">
            <v>&lt;=2</v>
          </cell>
          <cell r="BV148">
            <v>2019000</v>
          </cell>
          <cell r="BW148">
            <v>89958</v>
          </cell>
          <cell r="BX148">
            <v>22.443807109984661</v>
          </cell>
          <cell r="BY148">
            <v>369133</v>
          </cell>
          <cell r="BZ148">
            <v>89958</v>
          </cell>
          <cell r="CA148">
            <v>4.1033926943684831</v>
          </cell>
          <cell r="CB148">
            <v>10006000</v>
          </cell>
          <cell r="CC148">
            <v>24522</v>
          </cell>
          <cell r="CD148">
            <v>408.04175842100972</v>
          </cell>
          <cell r="CE148">
            <v>10563000</v>
          </cell>
          <cell r="CF148">
            <v>49044</v>
          </cell>
          <cell r="CG148">
            <v>215.37802789332028</v>
          </cell>
          <cell r="CH148">
            <v>8159000</v>
          </cell>
          <cell r="CI148">
            <v>89958</v>
          </cell>
          <cell r="CJ148">
            <v>90.6978812334645</v>
          </cell>
          <cell r="CK148">
            <v>24472000</v>
          </cell>
          <cell r="CL148">
            <v>89958</v>
          </cell>
          <cell r="CM148">
            <v>272.03806220680764</v>
          </cell>
          <cell r="CN148" t="str">
            <v>N/A</v>
          </cell>
          <cell r="CO148" t="str">
            <v>N/A</v>
          </cell>
          <cell r="CP148" t="str">
            <v>N/A</v>
          </cell>
          <cell r="CQ148" t="str">
            <v>N/A</v>
          </cell>
          <cell r="CR148">
            <v>1581</v>
          </cell>
          <cell r="CS148">
            <v>98022</v>
          </cell>
          <cell r="CT148">
            <v>1581</v>
          </cell>
          <cell r="CU148">
            <v>62</v>
          </cell>
          <cell r="CV148">
            <v>65</v>
          </cell>
          <cell r="CW148">
            <v>451000</v>
          </cell>
          <cell r="CX148">
            <v>8524000</v>
          </cell>
          <cell r="CY148">
            <v>5.290943219145941E-2</v>
          </cell>
          <cell r="CZ148">
            <v>2182000</v>
          </cell>
          <cell r="DA148">
            <v>89958</v>
          </cell>
          <cell r="DB148">
            <v>24.255763800884857</v>
          </cell>
          <cell r="DC148">
            <v>6572000</v>
          </cell>
          <cell r="DD148">
            <v>89958</v>
          </cell>
          <cell r="DE148">
            <v>73.056315169301229</v>
          </cell>
          <cell r="DF148">
            <v>8436000</v>
          </cell>
          <cell r="DG148">
            <v>89958</v>
          </cell>
          <cell r="DH148">
            <v>93.777095978123128</v>
          </cell>
          <cell r="DI148">
            <v>17.8</v>
          </cell>
          <cell r="DJ148">
            <v>5053.8202247191011</v>
          </cell>
          <cell r="DK148">
            <v>1.9224936456099906E-2</v>
          </cell>
          <cell r="DL148">
            <v>2.23</v>
          </cell>
          <cell r="DM148">
            <v>23.36</v>
          </cell>
        </row>
        <row r="149">
          <cell r="B149" t="str">
            <v>Bankstown City Council</v>
          </cell>
          <cell r="C149">
            <v>3</v>
          </cell>
          <cell r="D149">
            <v>36344000</v>
          </cell>
          <cell r="E149">
            <v>54574</v>
          </cell>
          <cell r="F149">
            <v>665.95814856891559</v>
          </cell>
          <cell r="G149">
            <v>2000</v>
          </cell>
          <cell r="H149">
            <v>3</v>
          </cell>
          <cell r="I149">
            <v>666.66666666666663</v>
          </cell>
          <cell r="J149">
            <v>18220000</v>
          </cell>
          <cell r="K149">
            <v>4164</v>
          </cell>
          <cell r="L149">
            <v>4375.6003842459177</v>
          </cell>
          <cell r="M149">
            <v>5692000</v>
          </cell>
          <cell r="N149">
            <v>73301000</v>
          </cell>
          <cell r="O149">
            <v>7.765241947585981E-2</v>
          </cell>
          <cell r="P149">
            <v>3660000</v>
          </cell>
          <cell r="Q149">
            <v>64046000</v>
          </cell>
          <cell r="R149">
            <v>5.7146426006307968E-2</v>
          </cell>
          <cell r="S149">
            <v>-14000</v>
          </cell>
          <cell r="T149">
            <v>5609000</v>
          </cell>
          <cell r="U149">
            <v>-2.4959885897664468E-3</v>
          </cell>
          <cell r="V149">
            <v>67706000</v>
          </cell>
          <cell r="W149">
            <v>101011000</v>
          </cell>
          <cell r="X149">
            <v>0.6702834344774331</v>
          </cell>
          <cell r="Y149">
            <v>5595000</v>
          </cell>
          <cell r="Z149">
            <v>101011000</v>
          </cell>
          <cell r="AA149">
            <v>5.5390007028937441E-2</v>
          </cell>
          <cell r="AB149">
            <v>2919000</v>
          </cell>
          <cell r="AC149">
            <v>101011000</v>
          </cell>
          <cell r="AD149">
            <v>2.8897842809198999E-2</v>
          </cell>
          <cell r="AE149">
            <v>10107000</v>
          </cell>
          <cell r="AF149">
            <v>101011000</v>
          </cell>
          <cell r="AG149">
            <v>0.10005840948015562</v>
          </cell>
          <cell r="AH149">
            <v>3649000</v>
          </cell>
          <cell r="AI149">
            <v>101011000</v>
          </cell>
          <cell r="AJ149">
            <v>3.6124778489471446E-2</v>
          </cell>
          <cell r="AK149">
            <v>11035000</v>
          </cell>
          <cell r="AL149">
            <v>101011000</v>
          </cell>
          <cell r="AM149">
            <v>0.10924552771480334</v>
          </cell>
          <cell r="AN149">
            <v>102222000</v>
          </cell>
          <cell r="AO149">
            <v>173207</v>
          </cell>
          <cell r="AP149">
            <v>590.17245261450171</v>
          </cell>
          <cell r="AQ149">
            <v>37860000</v>
          </cell>
          <cell r="AR149">
            <v>90834000</v>
          </cell>
          <cell r="AS149">
            <v>0.41680428033555716</v>
          </cell>
          <cell r="AT149">
            <v>16435000</v>
          </cell>
          <cell r="AU149">
            <v>90834000</v>
          </cell>
          <cell r="AV149">
            <v>0.18093445185723409</v>
          </cell>
          <cell r="AW149">
            <v>1679000</v>
          </cell>
          <cell r="AX149">
            <v>90834000</v>
          </cell>
          <cell r="AY149">
            <v>1.8484268005372437E-2</v>
          </cell>
          <cell r="AZ149">
            <v>16702000</v>
          </cell>
          <cell r="BA149">
            <v>90834000</v>
          </cell>
          <cell r="BB149">
            <v>0.18387387982473524</v>
          </cell>
          <cell r="BC149">
            <v>18158000</v>
          </cell>
          <cell r="BD149">
            <v>90834000</v>
          </cell>
          <cell r="BE149">
            <v>0.19990311997710108</v>
          </cell>
          <cell r="BF149">
            <v>90834000</v>
          </cell>
          <cell r="BG149">
            <v>173207</v>
          </cell>
          <cell r="BH149">
            <v>524.42453249579978</v>
          </cell>
          <cell r="BI149">
            <v>53659000</v>
          </cell>
          <cell r="BJ149">
            <v>20111000</v>
          </cell>
          <cell r="BK149">
            <v>2.6681418129381931</v>
          </cell>
          <cell r="BL149">
            <v>6620000</v>
          </cell>
          <cell r="BM149">
            <v>99878000</v>
          </cell>
          <cell r="BN149">
            <v>6.6280862652435976E-2</v>
          </cell>
          <cell r="BO149">
            <v>14135000</v>
          </cell>
          <cell r="BP149">
            <v>16702000</v>
          </cell>
          <cell r="BQ149">
            <v>0.84630583163692974</v>
          </cell>
          <cell r="BR149">
            <v>696</v>
          </cell>
          <cell r="BS149" t="str">
            <v>&lt;=2</v>
          </cell>
          <cell r="BT149" t="str">
            <v>&lt;=2</v>
          </cell>
          <cell r="BU149" t="str">
            <v>On Time</v>
          </cell>
          <cell r="BV149">
            <v>4113000</v>
          </cell>
          <cell r="BW149">
            <v>173207</v>
          </cell>
          <cell r="BX149">
            <v>23.746153446454244</v>
          </cell>
          <cell r="BY149">
            <v>1112824</v>
          </cell>
          <cell r="BZ149">
            <v>173207</v>
          </cell>
          <cell r="CA149">
            <v>6.4248211677357148</v>
          </cell>
          <cell r="CB149">
            <v>12722000</v>
          </cell>
          <cell r="CC149">
            <v>58283</v>
          </cell>
          <cell r="CD149">
            <v>218.27977283255836</v>
          </cell>
          <cell r="CE149">
            <v>7370000</v>
          </cell>
          <cell r="CF149">
            <v>58283</v>
          </cell>
          <cell r="CG149">
            <v>126.45196712592008</v>
          </cell>
          <cell r="CH149">
            <v>30581000</v>
          </cell>
          <cell r="CI149">
            <v>173207</v>
          </cell>
          <cell r="CJ149">
            <v>176.55752943010387</v>
          </cell>
          <cell r="CK149">
            <v>40072000</v>
          </cell>
          <cell r="CL149">
            <v>173207</v>
          </cell>
          <cell r="CM149">
            <v>231.35323630107328</v>
          </cell>
          <cell r="CN149" t="str">
            <v>N/A</v>
          </cell>
          <cell r="CO149" t="str">
            <v>N/A</v>
          </cell>
          <cell r="CP149" t="str">
            <v>N/A</v>
          </cell>
          <cell r="CQ149" t="str">
            <v>N/A</v>
          </cell>
          <cell r="CR149">
            <v>2095</v>
          </cell>
          <cell r="CS149">
            <v>133158</v>
          </cell>
          <cell r="CT149">
            <v>2095</v>
          </cell>
          <cell r="CU149">
            <v>63.559904534606204</v>
          </cell>
          <cell r="CV149">
            <v>31</v>
          </cell>
          <cell r="CW149">
            <v>87000</v>
          </cell>
          <cell r="CX149">
            <v>3355000</v>
          </cell>
          <cell r="CY149">
            <v>2.5931445603576752E-2</v>
          </cell>
          <cell r="CZ149">
            <v>1696000</v>
          </cell>
          <cell r="DA149">
            <v>173207</v>
          </cell>
          <cell r="DB149">
            <v>9.7917520654477013</v>
          </cell>
          <cell r="DC149">
            <v>6132000</v>
          </cell>
          <cell r="DD149">
            <v>173207</v>
          </cell>
          <cell r="DE149">
            <v>35.402726217762563</v>
          </cell>
          <cell r="DF149">
            <v>2064000</v>
          </cell>
          <cell r="DG149">
            <v>173207</v>
          </cell>
          <cell r="DH149">
            <v>11.916377513610882</v>
          </cell>
          <cell r="DI149">
            <v>76.8</v>
          </cell>
          <cell r="DJ149">
            <v>2255.299479166667</v>
          </cell>
          <cell r="DK149">
            <v>8.9229992227204402E-3</v>
          </cell>
          <cell r="DL149">
            <v>0.74</v>
          </cell>
          <cell r="DM149">
            <v>30.63</v>
          </cell>
        </row>
        <row r="150">
          <cell r="B150" t="str">
            <v>North Sydney Council</v>
          </cell>
          <cell r="C150">
            <v>2</v>
          </cell>
          <cell r="D150">
            <v>10833000</v>
          </cell>
          <cell r="E150">
            <v>30420</v>
          </cell>
          <cell r="F150">
            <v>356.11439842209074</v>
          </cell>
          <cell r="G150">
            <v>0</v>
          </cell>
          <cell r="H150">
            <v>0</v>
          </cell>
          <cell r="I150" t="str">
            <v>N/A</v>
          </cell>
          <cell r="J150">
            <v>7566000</v>
          </cell>
          <cell r="K150">
            <v>3181</v>
          </cell>
          <cell r="L150">
            <v>2378.4973278843131</v>
          </cell>
          <cell r="M150">
            <v>934000</v>
          </cell>
          <cell r="N150">
            <v>43067000</v>
          </cell>
          <cell r="O150">
            <v>2.1687138644437737E-2</v>
          </cell>
          <cell r="P150">
            <v>1143000</v>
          </cell>
          <cell r="Q150">
            <v>23708000</v>
          </cell>
          <cell r="R150">
            <v>4.8211574152184918E-2</v>
          </cell>
          <cell r="S150">
            <v>1401000</v>
          </cell>
          <cell r="T150">
            <v>16815000</v>
          </cell>
          <cell r="U150">
            <v>8.3318465655664586E-2</v>
          </cell>
          <cell r="V150">
            <v>24851000</v>
          </cell>
          <cell r="W150">
            <v>63550000</v>
          </cell>
          <cell r="X150">
            <v>0.39104642014162078</v>
          </cell>
          <cell r="Y150">
            <v>18216000</v>
          </cell>
          <cell r="Z150">
            <v>63550000</v>
          </cell>
          <cell r="AA150">
            <v>0.28664044059795435</v>
          </cell>
          <cell r="AB150">
            <v>2277000</v>
          </cell>
          <cell r="AC150">
            <v>63550000</v>
          </cell>
          <cell r="AD150">
            <v>3.5830055074744294E-2</v>
          </cell>
          <cell r="AE150">
            <v>3103000</v>
          </cell>
          <cell r="AF150">
            <v>63550000</v>
          </cell>
          <cell r="AG150">
            <v>4.8827694728560189E-2</v>
          </cell>
          <cell r="AH150">
            <v>10964000</v>
          </cell>
          <cell r="AI150">
            <v>63550000</v>
          </cell>
          <cell r="AJ150">
            <v>0.17252557041699448</v>
          </cell>
          <cell r="AK150">
            <v>4139000</v>
          </cell>
          <cell r="AL150">
            <v>63550000</v>
          </cell>
          <cell r="AM150">
            <v>6.512981904012588E-2</v>
          </cell>
          <cell r="AN150">
            <v>52362000</v>
          </cell>
          <cell r="AO150">
            <v>59226</v>
          </cell>
          <cell r="AP150">
            <v>884.10495390537938</v>
          </cell>
          <cell r="AQ150">
            <v>19987000</v>
          </cell>
          <cell r="AR150">
            <v>51432000</v>
          </cell>
          <cell r="AS150">
            <v>0.38861020376419347</v>
          </cell>
          <cell r="AT150">
            <v>16722000</v>
          </cell>
          <cell r="AU150">
            <v>51432000</v>
          </cell>
          <cell r="AV150">
            <v>0.32512832477834813</v>
          </cell>
          <cell r="AW150">
            <v>0</v>
          </cell>
          <cell r="AX150">
            <v>51432000</v>
          </cell>
          <cell r="AY150">
            <v>0</v>
          </cell>
          <cell r="AZ150">
            <v>9453000</v>
          </cell>
          <cell r="BA150">
            <v>51432000</v>
          </cell>
          <cell r="BB150">
            <v>0.18379608026131591</v>
          </cell>
          <cell r="BC150">
            <v>5270000</v>
          </cell>
          <cell r="BD150">
            <v>51432000</v>
          </cell>
          <cell r="BE150">
            <v>0.10246539119614248</v>
          </cell>
          <cell r="BF150">
            <v>51504000</v>
          </cell>
          <cell r="BG150">
            <v>59226</v>
          </cell>
          <cell r="BH150">
            <v>869.61807314355178</v>
          </cell>
          <cell r="BI150">
            <v>27793000</v>
          </cell>
          <cell r="BJ150">
            <v>8905000</v>
          </cell>
          <cell r="BK150">
            <v>3.1210555867490175</v>
          </cell>
          <cell r="BL150">
            <v>80000</v>
          </cell>
          <cell r="BM150">
            <v>50973000</v>
          </cell>
          <cell r="BN150">
            <v>1.5694583406901694E-3</v>
          </cell>
          <cell r="BO150">
            <v>4243000</v>
          </cell>
          <cell r="BP150">
            <v>9453000</v>
          </cell>
          <cell r="BQ150">
            <v>0.44885221622765259</v>
          </cell>
          <cell r="BR150">
            <v>285</v>
          </cell>
          <cell r="BS150" t="str">
            <v>On Time</v>
          </cell>
          <cell r="BT150" t="str">
            <v>&lt;=2</v>
          </cell>
          <cell r="BU150" t="str">
            <v>On Time</v>
          </cell>
          <cell r="BV150">
            <v>2164000</v>
          </cell>
          <cell r="BW150">
            <v>59226</v>
          </cell>
          <cell r="BX150">
            <v>36.538006956404281</v>
          </cell>
          <cell r="BY150">
            <v>611364</v>
          </cell>
          <cell r="BZ150">
            <v>59226</v>
          </cell>
          <cell r="CA150">
            <v>10.322561037382231</v>
          </cell>
          <cell r="CB150">
            <v>5863000</v>
          </cell>
          <cell r="CC150">
            <v>32327</v>
          </cell>
          <cell r="CD150">
            <v>181.36542209298727</v>
          </cell>
          <cell r="CE150">
            <v>3861843</v>
          </cell>
          <cell r="CF150">
            <v>32327</v>
          </cell>
          <cell r="CG150">
            <v>119.46184304142048</v>
          </cell>
          <cell r="CH150">
            <v>9402000</v>
          </cell>
          <cell r="CI150">
            <v>59226</v>
          </cell>
          <cell r="CJ150">
            <v>158.74784722925742</v>
          </cell>
          <cell r="CK150">
            <v>11218000</v>
          </cell>
          <cell r="CL150">
            <v>59226</v>
          </cell>
          <cell r="CM150">
            <v>189.41005639415121</v>
          </cell>
          <cell r="CN150" t="str">
            <v>N/A</v>
          </cell>
          <cell r="CO150" t="str">
            <v>N/A</v>
          </cell>
          <cell r="CP150" t="str">
            <v>N/A</v>
          </cell>
          <cell r="CQ150" t="str">
            <v>N/A</v>
          </cell>
          <cell r="CR150">
            <v>1061</v>
          </cell>
          <cell r="CS150">
            <v>67564</v>
          </cell>
          <cell r="CT150">
            <v>1061</v>
          </cell>
          <cell r="CU150">
            <v>63.679547596606973</v>
          </cell>
          <cell r="CV150">
            <v>74</v>
          </cell>
          <cell r="CW150">
            <v>1135000</v>
          </cell>
          <cell r="CX150">
            <v>2752000</v>
          </cell>
          <cell r="CY150">
            <v>0.41242732558139533</v>
          </cell>
          <cell r="CZ150">
            <v>1715000</v>
          </cell>
          <cell r="DA150">
            <v>59226</v>
          </cell>
          <cell r="DB150">
            <v>28.956877047242767</v>
          </cell>
          <cell r="DC150">
            <v>4692000</v>
          </cell>
          <cell r="DD150">
            <v>59226</v>
          </cell>
          <cell r="DE150">
            <v>79.221963326917233</v>
          </cell>
          <cell r="DF150">
            <v>1975000</v>
          </cell>
          <cell r="DG150">
            <v>59226</v>
          </cell>
          <cell r="DH150">
            <v>33.346840914463243</v>
          </cell>
          <cell r="DI150">
            <v>10.5</v>
          </cell>
          <cell r="DJ150">
            <v>5640.5714285714284</v>
          </cell>
          <cell r="DK150">
            <v>8.4319043722824727E-3</v>
          </cell>
          <cell r="DL150">
            <v>0.19</v>
          </cell>
          <cell r="DM150">
            <v>16.809999999999999</v>
          </cell>
        </row>
        <row r="151">
          <cell r="B151" t="str">
            <v>Strathfield Municipal Council</v>
          </cell>
          <cell r="C151">
            <v>2</v>
          </cell>
          <cell r="D151">
            <v>6085000</v>
          </cell>
          <cell r="E151">
            <v>9856</v>
          </cell>
          <cell r="F151">
            <v>617.39042207792204</v>
          </cell>
          <cell r="G151">
            <v>0</v>
          </cell>
          <cell r="H151">
            <v>0</v>
          </cell>
          <cell r="I151" t="str">
            <v>N/A</v>
          </cell>
          <cell r="J151">
            <v>3428000</v>
          </cell>
          <cell r="K151">
            <v>893</v>
          </cell>
          <cell r="L151">
            <v>3838.7458006718925</v>
          </cell>
          <cell r="M151">
            <v>401000</v>
          </cell>
          <cell r="N151">
            <v>14898000</v>
          </cell>
          <cell r="O151">
            <v>2.6916364612699691E-2</v>
          </cell>
          <cell r="P151">
            <v>934000</v>
          </cell>
          <cell r="Q151">
            <v>10797000</v>
          </cell>
          <cell r="R151">
            <v>8.6505510790034268E-2</v>
          </cell>
          <cell r="S151">
            <v>485000</v>
          </cell>
          <cell r="T151">
            <v>2682000</v>
          </cell>
          <cell r="U151">
            <v>0.1808351976137211</v>
          </cell>
          <cell r="V151">
            <v>11731000</v>
          </cell>
          <cell r="W151">
            <v>22774000</v>
          </cell>
          <cell r="X151">
            <v>0.51510494423465358</v>
          </cell>
          <cell r="Y151">
            <v>3167000</v>
          </cell>
          <cell r="Z151">
            <v>22774000</v>
          </cell>
          <cell r="AA151">
            <v>0.13906208834635989</v>
          </cell>
          <cell r="AB151">
            <v>1166000</v>
          </cell>
          <cell r="AC151">
            <v>22774000</v>
          </cell>
          <cell r="AD151">
            <v>5.1198735400017563E-2</v>
          </cell>
          <cell r="AE151">
            <v>2524000</v>
          </cell>
          <cell r="AF151">
            <v>22774000</v>
          </cell>
          <cell r="AG151">
            <v>0.11082813734960921</v>
          </cell>
          <cell r="AH151">
            <v>3300000</v>
          </cell>
          <cell r="AI151">
            <v>22774000</v>
          </cell>
          <cell r="AJ151">
            <v>0.14490208132080443</v>
          </cell>
          <cell r="AK151">
            <v>886000</v>
          </cell>
          <cell r="AL151">
            <v>22774000</v>
          </cell>
          <cell r="AM151">
            <v>3.8904013348555373E-2</v>
          </cell>
          <cell r="AN151">
            <v>19085000</v>
          </cell>
          <cell r="AO151">
            <v>29452</v>
          </cell>
          <cell r="AP151">
            <v>648.00353116936037</v>
          </cell>
          <cell r="AQ151">
            <v>7348000</v>
          </cell>
          <cell r="AR151">
            <v>17343000</v>
          </cell>
          <cell r="AS151">
            <v>0.42368679005938997</v>
          </cell>
          <cell r="AT151">
            <v>3365000</v>
          </cell>
          <cell r="AU151">
            <v>17343000</v>
          </cell>
          <cell r="AV151">
            <v>0.19402640834918988</v>
          </cell>
          <cell r="AW151">
            <v>313000</v>
          </cell>
          <cell r="AX151">
            <v>17343000</v>
          </cell>
          <cell r="AY151">
            <v>1.8047627284783485E-2</v>
          </cell>
          <cell r="AZ151">
            <v>2736000</v>
          </cell>
          <cell r="BA151">
            <v>17343000</v>
          </cell>
          <cell r="BB151">
            <v>0.15775817332641412</v>
          </cell>
          <cell r="BC151">
            <v>3581000</v>
          </cell>
          <cell r="BD151">
            <v>17343000</v>
          </cell>
          <cell r="BE151">
            <v>0.20648100098022257</v>
          </cell>
          <cell r="BF151">
            <v>17343000</v>
          </cell>
          <cell r="BG151">
            <v>29452</v>
          </cell>
          <cell r="BH151">
            <v>588.85644438408258</v>
          </cell>
          <cell r="BI151">
            <v>13121000</v>
          </cell>
          <cell r="BJ151">
            <v>5882000</v>
          </cell>
          <cell r="BK151">
            <v>2.2307038422305339</v>
          </cell>
          <cell r="BL151">
            <v>1032000</v>
          </cell>
          <cell r="BM151">
            <v>17866000</v>
          </cell>
          <cell r="BN151">
            <v>5.7763349378708161E-2</v>
          </cell>
          <cell r="BO151">
            <v>3692000</v>
          </cell>
          <cell r="BP151">
            <v>2736000</v>
          </cell>
          <cell r="BQ151">
            <v>1.3494152046783625</v>
          </cell>
          <cell r="BR151">
            <v>132.5</v>
          </cell>
          <cell r="BS151" t="str">
            <v>&lt;=2</v>
          </cell>
          <cell r="BT151" t="str">
            <v>&lt;=2</v>
          </cell>
          <cell r="BU151" t="str">
            <v>On Time</v>
          </cell>
          <cell r="BV151">
            <v>950000</v>
          </cell>
          <cell r="BW151">
            <v>29452</v>
          </cell>
          <cell r="BX151">
            <v>32.255873964416679</v>
          </cell>
          <cell r="BY151">
            <v>181713</v>
          </cell>
          <cell r="BZ151">
            <v>29452</v>
          </cell>
          <cell r="CA151">
            <v>6.169801711258998</v>
          </cell>
          <cell r="CB151">
            <v>2218000</v>
          </cell>
          <cell r="CC151">
            <v>10061</v>
          </cell>
          <cell r="CD151">
            <v>220.455223138853</v>
          </cell>
          <cell r="CE151">
            <v>1331867</v>
          </cell>
          <cell r="CF151">
            <v>10831</v>
          </cell>
          <cell r="CG151">
            <v>122.96805465792632</v>
          </cell>
          <cell r="CH151">
            <v>2425610</v>
          </cell>
          <cell r="CI151">
            <v>29452</v>
          </cell>
          <cell r="CJ151">
            <v>82.358074154556562</v>
          </cell>
          <cell r="CK151">
            <v>9313680</v>
          </cell>
          <cell r="CL151">
            <v>29452</v>
          </cell>
          <cell r="CM151">
            <v>316.23251392095614</v>
          </cell>
          <cell r="CN151" t="str">
            <v>N/A</v>
          </cell>
          <cell r="CO151" t="str">
            <v>N/A</v>
          </cell>
          <cell r="CP151" t="str">
            <v>N/A</v>
          </cell>
          <cell r="CQ151" t="str">
            <v>N/A</v>
          </cell>
          <cell r="CR151">
            <v>391</v>
          </cell>
          <cell r="CS151">
            <v>25378</v>
          </cell>
          <cell r="CT151">
            <v>391</v>
          </cell>
          <cell r="CU151">
            <v>64.905370843989772</v>
          </cell>
          <cell r="CV151">
            <v>55</v>
          </cell>
          <cell r="CW151">
            <v>88000</v>
          </cell>
          <cell r="CX151">
            <v>1769000</v>
          </cell>
          <cell r="CY151">
            <v>4.9745618993781798E-2</v>
          </cell>
          <cell r="CZ151">
            <v>324000</v>
          </cell>
          <cell r="DA151">
            <v>29452</v>
          </cell>
          <cell r="DB151">
            <v>11.000950699443163</v>
          </cell>
          <cell r="DC151">
            <v>878000</v>
          </cell>
          <cell r="DD151">
            <v>29452</v>
          </cell>
          <cell r="DE151">
            <v>29.81121825342931</v>
          </cell>
          <cell r="DF151">
            <v>392000</v>
          </cell>
          <cell r="DG151">
            <v>29452</v>
          </cell>
          <cell r="DH151">
            <v>13.309792204264566</v>
          </cell>
          <cell r="DI151">
            <v>13.9</v>
          </cell>
          <cell r="DJ151">
            <v>2118.8489208633091</v>
          </cell>
          <cell r="DK151">
            <v>1.2817191855171606E-2</v>
          </cell>
          <cell r="DL151">
            <v>0.36</v>
          </cell>
          <cell r="DM151">
            <v>43.73</v>
          </cell>
        </row>
        <row r="152">
          <cell r="B152" t="str">
            <v>Botany Bay, The Council of the City of</v>
          </cell>
          <cell r="C152">
            <v>2</v>
          </cell>
          <cell r="D152">
            <v>5650000</v>
          </cell>
          <cell r="E152">
            <v>12029</v>
          </cell>
          <cell r="F152">
            <v>469.69822927924184</v>
          </cell>
          <cell r="G152">
            <v>0</v>
          </cell>
          <cell r="H152">
            <v>0</v>
          </cell>
          <cell r="I152" t="str">
            <v>N/A</v>
          </cell>
          <cell r="J152">
            <v>10932000</v>
          </cell>
          <cell r="K152">
            <v>1626</v>
          </cell>
          <cell r="L152">
            <v>6723.2472324723249</v>
          </cell>
          <cell r="M152">
            <v>2639000</v>
          </cell>
          <cell r="N152">
            <v>26611000</v>
          </cell>
          <cell r="O152">
            <v>9.9169516365412796E-2</v>
          </cell>
          <cell r="P152">
            <v>990000</v>
          </cell>
          <cell r="Q152">
            <v>18727000</v>
          </cell>
          <cell r="R152">
            <v>5.2864847546323493E-2</v>
          </cell>
          <cell r="S152">
            <v>1524000</v>
          </cell>
          <cell r="T152">
            <v>5370000</v>
          </cell>
          <cell r="U152">
            <v>0.28379888268156422</v>
          </cell>
          <cell r="V152">
            <v>19717000</v>
          </cell>
          <cell r="W152">
            <v>34153000</v>
          </cell>
          <cell r="X152">
            <v>0.57731385237021637</v>
          </cell>
          <cell r="Y152">
            <v>6894000</v>
          </cell>
          <cell r="Z152">
            <v>34153000</v>
          </cell>
          <cell r="AA152">
            <v>0.20185635229701637</v>
          </cell>
          <cell r="AB152">
            <v>499000</v>
          </cell>
          <cell r="AC152">
            <v>34153000</v>
          </cell>
          <cell r="AD152">
            <v>1.4610722337715574E-2</v>
          </cell>
          <cell r="AE152">
            <v>3942000</v>
          </cell>
          <cell r="AF152">
            <v>34153000</v>
          </cell>
          <cell r="AG152">
            <v>0.11542177846748455</v>
          </cell>
          <cell r="AH152">
            <v>2378000</v>
          </cell>
          <cell r="AI152">
            <v>34153000</v>
          </cell>
          <cell r="AJ152">
            <v>6.9627851140456179E-2</v>
          </cell>
          <cell r="AK152">
            <v>723000</v>
          </cell>
          <cell r="AL152">
            <v>34153000</v>
          </cell>
          <cell r="AM152">
            <v>2.1169443387110944E-2</v>
          </cell>
          <cell r="AN152">
            <v>33067000</v>
          </cell>
          <cell r="AO152">
            <v>37363</v>
          </cell>
          <cell r="AP152">
            <v>885.01993951235181</v>
          </cell>
          <cell r="AQ152">
            <v>17198000</v>
          </cell>
          <cell r="AR152">
            <v>35956000</v>
          </cell>
          <cell r="AS152">
            <v>0.47830681944598952</v>
          </cell>
          <cell r="AT152">
            <v>10609000</v>
          </cell>
          <cell r="AU152">
            <v>35956000</v>
          </cell>
          <cell r="AV152">
            <v>0.29505506730448328</v>
          </cell>
          <cell r="AW152">
            <v>0</v>
          </cell>
          <cell r="AX152">
            <v>35956000</v>
          </cell>
          <cell r="AY152">
            <v>0</v>
          </cell>
          <cell r="AZ152">
            <v>4302000</v>
          </cell>
          <cell r="BA152">
            <v>35956000</v>
          </cell>
          <cell r="BB152">
            <v>0.11964623428634999</v>
          </cell>
          <cell r="BC152">
            <v>3847000</v>
          </cell>
          <cell r="BD152">
            <v>35956000</v>
          </cell>
          <cell r="BE152">
            <v>0.10699187896317722</v>
          </cell>
          <cell r="BF152">
            <v>36101000</v>
          </cell>
          <cell r="BG152">
            <v>37363</v>
          </cell>
          <cell r="BH152">
            <v>966.2232690094479</v>
          </cell>
          <cell r="BI152">
            <v>7558000</v>
          </cell>
          <cell r="BJ152">
            <v>4761000</v>
          </cell>
          <cell r="BK152">
            <v>1.5874816215080865</v>
          </cell>
          <cell r="BL152">
            <v>0</v>
          </cell>
          <cell r="BM152">
            <v>29069000</v>
          </cell>
          <cell r="BN152">
            <v>0</v>
          </cell>
          <cell r="BO152">
            <v>1550000</v>
          </cell>
          <cell r="BP152">
            <v>4302000</v>
          </cell>
          <cell r="BQ152">
            <v>0.36029753602975362</v>
          </cell>
          <cell r="BR152">
            <v>366</v>
          </cell>
          <cell r="BS152" t="str">
            <v>&lt;=4</v>
          </cell>
          <cell r="BT152" t="str">
            <v>&lt;=4</v>
          </cell>
          <cell r="BU152" t="str">
            <v>On Time</v>
          </cell>
          <cell r="BV152">
            <v>1181000</v>
          </cell>
          <cell r="BW152">
            <v>37363</v>
          </cell>
          <cell r="BX152">
            <v>31.608810855659343</v>
          </cell>
          <cell r="BY152">
            <v>172125</v>
          </cell>
          <cell r="BZ152">
            <v>37363</v>
          </cell>
          <cell r="CA152">
            <v>4.6068302866472175</v>
          </cell>
          <cell r="CB152">
            <v>2997000</v>
          </cell>
          <cell r="CC152">
            <v>12015</v>
          </cell>
          <cell r="CD152">
            <v>249.43820224719101</v>
          </cell>
          <cell r="CE152">
            <v>1593000</v>
          </cell>
          <cell r="CF152">
            <v>13063</v>
          </cell>
          <cell r="CG152">
            <v>121.94748526372196</v>
          </cell>
          <cell r="CH152">
            <v>3476040</v>
          </cell>
          <cell r="CI152">
            <v>37363</v>
          </cell>
          <cell r="CJ152">
            <v>93.034285255466642</v>
          </cell>
          <cell r="CK152">
            <v>9799000</v>
          </cell>
          <cell r="CL152">
            <v>37363</v>
          </cell>
          <cell r="CM152">
            <v>262.26480742981022</v>
          </cell>
          <cell r="CN152" t="str">
            <v>N/A</v>
          </cell>
          <cell r="CO152" t="str">
            <v>N/A</v>
          </cell>
          <cell r="CP152" t="str">
            <v>N/A</v>
          </cell>
          <cell r="CQ152" t="str">
            <v>N/A</v>
          </cell>
          <cell r="CR152">
            <v>581</v>
          </cell>
          <cell r="CS152">
            <v>39205</v>
          </cell>
          <cell r="CT152">
            <v>581</v>
          </cell>
          <cell r="CU152">
            <v>67.478485370051629</v>
          </cell>
          <cell r="CV152">
            <v>60</v>
          </cell>
          <cell r="CW152">
            <v>347000</v>
          </cell>
          <cell r="CX152">
            <v>1666000</v>
          </cell>
          <cell r="CY152">
            <v>0.20828331332533012</v>
          </cell>
          <cell r="CZ152">
            <v>640000</v>
          </cell>
          <cell r="DA152">
            <v>37363</v>
          </cell>
          <cell r="DB152">
            <v>17.129245510264166</v>
          </cell>
          <cell r="DC152">
            <v>7184000</v>
          </cell>
          <cell r="DD152">
            <v>37363</v>
          </cell>
          <cell r="DE152">
            <v>192.27578085271526</v>
          </cell>
          <cell r="DF152">
            <v>3367000</v>
          </cell>
          <cell r="DG152">
            <v>37363</v>
          </cell>
          <cell r="DH152">
            <v>90.115890051655384</v>
          </cell>
          <cell r="DI152">
            <v>22.1</v>
          </cell>
          <cell r="DJ152">
            <v>1690.6334841628959</v>
          </cell>
          <cell r="DK152">
            <v>5.2195186921020209E-3</v>
          </cell>
          <cell r="DL152">
            <v>1.56</v>
          </cell>
          <cell r="DM152">
            <v>36.409999999999997</v>
          </cell>
        </row>
        <row r="153">
          <cell r="B153" t="str">
            <v>Ryde City Council</v>
          </cell>
          <cell r="C153">
            <v>3</v>
          </cell>
          <cell r="D153">
            <v>17897000</v>
          </cell>
          <cell r="E153">
            <v>36236</v>
          </cell>
          <cell r="F153">
            <v>493.90109283585383</v>
          </cell>
          <cell r="G153">
            <v>0</v>
          </cell>
          <cell r="H153">
            <v>0</v>
          </cell>
          <cell r="I153" t="str">
            <v>N/A</v>
          </cell>
          <cell r="J153">
            <v>7304000</v>
          </cell>
          <cell r="K153">
            <v>1536</v>
          </cell>
          <cell r="L153">
            <v>4755.208333333333</v>
          </cell>
          <cell r="M153">
            <v>967000</v>
          </cell>
          <cell r="N153">
            <v>45687000</v>
          </cell>
          <cell r="O153">
            <v>2.116575831199247E-2</v>
          </cell>
          <cell r="P153">
            <v>1525000</v>
          </cell>
          <cell r="Q153">
            <v>36625000</v>
          </cell>
          <cell r="R153">
            <v>4.1638225255972695E-2</v>
          </cell>
          <cell r="S153">
            <v>1588000</v>
          </cell>
          <cell r="T153">
            <v>5949000</v>
          </cell>
          <cell r="U153">
            <v>0.2669356194318373</v>
          </cell>
          <cell r="V153">
            <v>38150000</v>
          </cell>
          <cell r="W153">
            <v>59920000</v>
          </cell>
          <cell r="X153">
            <v>0.63668224299065423</v>
          </cell>
          <cell r="Y153">
            <v>7537000</v>
          </cell>
          <cell r="Z153">
            <v>59920000</v>
          </cell>
          <cell r="AA153">
            <v>0.12578437917222965</v>
          </cell>
          <cell r="AB153">
            <v>2015000</v>
          </cell>
          <cell r="AC153">
            <v>59920000</v>
          </cell>
          <cell r="AD153">
            <v>3.3628170894526035E-2</v>
          </cell>
          <cell r="AE153">
            <v>4727000</v>
          </cell>
          <cell r="AF153">
            <v>59920000</v>
          </cell>
          <cell r="AG153">
            <v>7.8888518024032045E-2</v>
          </cell>
          <cell r="AH153">
            <v>5946000</v>
          </cell>
          <cell r="AI153">
            <v>59920000</v>
          </cell>
          <cell r="AJ153">
            <v>9.9232309746328434E-2</v>
          </cell>
          <cell r="AK153">
            <v>1545000</v>
          </cell>
          <cell r="AL153">
            <v>59920000</v>
          </cell>
          <cell r="AM153">
            <v>2.578437917222964E-2</v>
          </cell>
          <cell r="AN153">
            <v>54190000</v>
          </cell>
          <cell r="AO153">
            <v>99306</v>
          </cell>
          <cell r="AP153">
            <v>545.68706825368054</v>
          </cell>
          <cell r="AQ153">
            <v>20605000</v>
          </cell>
          <cell r="AR153">
            <v>63171000</v>
          </cell>
          <cell r="AS153">
            <v>0.32617815136692468</v>
          </cell>
          <cell r="AT153">
            <v>14119000</v>
          </cell>
          <cell r="AU153">
            <v>63171000</v>
          </cell>
          <cell r="AV153">
            <v>0.22350445615868042</v>
          </cell>
          <cell r="AW153">
            <v>464000</v>
          </cell>
          <cell r="AX153">
            <v>63171000</v>
          </cell>
          <cell r="AY153">
            <v>7.345142549587627E-3</v>
          </cell>
          <cell r="AZ153">
            <v>14548000</v>
          </cell>
          <cell r="BA153">
            <v>63171000</v>
          </cell>
          <cell r="BB153">
            <v>0.23029554700732932</v>
          </cell>
          <cell r="BC153">
            <v>13435000</v>
          </cell>
          <cell r="BD153">
            <v>63171000</v>
          </cell>
          <cell r="BE153">
            <v>0.21267670291747795</v>
          </cell>
          <cell r="BF153">
            <v>64093000</v>
          </cell>
          <cell r="BG153">
            <v>99306</v>
          </cell>
          <cell r="BH153">
            <v>645.40913942762779</v>
          </cell>
          <cell r="BI153">
            <v>24292000</v>
          </cell>
          <cell r="BJ153">
            <v>8611000</v>
          </cell>
          <cell r="BK153">
            <v>2.8210428521658346</v>
          </cell>
          <cell r="BL153">
            <v>1937000</v>
          </cell>
          <cell r="BM153">
            <v>52027000</v>
          </cell>
          <cell r="BN153">
            <v>3.7230668691256463E-2</v>
          </cell>
          <cell r="BO153">
            <v>10454000</v>
          </cell>
          <cell r="BP153">
            <v>14548000</v>
          </cell>
          <cell r="BQ153">
            <v>0.71858674731921912</v>
          </cell>
          <cell r="BR153">
            <v>418</v>
          </cell>
          <cell r="BS153" t="str">
            <v>On Time</v>
          </cell>
          <cell r="BT153" t="str">
            <v>On Time</v>
          </cell>
          <cell r="BU153" t="str">
            <v>On Time</v>
          </cell>
          <cell r="BV153">
            <v>3539000</v>
          </cell>
          <cell r="BW153">
            <v>99306</v>
          </cell>
          <cell r="BX153">
            <v>35.637323021771088</v>
          </cell>
          <cell r="BY153">
            <v>782112</v>
          </cell>
          <cell r="BZ153">
            <v>99306</v>
          </cell>
          <cell r="CA153">
            <v>7.8757778986163975</v>
          </cell>
          <cell r="CB153">
            <v>7679000</v>
          </cell>
          <cell r="CC153">
            <v>36168</v>
          </cell>
          <cell r="CD153">
            <v>212.31475337314754</v>
          </cell>
          <cell r="CE153">
            <v>4512880</v>
          </cell>
          <cell r="CF153">
            <v>36168</v>
          </cell>
          <cell r="CG153">
            <v>124.77549214775492</v>
          </cell>
          <cell r="CH153">
            <v>8639000</v>
          </cell>
          <cell r="CI153">
            <v>99306</v>
          </cell>
          <cell r="CJ153">
            <v>86.99373653152881</v>
          </cell>
          <cell r="CK153">
            <v>29583000</v>
          </cell>
          <cell r="CL153">
            <v>99306</v>
          </cell>
          <cell r="CM153">
            <v>297.89740801160053</v>
          </cell>
          <cell r="CN153" t="str">
            <v>N/A</v>
          </cell>
          <cell r="CO153" t="str">
            <v>N/A</v>
          </cell>
          <cell r="CP153" t="str">
            <v>N/A</v>
          </cell>
          <cell r="CQ153" t="str">
            <v>N/A</v>
          </cell>
          <cell r="CR153">
            <v>1431</v>
          </cell>
          <cell r="CS153">
            <v>97308</v>
          </cell>
          <cell r="CT153">
            <v>1431</v>
          </cell>
          <cell r="CU153">
            <v>68</v>
          </cell>
          <cell r="CV153">
            <v>55</v>
          </cell>
          <cell r="CW153">
            <v>327000</v>
          </cell>
          <cell r="CX153">
            <v>3977000</v>
          </cell>
          <cell r="CY153">
            <v>8.2222780990696506E-2</v>
          </cell>
          <cell r="CZ153">
            <v>605000</v>
          </cell>
          <cell r="DA153">
            <v>99306</v>
          </cell>
          <cell r="DB153">
            <v>6.092280426157533</v>
          </cell>
          <cell r="DC153">
            <v>6597000</v>
          </cell>
          <cell r="DD153">
            <v>99306</v>
          </cell>
          <cell r="DE153">
            <v>66.43103135762189</v>
          </cell>
          <cell r="DF153">
            <v>1304000</v>
          </cell>
          <cell r="DG153">
            <v>99306</v>
          </cell>
          <cell r="DH153">
            <v>13.131130042494915</v>
          </cell>
          <cell r="DI153">
            <v>40.5</v>
          </cell>
          <cell r="DJ153">
            <v>2452</v>
          </cell>
          <cell r="DK153">
            <v>3.945329842812928E-3</v>
          </cell>
          <cell r="DL153">
            <v>0.25</v>
          </cell>
          <cell r="DM153">
            <v>28.24</v>
          </cell>
        </row>
        <row r="154">
          <cell r="B154" t="str">
            <v>Campbelltown City Council</v>
          </cell>
          <cell r="C154">
            <v>7</v>
          </cell>
          <cell r="D154">
            <v>23498000</v>
          </cell>
          <cell r="E154">
            <v>49079</v>
          </cell>
          <cell r="F154">
            <v>478.77911122883512</v>
          </cell>
          <cell r="G154">
            <v>246000</v>
          </cell>
          <cell r="H154">
            <v>65</v>
          </cell>
          <cell r="I154">
            <v>3784.6153846153848</v>
          </cell>
          <cell r="J154">
            <v>8016000</v>
          </cell>
          <cell r="K154">
            <v>2113</v>
          </cell>
          <cell r="L154">
            <v>3793.6583057264552</v>
          </cell>
          <cell r="M154">
            <v>2030000</v>
          </cell>
          <cell r="N154">
            <v>62041000</v>
          </cell>
          <cell r="O154">
            <v>3.2720297867539209E-2</v>
          </cell>
          <cell r="P154">
            <v>2505000</v>
          </cell>
          <cell r="Q154">
            <v>50011000</v>
          </cell>
          <cell r="R154">
            <v>5.0088980424306651E-2</v>
          </cell>
          <cell r="S154">
            <v>-133000</v>
          </cell>
          <cell r="T154">
            <v>9658000</v>
          </cell>
          <cell r="U154">
            <v>-1.377096707392835E-2</v>
          </cell>
          <cell r="V154">
            <v>52516000</v>
          </cell>
          <cell r="W154">
            <v>86283000</v>
          </cell>
          <cell r="X154">
            <v>0.60864828529374271</v>
          </cell>
          <cell r="Y154">
            <v>9525000</v>
          </cell>
          <cell r="Z154">
            <v>86283000</v>
          </cell>
          <cell r="AA154">
            <v>0.11039254546086714</v>
          </cell>
          <cell r="AB154">
            <v>1974000</v>
          </cell>
          <cell r="AC154">
            <v>86283000</v>
          </cell>
          <cell r="AD154">
            <v>2.2878203122283648E-2</v>
          </cell>
          <cell r="AE154">
            <v>18545000</v>
          </cell>
          <cell r="AF154">
            <v>86283000</v>
          </cell>
          <cell r="AG154">
            <v>0.21493225780281167</v>
          </cell>
          <cell r="AH154">
            <v>1628000</v>
          </cell>
          <cell r="AI154">
            <v>86283000</v>
          </cell>
          <cell r="AJ154">
            <v>1.8868143203180233E-2</v>
          </cell>
          <cell r="AK154">
            <v>2095000</v>
          </cell>
          <cell r="AL154">
            <v>86283000</v>
          </cell>
          <cell r="AM154">
            <v>2.428056511711461E-2</v>
          </cell>
          <cell r="AN154">
            <v>84849000</v>
          </cell>
          <cell r="AO154">
            <v>150489</v>
          </cell>
          <cell r="AP154">
            <v>563.8219404740546</v>
          </cell>
          <cell r="AQ154">
            <v>31556000</v>
          </cell>
          <cell r="AR154">
            <v>79256000</v>
          </cell>
          <cell r="AS154">
            <v>0.39815282123750884</v>
          </cell>
          <cell r="AT154">
            <v>15338000</v>
          </cell>
          <cell r="AU154">
            <v>79256000</v>
          </cell>
          <cell r="AV154">
            <v>0.19352478045826182</v>
          </cell>
          <cell r="AW154">
            <v>1740000</v>
          </cell>
          <cell r="AX154">
            <v>79256000</v>
          </cell>
          <cell r="AY154">
            <v>2.1954173816493387E-2</v>
          </cell>
          <cell r="AZ154">
            <v>10272000</v>
          </cell>
          <cell r="BA154">
            <v>79256000</v>
          </cell>
          <cell r="BB154">
            <v>0.12960532956495407</v>
          </cell>
          <cell r="BC154">
            <v>20350000</v>
          </cell>
          <cell r="BD154">
            <v>79256000</v>
          </cell>
          <cell r="BE154">
            <v>0.25676289492278187</v>
          </cell>
          <cell r="BF154">
            <v>79256000</v>
          </cell>
          <cell r="BG154">
            <v>150489</v>
          </cell>
          <cell r="BH154">
            <v>526.65643336057781</v>
          </cell>
          <cell r="BI154">
            <v>18703000</v>
          </cell>
          <cell r="BJ154">
            <v>17064000</v>
          </cell>
          <cell r="BK154">
            <v>1.0960501640881388</v>
          </cell>
          <cell r="BL154">
            <v>9228000</v>
          </cell>
          <cell r="BM154">
            <v>75418000</v>
          </cell>
          <cell r="BN154">
            <v>0.12235805775809488</v>
          </cell>
          <cell r="BO154">
            <v>11690000</v>
          </cell>
          <cell r="BP154">
            <v>10272000</v>
          </cell>
          <cell r="BQ154">
            <v>1.1380451713395638</v>
          </cell>
          <cell r="BR154">
            <v>617</v>
          </cell>
          <cell r="BS154" t="str">
            <v>Not Received</v>
          </cell>
          <cell r="BT154" t="str">
            <v>&lt;=16</v>
          </cell>
          <cell r="BU154" t="str">
            <v>On Time</v>
          </cell>
          <cell r="BV154">
            <v>3037000</v>
          </cell>
          <cell r="BW154">
            <v>150489</v>
          </cell>
          <cell r="BX154">
            <v>20.18087700762182</v>
          </cell>
          <cell r="BY154">
            <v>757294</v>
          </cell>
          <cell r="BZ154">
            <v>150489</v>
          </cell>
          <cell r="CA154">
            <v>5.032221624171866</v>
          </cell>
          <cell r="CB154">
            <v>11826000</v>
          </cell>
          <cell r="CC154">
            <v>48362</v>
          </cell>
          <cell r="CD154">
            <v>244.5308299904884</v>
          </cell>
          <cell r="CE154">
            <v>7032398</v>
          </cell>
          <cell r="CF154">
            <v>49373</v>
          </cell>
          <cell r="CG154">
            <v>142.43408340591012</v>
          </cell>
          <cell r="CH154">
            <v>28112420</v>
          </cell>
          <cell r="CI154">
            <v>150489</v>
          </cell>
          <cell r="CJ154">
            <v>186.80714205024952</v>
          </cell>
          <cell r="CK154">
            <v>30259140</v>
          </cell>
          <cell r="CL154">
            <v>150489</v>
          </cell>
          <cell r="CM154">
            <v>201.07210493790245</v>
          </cell>
          <cell r="CN154" t="str">
            <v>N/A</v>
          </cell>
          <cell r="CO154" t="str">
            <v>N/A</v>
          </cell>
          <cell r="CP154" t="str">
            <v>N/A</v>
          </cell>
          <cell r="CQ154" t="str">
            <v>N/A</v>
          </cell>
          <cell r="CR154">
            <v>1570</v>
          </cell>
          <cell r="CS154">
            <v>107932</v>
          </cell>
          <cell r="CT154">
            <v>1570</v>
          </cell>
          <cell r="CU154">
            <v>68.746496815286619</v>
          </cell>
          <cell r="CV154">
            <v>27</v>
          </cell>
          <cell r="CW154">
            <v>90000</v>
          </cell>
          <cell r="CX154">
            <v>2874000</v>
          </cell>
          <cell r="CY154">
            <v>3.1315240083507306E-2</v>
          </cell>
          <cell r="CZ154">
            <v>1703000</v>
          </cell>
          <cell r="DA154">
            <v>150489</v>
          </cell>
          <cell r="DB154">
            <v>11.316441733282831</v>
          </cell>
          <cell r="DC154">
            <v>7427000</v>
          </cell>
          <cell r="DD154">
            <v>150489</v>
          </cell>
          <cell r="DE154">
            <v>49.352444364704397</v>
          </cell>
          <cell r="DF154">
            <v>8704000</v>
          </cell>
          <cell r="DG154">
            <v>150489</v>
          </cell>
          <cell r="DH154">
            <v>57.838114413678078</v>
          </cell>
          <cell r="DI154">
            <v>312.2</v>
          </cell>
          <cell r="DJ154">
            <v>482.02754644458685</v>
          </cell>
          <cell r="DK154">
            <v>2.4971858217692766E-3</v>
          </cell>
          <cell r="DL154">
            <v>2.4700000000000002</v>
          </cell>
          <cell r="DM154">
            <v>15.37</v>
          </cell>
        </row>
        <row r="155">
          <cell r="B155" t="str">
            <v>Canterbury City Council</v>
          </cell>
          <cell r="C155">
            <v>3</v>
          </cell>
          <cell r="D155">
            <v>27186000</v>
          </cell>
          <cell r="E155">
            <v>42592</v>
          </cell>
          <cell r="F155">
            <v>638.28888054094671</v>
          </cell>
          <cell r="G155">
            <v>0</v>
          </cell>
          <cell r="H155">
            <v>0</v>
          </cell>
          <cell r="I155" t="str">
            <v>N/A</v>
          </cell>
          <cell r="J155">
            <v>7241000</v>
          </cell>
          <cell r="K155">
            <v>2632</v>
          </cell>
          <cell r="L155">
            <v>2751.1398176291791</v>
          </cell>
          <cell r="M155">
            <v>2095000</v>
          </cell>
          <cell r="N155">
            <v>53046000</v>
          </cell>
          <cell r="O155">
            <v>3.9494024054594123E-2</v>
          </cell>
          <cell r="P155">
            <v>2340000</v>
          </cell>
          <cell r="Q155">
            <v>43979000</v>
          </cell>
          <cell r="R155">
            <v>5.3207212533254507E-2</v>
          </cell>
          <cell r="S155">
            <v>534000</v>
          </cell>
          <cell r="T155">
            <v>6193000</v>
          </cell>
          <cell r="U155">
            <v>8.6226384627805588E-2</v>
          </cell>
          <cell r="V155">
            <v>46319000</v>
          </cell>
          <cell r="W155">
            <v>70847000</v>
          </cell>
          <cell r="X155">
            <v>0.65378915126963744</v>
          </cell>
          <cell r="Y155">
            <v>6727000</v>
          </cell>
          <cell r="Z155">
            <v>70847000</v>
          </cell>
          <cell r="AA155">
            <v>9.4951091789348879E-2</v>
          </cell>
          <cell r="AB155">
            <v>2461000</v>
          </cell>
          <cell r="AC155">
            <v>70847000</v>
          </cell>
          <cell r="AD155">
            <v>3.4736827247448726E-2</v>
          </cell>
          <cell r="AE155">
            <v>11356000</v>
          </cell>
          <cell r="AF155">
            <v>70847000</v>
          </cell>
          <cell r="AG155">
            <v>0.16028907363755698</v>
          </cell>
          <cell r="AH155">
            <v>1585000</v>
          </cell>
          <cell r="AI155">
            <v>70847000</v>
          </cell>
          <cell r="AJ155">
            <v>2.2372154078507206E-2</v>
          </cell>
          <cell r="AK155">
            <v>2399000</v>
          </cell>
          <cell r="AL155">
            <v>70847000</v>
          </cell>
          <cell r="AM155">
            <v>3.386170197750081E-2</v>
          </cell>
          <cell r="AN155">
            <v>69987000</v>
          </cell>
          <cell r="AO155">
            <v>136673</v>
          </cell>
          <cell r="AP155">
            <v>512.07626963628513</v>
          </cell>
          <cell r="AQ155">
            <v>31935000</v>
          </cell>
          <cell r="AR155">
            <v>65080000</v>
          </cell>
          <cell r="AS155">
            <v>0.49070374923171484</v>
          </cell>
          <cell r="AT155">
            <v>10773000</v>
          </cell>
          <cell r="AU155">
            <v>65080000</v>
          </cell>
          <cell r="AV155">
            <v>0.16553472649047327</v>
          </cell>
          <cell r="AW155">
            <v>132000</v>
          </cell>
          <cell r="AX155">
            <v>65080000</v>
          </cell>
          <cell r="AY155">
            <v>2.0282728948985865E-3</v>
          </cell>
          <cell r="AZ155">
            <v>6981000</v>
          </cell>
          <cell r="BA155">
            <v>65080000</v>
          </cell>
          <cell r="BB155">
            <v>0.1072679778733866</v>
          </cell>
          <cell r="BC155">
            <v>15259000</v>
          </cell>
          <cell r="BD155">
            <v>65080000</v>
          </cell>
          <cell r="BE155">
            <v>0.23446527350952673</v>
          </cell>
          <cell r="BF155">
            <v>65080000</v>
          </cell>
          <cell r="BG155">
            <v>136673</v>
          </cell>
          <cell r="BH155">
            <v>476.17305539499387</v>
          </cell>
          <cell r="BI155">
            <v>26061000</v>
          </cell>
          <cell r="BJ155">
            <v>7455000</v>
          </cell>
          <cell r="BK155">
            <v>3.4957746478873237</v>
          </cell>
          <cell r="BL155">
            <v>281000</v>
          </cell>
          <cell r="BM155">
            <v>64617000</v>
          </cell>
          <cell r="BN155">
            <v>4.3487008062893665E-3</v>
          </cell>
          <cell r="BO155">
            <v>8012000</v>
          </cell>
          <cell r="BP155">
            <v>6981000</v>
          </cell>
          <cell r="BQ155">
            <v>1.1476865778541756</v>
          </cell>
          <cell r="BR155">
            <v>623.5</v>
          </cell>
          <cell r="BS155" t="str">
            <v>On Time</v>
          </cell>
          <cell r="BT155" t="str">
            <v>On Time</v>
          </cell>
          <cell r="BU155" t="str">
            <v>On Time</v>
          </cell>
          <cell r="BV155">
            <v>3946000</v>
          </cell>
          <cell r="BW155">
            <v>136673</v>
          </cell>
          <cell r="BX155">
            <v>28.871832768725351</v>
          </cell>
          <cell r="BY155">
            <v>625276</v>
          </cell>
          <cell r="BZ155">
            <v>136673</v>
          </cell>
          <cell r="CA155">
            <v>4.5749782327160444</v>
          </cell>
          <cell r="CB155">
            <v>11892000</v>
          </cell>
          <cell r="CC155">
            <v>42787</v>
          </cell>
          <cell r="CD155">
            <v>277.93488676467149</v>
          </cell>
          <cell r="CE155">
            <v>8335200</v>
          </cell>
          <cell r="CF155">
            <v>42787</v>
          </cell>
          <cell r="CG155">
            <v>194.80683385140347</v>
          </cell>
          <cell r="CH155">
            <v>13267950</v>
          </cell>
          <cell r="CI155">
            <v>136673</v>
          </cell>
          <cell r="CJ155">
            <v>97.078062236140283</v>
          </cell>
          <cell r="CK155">
            <v>36863270</v>
          </cell>
          <cell r="CL155">
            <v>136673</v>
          </cell>
          <cell r="CM155">
            <v>269.71874474109734</v>
          </cell>
          <cell r="CN155" t="str">
            <v>N/A</v>
          </cell>
          <cell r="CO155" t="str">
            <v>N/A</v>
          </cell>
          <cell r="CP155" t="str">
            <v>N/A</v>
          </cell>
          <cell r="CQ155" t="str">
            <v>N/A</v>
          </cell>
          <cell r="CR155">
            <v>1469</v>
          </cell>
          <cell r="CS155">
            <v>104459</v>
          </cell>
          <cell r="CT155">
            <v>1469</v>
          </cell>
          <cell r="CU155">
            <v>71.108917631041521</v>
          </cell>
          <cell r="CV155">
            <v>47</v>
          </cell>
          <cell r="CW155">
            <v>198000</v>
          </cell>
          <cell r="CX155">
            <v>2127000</v>
          </cell>
          <cell r="CY155">
            <v>9.3088857545839204E-2</v>
          </cell>
          <cell r="CZ155">
            <v>2636000</v>
          </cell>
          <cell r="DA155">
            <v>136673</v>
          </cell>
          <cell r="DB155">
            <v>19.286911094363919</v>
          </cell>
          <cell r="DC155">
            <v>3135000</v>
          </cell>
          <cell r="DD155">
            <v>136673</v>
          </cell>
          <cell r="DE155">
            <v>22.937961411544343</v>
          </cell>
          <cell r="DF155">
            <v>6829000</v>
          </cell>
          <cell r="DG155">
            <v>136673</v>
          </cell>
          <cell r="DH155">
            <v>49.965977186423068</v>
          </cell>
          <cell r="DI155">
            <v>33.6</v>
          </cell>
          <cell r="DJ155">
            <v>4067.6488095238092</v>
          </cell>
          <cell r="DK155">
            <v>-3.4167318503615096E-3</v>
          </cell>
          <cell r="DL155">
            <v>0.5</v>
          </cell>
          <cell r="DM155">
            <v>42.95</v>
          </cell>
        </row>
        <row r="156">
          <cell r="B156" t="str">
            <v>Parramatta City Council</v>
          </cell>
          <cell r="C156">
            <v>3</v>
          </cell>
          <cell r="D156">
            <v>24879000</v>
          </cell>
          <cell r="E156">
            <v>50193</v>
          </cell>
          <cell r="F156">
            <v>495.66672643595723</v>
          </cell>
          <cell r="G156">
            <v>0</v>
          </cell>
          <cell r="H156">
            <v>0</v>
          </cell>
          <cell r="I156" t="str">
            <v>N/A</v>
          </cell>
          <cell r="J156">
            <v>28184000</v>
          </cell>
          <cell r="K156">
            <v>3959</v>
          </cell>
          <cell r="L156">
            <v>7118.9694367264465</v>
          </cell>
          <cell r="M156">
            <v>2191000</v>
          </cell>
          <cell r="N156">
            <v>75691000</v>
          </cell>
          <cell r="O156">
            <v>2.8946638305743087E-2</v>
          </cell>
          <cell r="P156">
            <v>2454000</v>
          </cell>
          <cell r="Q156">
            <v>64213000</v>
          </cell>
          <cell r="R156">
            <v>3.8216560509554139E-2</v>
          </cell>
          <cell r="S156">
            <v>1440000</v>
          </cell>
          <cell r="T156">
            <v>7584000</v>
          </cell>
          <cell r="U156">
            <v>0.189873417721519</v>
          </cell>
          <cell r="V156">
            <v>66667000</v>
          </cell>
          <cell r="W156">
            <v>110019000</v>
          </cell>
          <cell r="X156">
            <v>0.60595897072323868</v>
          </cell>
          <cell r="Y156">
            <v>9024000</v>
          </cell>
          <cell r="Z156">
            <v>110019000</v>
          </cell>
          <cell r="AA156">
            <v>8.2022196166116765E-2</v>
          </cell>
          <cell r="AB156">
            <v>3334000</v>
          </cell>
          <cell r="AC156">
            <v>110019000</v>
          </cell>
          <cell r="AD156">
            <v>3.0303856606586136E-2</v>
          </cell>
          <cell r="AE156">
            <v>13759000</v>
          </cell>
          <cell r="AF156">
            <v>110019000</v>
          </cell>
          <cell r="AG156">
            <v>0.12506021687163127</v>
          </cell>
          <cell r="AH156">
            <v>8672000</v>
          </cell>
          <cell r="AI156">
            <v>110019000</v>
          </cell>
          <cell r="AJ156">
            <v>7.8822748797934897E-2</v>
          </cell>
          <cell r="AK156">
            <v>8563000</v>
          </cell>
          <cell r="AL156">
            <v>110019000</v>
          </cell>
          <cell r="AM156">
            <v>7.7832010834492218E-2</v>
          </cell>
          <cell r="AN156">
            <v>98975000</v>
          </cell>
          <cell r="AO156">
            <v>148086</v>
          </cell>
          <cell r="AP156">
            <v>668.36162770282135</v>
          </cell>
          <cell r="AQ156">
            <v>38528000</v>
          </cell>
          <cell r="AR156">
            <v>101950000</v>
          </cell>
          <cell r="AS156">
            <v>0.37791074055909762</v>
          </cell>
          <cell r="AT156">
            <v>23410000</v>
          </cell>
          <cell r="AU156">
            <v>101950000</v>
          </cell>
          <cell r="AV156">
            <v>0.22962236390387444</v>
          </cell>
          <cell r="AW156">
            <v>1818000</v>
          </cell>
          <cell r="AX156">
            <v>101950000</v>
          </cell>
          <cell r="AY156">
            <v>1.7832270720941637E-2</v>
          </cell>
          <cell r="AZ156">
            <v>18434000</v>
          </cell>
          <cell r="BA156">
            <v>101950000</v>
          </cell>
          <cell r="BB156">
            <v>0.18081412457086807</v>
          </cell>
          <cell r="BC156">
            <v>19760000</v>
          </cell>
          <cell r="BD156">
            <v>101950000</v>
          </cell>
          <cell r="BE156">
            <v>0.19382050024521824</v>
          </cell>
          <cell r="BF156">
            <v>102152000</v>
          </cell>
          <cell r="BG156">
            <v>148086</v>
          </cell>
          <cell r="BH156">
            <v>689.81537755088254</v>
          </cell>
          <cell r="BI156">
            <v>40026000</v>
          </cell>
          <cell r="BJ156">
            <v>18567000</v>
          </cell>
          <cell r="BK156">
            <v>2.1557602197447086</v>
          </cell>
          <cell r="BL156">
            <v>5786000</v>
          </cell>
          <cell r="BM156">
            <v>93052000</v>
          </cell>
          <cell r="BN156">
            <v>6.2180286291535915E-2</v>
          </cell>
          <cell r="BO156">
            <v>32288000</v>
          </cell>
          <cell r="BP156">
            <v>18434000</v>
          </cell>
          <cell r="BQ156">
            <v>1.751546056200499</v>
          </cell>
          <cell r="BR156">
            <v>658</v>
          </cell>
          <cell r="BS156" t="str">
            <v>&lt;=2</v>
          </cell>
          <cell r="BT156" t="str">
            <v>&lt;=2</v>
          </cell>
          <cell r="BU156" t="str">
            <v>On Time</v>
          </cell>
          <cell r="BV156">
            <v>4362000</v>
          </cell>
          <cell r="BW156">
            <v>148086</v>
          </cell>
          <cell r="BX156">
            <v>29.455856731899033</v>
          </cell>
          <cell r="BY156">
            <v>787729</v>
          </cell>
          <cell r="BZ156">
            <v>148086</v>
          </cell>
          <cell r="CA156">
            <v>5.319402239239361</v>
          </cell>
          <cell r="CB156">
            <v>8865000</v>
          </cell>
          <cell r="CC156">
            <v>47516</v>
          </cell>
          <cell r="CD156">
            <v>186.56873474198164</v>
          </cell>
          <cell r="CE156">
            <v>6449000</v>
          </cell>
          <cell r="CF156">
            <v>47516</v>
          </cell>
          <cell r="CG156">
            <v>135.72270393130734</v>
          </cell>
          <cell r="CH156">
            <v>21221000</v>
          </cell>
          <cell r="CI156">
            <v>148086</v>
          </cell>
          <cell r="CJ156">
            <v>143.30186513242305</v>
          </cell>
          <cell r="CK156">
            <v>33605000</v>
          </cell>
          <cell r="CL156">
            <v>148086</v>
          </cell>
          <cell r="CM156">
            <v>226.92894669313776</v>
          </cell>
          <cell r="CN156" t="str">
            <v>N/A</v>
          </cell>
          <cell r="CO156" t="str">
            <v>N/A</v>
          </cell>
          <cell r="CP156" t="str">
            <v>N/A</v>
          </cell>
          <cell r="CQ156" t="str">
            <v>N/A</v>
          </cell>
          <cell r="CR156">
            <v>1753</v>
          </cell>
          <cell r="CS156">
            <v>125123</v>
          </cell>
          <cell r="CT156">
            <v>1753</v>
          </cell>
          <cell r="CU156">
            <v>71.376497432972045</v>
          </cell>
          <cell r="CV156">
            <v>58</v>
          </cell>
          <cell r="CW156">
            <v>385000</v>
          </cell>
          <cell r="CX156">
            <v>4692000</v>
          </cell>
          <cell r="CY156">
            <v>8.205456095481671E-2</v>
          </cell>
          <cell r="CZ156">
            <v>1798000</v>
          </cell>
          <cell r="DA156">
            <v>148086</v>
          </cell>
          <cell r="DB156">
            <v>12.141593398430642</v>
          </cell>
          <cell r="DC156">
            <v>5787000</v>
          </cell>
          <cell r="DD156">
            <v>148086</v>
          </cell>
          <cell r="DE156">
            <v>39.078643490944451</v>
          </cell>
          <cell r="DF156">
            <v>5782000</v>
          </cell>
          <cell r="DG156">
            <v>148086</v>
          </cell>
          <cell r="DH156">
            <v>39.044879326877627</v>
          </cell>
          <cell r="DI156">
            <v>61</v>
          </cell>
          <cell r="DJ156">
            <v>2427.6393442622953</v>
          </cell>
          <cell r="DK156">
            <v>5.8366809424790222E-3</v>
          </cell>
          <cell r="DL156">
            <v>0.78</v>
          </cell>
          <cell r="DM156">
            <v>29.93</v>
          </cell>
        </row>
        <row r="157">
          <cell r="B157" t="str">
            <v>Marrickville Council</v>
          </cell>
          <cell r="C157">
            <v>3</v>
          </cell>
          <cell r="D157">
            <v>15516000</v>
          </cell>
          <cell r="E157">
            <v>27102</v>
          </cell>
          <cell r="F157">
            <v>572.5038742528227</v>
          </cell>
          <cell r="G157">
            <v>0</v>
          </cell>
          <cell r="H157">
            <v>0</v>
          </cell>
          <cell r="I157" t="str">
            <v>N/A</v>
          </cell>
          <cell r="J157">
            <v>12332000</v>
          </cell>
          <cell r="K157">
            <v>3043</v>
          </cell>
          <cell r="L157">
            <v>4052.579691094315</v>
          </cell>
          <cell r="M157">
            <v>2559000</v>
          </cell>
          <cell r="N157">
            <v>43739000</v>
          </cell>
          <cell r="O157">
            <v>5.8506138686298267E-2</v>
          </cell>
          <cell r="P157">
            <v>1300000</v>
          </cell>
          <cell r="Q157">
            <v>33949000</v>
          </cell>
          <cell r="R157">
            <v>3.8292733217473271E-2</v>
          </cell>
          <cell r="S157">
            <v>-132000</v>
          </cell>
          <cell r="T157">
            <v>8622000</v>
          </cell>
          <cell r="U157">
            <v>-1.5309672929714684E-2</v>
          </cell>
          <cell r="V157">
            <v>35249000</v>
          </cell>
          <cell r="W157">
            <v>60078000</v>
          </cell>
          <cell r="X157">
            <v>0.58672059655780817</v>
          </cell>
          <cell r="Y157">
            <v>8490000</v>
          </cell>
          <cell r="Z157">
            <v>60078000</v>
          </cell>
          <cell r="AA157">
            <v>0.14131628882452812</v>
          </cell>
          <cell r="AB157">
            <v>1832000</v>
          </cell>
          <cell r="AC157">
            <v>60078000</v>
          </cell>
          <cell r="AD157">
            <v>3.0493691534338695E-2</v>
          </cell>
          <cell r="AE157">
            <v>6888000</v>
          </cell>
          <cell r="AF157">
            <v>60078000</v>
          </cell>
          <cell r="AG157">
            <v>0.11465095376011185</v>
          </cell>
          <cell r="AH157">
            <v>3961000</v>
          </cell>
          <cell r="AI157">
            <v>60078000</v>
          </cell>
          <cell r="AJ157">
            <v>6.5930956423316353E-2</v>
          </cell>
          <cell r="AK157">
            <v>3658000</v>
          </cell>
          <cell r="AL157">
            <v>60078000</v>
          </cell>
          <cell r="AM157">
            <v>6.0887512899896801E-2</v>
          </cell>
          <cell r="AN157">
            <v>58186000</v>
          </cell>
          <cell r="AO157">
            <v>76515</v>
          </cell>
          <cell r="AP157">
            <v>760.45219891524539</v>
          </cell>
          <cell r="AQ157">
            <v>28012000</v>
          </cell>
          <cell r="AR157">
            <v>52163000</v>
          </cell>
          <cell r="AS157">
            <v>0.53700899104729405</v>
          </cell>
          <cell r="AT157">
            <v>11653000</v>
          </cell>
          <cell r="AU157">
            <v>52163000</v>
          </cell>
          <cell r="AV157">
            <v>0.22339589364108658</v>
          </cell>
          <cell r="AW157">
            <v>736000</v>
          </cell>
          <cell r="AX157">
            <v>52163000</v>
          </cell>
          <cell r="AY157">
            <v>1.4109617928416694E-2</v>
          </cell>
          <cell r="AZ157">
            <v>6523000</v>
          </cell>
          <cell r="BA157">
            <v>52163000</v>
          </cell>
          <cell r="BB157">
            <v>0.12505032302589958</v>
          </cell>
          <cell r="BC157">
            <v>5239000</v>
          </cell>
          <cell r="BD157">
            <v>52163000</v>
          </cell>
          <cell r="BE157">
            <v>0.10043517435730306</v>
          </cell>
          <cell r="BF157">
            <v>52163000</v>
          </cell>
          <cell r="BG157">
            <v>76515</v>
          </cell>
          <cell r="BH157">
            <v>681.73560739724235</v>
          </cell>
          <cell r="BI157">
            <v>20521000</v>
          </cell>
          <cell r="BJ157">
            <v>8128000</v>
          </cell>
          <cell r="BK157">
            <v>2.5247293307086616</v>
          </cell>
          <cell r="BL157">
            <v>2737000</v>
          </cell>
          <cell r="BM157">
            <v>55732000</v>
          </cell>
          <cell r="BN157">
            <v>4.9110026555659228E-2</v>
          </cell>
          <cell r="BO157">
            <v>13035000</v>
          </cell>
          <cell r="BP157">
            <v>6523000</v>
          </cell>
          <cell r="BQ157">
            <v>1.9983136593591906</v>
          </cell>
          <cell r="BR157">
            <v>466</v>
          </cell>
          <cell r="BS157" t="str">
            <v>On Time</v>
          </cell>
          <cell r="BT157" t="str">
            <v>On Time</v>
          </cell>
          <cell r="BU157" t="str">
            <v>On Time</v>
          </cell>
          <cell r="BV157">
            <v>2216000</v>
          </cell>
          <cell r="BW157">
            <v>76515</v>
          </cell>
          <cell r="BX157">
            <v>28.961641508201005</v>
          </cell>
          <cell r="BY157">
            <v>437655</v>
          </cell>
          <cell r="BZ157">
            <v>76515</v>
          </cell>
          <cell r="CA157">
            <v>5.7198588512056459</v>
          </cell>
          <cell r="CB157">
            <v>8733000</v>
          </cell>
          <cell r="CC157">
            <v>32444</v>
          </cell>
          <cell r="CD157">
            <v>269.17149549993837</v>
          </cell>
          <cell r="CE157">
            <v>3925286</v>
          </cell>
          <cell r="CF157">
            <v>27102</v>
          </cell>
          <cell r="CG157">
            <v>144.83381300273044</v>
          </cell>
          <cell r="CH157">
            <v>8465970</v>
          </cell>
          <cell r="CI157">
            <v>76515</v>
          </cell>
          <cell r="CJ157">
            <v>110.64457949421681</v>
          </cell>
          <cell r="CK157">
            <v>17882060</v>
          </cell>
          <cell r="CL157">
            <v>76515</v>
          </cell>
          <cell r="CM157">
            <v>233.70659347840294</v>
          </cell>
          <cell r="CN157" t="str">
            <v>N/A</v>
          </cell>
          <cell r="CO157" t="str">
            <v>N/A</v>
          </cell>
          <cell r="CP157" t="str">
            <v>N/A</v>
          </cell>
          <cell r="CQ157" t="str">
            <v>N/A</v>
          </cell>
          <cell r="CR157">
            <v>819</v>
          </cell>
          <cell r="CS157">
            <v>60443</v>
          </cell>
          <cell r="CT157">
            <v>819</v>
          </cell>
          <cell r="CU157">
            <v>73.800976800976798</v>
          </cell>
          <cell r="CV157">
            <v>59</v>
          </cell>
          <cell r="CW157">
            <v>43000</v>
          </cell>
          <cell r="CX157">
            <v>2347000</v>
          </cell>
          <cell r="CY157">
            <v>1.8321261184490838E-2</v>
          </cell>
          <cell r="CZ157">
            <v>1326000</v>
          </cell>
          <cell r="DA157">
            <v>76515</v>
          </cell>
          <cell r="DB157">
            <v>17.329935306802589</v>
          </cell>
          <cell r="DC157">
            <v>4128000</v>
          </cell>
          <cell r="DD157">
            <v>76515</v>
          </cell>
          <cell r="DE157">
            <v>53.950205841991767</v>
          </cell>
          <cell r="DF157">
            <v>7644000</v>
          </cell>
          <cell r="DG157">
            <v>76515</v>
          </cell>
          <cell r="DH157">
            <v>99.901980003920798</v>
          </cell>
          <cell r="DI157">
            <v>16.5</v>
          </cell>
          <cell r="DJ157">
            <v>4637.272727272727</v>
          </cell>
          <cell r="DK157">
            <v>-7.5474158250308232E-3</v>
          </cell>
          <cell r="DL157">
            <v>1.35</v>
          </cell>
          <cell r="DM157">
            <v>30.16</v>
          </cell>
        </row>
        <row r="158">
          <cell r="B158" t="str">
            <v>Port Stephens Council</v>
          </cell>
          <cell r="C158">
            <v>4</v>
          </cell>
          <cell r="D158">
            <v>15438000</v>
          </cell>
          <cell r="E158">
            <v>24941</v>
          </cell>
          <cell r="F158">
            <v>618.98079467543403</v>
          </cell>
          <cell r="G158">
            <v>737000</v>
          </cell>
          <cell r="H158">
            <v>546</v>
          </cell>
          <cell r="I158">
            <v>1349.8168498168498</v>
          </cell>
          <cell r="J158">
            <v>2885000</v>
          </cell>
          <cell r="K158">
            <v>2007</v>
          </cell>
          <cell r="L158">
            <v>1437.4688589935226</v>
          </cell>
          <cell r="M158">
            <v>1556000</v>
          </cell>
          <cell r="N158">
            <v>42277000</v>
          </cell>
          <cell r="O158">
            <v>3.6804882087186887E-2</v>
          </cell>
          <cell r="P158">
            <v>688000</v>
          </cell>
          <cell r="Q158">
            <v>24052000</v>
          </cell>
          <cell r="R158">
            <v>2.8604689838682855E-2</v>
          </cell>
          <cell r="S158">
            <v>1471000</v>
          </cell>
          <cell r="T158">
            <v>16066000</v>
          </cell>
          <cell r="U158">
            <v>9.1559815759990046E-2</v>
          </cell>
          <cell r="V158">
            <v>24740000</v>
          </cell>
          <cell r="W158">
            <v>62007000</v>
          </cell>
          <cell r="X158">
            <v>0.39898721112132501</v>
          </cell>
          <cell r="Y158">
            <v>17537000</v>
          </cell>
          <cell r="Z158">
            <v>62007000</v>
          </cell>
          <cell r="AA158">
            <v>0.28282290709113489</v>
          </cell>
          <cell r="AB158">
            <v>1169000</v>
          </cell>
          <cell r="AC158">
            <v>62007000</v>
          </cell>
          <cell r="AD158">
            <v>1.8852710177883144E-2</v>
          </cell>
          <cell r="AE158">
            <v>7421000</v>
          </cell>
          <cell r="AF158">
            <v>62007000</v>
          </cell>
          <cell r="AG158">
            <v>0.11968003612495363</v>
          </cell>
          <cell r="AH158">
            <v>9701000</v>
          </cell>
          <cell r="AI158">
            <v>62007000</v>
          </cell>
          <cell r="AJ158">
            <v>0.15645007821697551</v>
          </cell>
          <cell r="AK158">
            <v>1439000</v>
          </cell>
          <cell r="AL158">
            <v>62007000</v>
          </cell>
          <cell r="AM158">
            <v>2.3207057267727836E-2</v>
          </cell>
          <cell r="AN158">
            <v>53376000</v>
          </cell>
          <cell r="AO158">
            <v>60098</v>
          </cell>
          <cell r="AP158">
            <v>888.14935605178209</v>
          </cell>
          <cell r="AQ158">
            <v>21545000</v>
          </cell>
          <cell r="AR158">
            <v>61000000</v>
          </cell>
          <cell r="AS158">
            <v>0.35319672131147539</v>
          </cell>
          <cell r="AT158">
            <v>19146000</v>
          </cell>
          <cell r="AU158">
            <v>61000000</v>
          </cell>
          <cell r="AV158">
            <v>0.31386885245901641</v>
          </cell>
          <cell r="AW158">
            <v>820000</v>
          </cell>
          <cell r="AX158">
            <v>61000000</v>
          </cell>
          <cell r="AY158">
            <v>1.3442622950819673E-2</v>
          </cell>
          <cell r="AZ158">
            <v>11041000</v>
          </cell>
          <cell r="BA158">
            <v>61000000</v>
          </cell>
          <cell r="BB158">
            <v>0.18099999999999999</v>
          </cell>
          <cell r="BC158">
            <v>8448000</v>
          </cell>
          <cell r="BD158">
            <v>61000000</v>
          </cell>
          <cell r="BE158">
            <v>0.13849180327868851</v>
          </cell>
          <cell r="BF158">
            <v>61000000</v>
          </cell>
          <cell r="BG158">
            <v>60098</v>
          </cell>
          <cell r="BH158">
            <v>1015.0088189290825</v>
          </cell>
          <cell r="BI158">
            <v>8673000</v>
          </cell>
          <cell r="BJ158">
            <v>7934000</v>
          </cell>
          <cell r="BK158">
            <v>1.0931434333249306</v>
          </cell>
          <cell r="BL158">
            <v>1490000</v>
          </cell>
          <cell r="BM158">
            <v>49529000</v>
          </cell>
          <cell r="BN158">
            <v>3.0083385491328312E-2</v>
          </cell>
          <cell r="BO158">
            <v>8210000</v>
          </cell>
          <cell r="BP158">
            <v>11041000</v>
          </cell>
          <cell r="BQ158">
            <v>0.74359206593605653</v>
          </cell>
          <cell r="BR158">
            <v>392.2</v>
          </cell>
          <cell r="BS158" t="str">
            <v>&lt;=2</v>
          </cell>
          <cell r="BT158" t="str">
            <v>On Time</v>
          </cell>
          <cell r="BU158" t="str">
            <v>On Time</v>
          </cell>
          <cell r="BV158">
            <v>850000</v>
          </cell>
          <cell r="BW158">
            <v>60098</v>
          </cell>
          <cell r="BX158">
            <v>14.143565509667543</v>
          </cell>
          <cell r="BY158">
            <v>494873</v>
          </cell>
          <cell r="BZ158">
            <v>60098</v>
          </cell>
          <cell r="CA158">
            <v>8.2344337581949478</v>
          </cell>
          <cell r="CB158">
            <v>4977000</v>
          </cell>
          <cell r="CC158">
            <v>26261</v>
          </cell>
          <cell r="CD158">
            <v>189.52058185141465</v>
          </cell>
          <cell r="CE158">
            <v>1929750</v>
          </cell>
          <cell r="CF158">
            <v>24657</v>
          </cell>
          <cell r="CG158">
            <v>78.263779048546056</v>
          </cell>
          <cell r="CH158">
            <v>7781310</v>
          </cell>
          <cell r="CI158">
            <v>60098</v>
          </cell>
          <cell r="CJ158">
            <v>129.477020865919</v>
          </cell>
          <cell r="CK158">
            <v>21756220</v>
          </cell>
          <cell r="CL158">
            <v>60098</v>
          </cell>
          <cell r="CM158">
            <v>362.01237977969316</v>
          </cell>
          <cell r="CN158" t="str">
            <v>N/A</v>
          </cell>
          <cell r="CO158" t="str">
            <v>N/A</v>
          </cell>
          <cell r="CP158" t="str">
            <v>N/A</v>
          </cell>
          <cell r="CQ158" t="str">
            <v>N/A</v>
          </cell>
          <cell r="CR158">
            <v>2091</v>
          </cell>
          <cell r="CS158">
            <v>157169</v>
          </cell>
          <cell r="CT158">
            <v>2091</v>
          </cell>
          <cell r="CU158">
            <v>75.164514586322341</v>
          </cell>
          <cell r="CV158">
            <v>39</v>
          </cell>
          <cell r="CW158">
            <v>589000</v>
          </cell>
          <cell r="CX158">
            <v>2702000</v>
          </cell>
          <cell r="CY158">
            <v>0.21798667653589934</v>
          </cell>
          <cell r="CZ158">
            <v>1463000</v>
          </cell>
          <cell r="DA158">
            <v>60098</v>
          </cell>
          <cell r="DB158">
            <v>24.343572165463076</v>
          </cell>
          <cell r="DC158">
            <v>5679000</v>
          </cell>
          <cell r="DD158">
            <v>60098</v>
          </cell>
          <cell r="DE158">
            <v>94.495657093414096</v>
          </cell>
          <cell r="DF158">
            <v>3224000</v>
          </cell>
          <cell r="DG158">
            <v>60098</v>
          </cell>
          <cell r="DH158">
            <v>53.645712003727247</v>
          </cell>
          <cell r="DI158">
            <v>857.7</v>
          </cell>
          <cell r="DJ158">
            <v>70.068788620729862</v>
          </cell>
          <cell r="DK158">
            <v>2.2821372867524392E-2</v>
          </cell>
          <cell r="DL158">
            <v>2.37</v>
          </cell>
          <cell r="DM158">
            <v>3.69</v>
          </cell>
        </row>
        <row r="159">
          <cell r="B159" t="str">
            <v>Cooma-Monaro Shire Council</v>
          </cell>
          <cell r="C159">
            <v>10</v>
          </cell>
          <cell r="D159">
            <v>1826000</v>
          </cell>
          <cell r="E159">
            <v>3915</v>
          </cell>
          <cell r="F159">
            <v>466.41123882503194</v>
          </cell>
          <cell r="G159">
            <v>1058000</v>
          </cell>
          <cell r="H159">
            <v>1142</v>
          </cell>
          <cell r="I159">
            <v>926.44483362521896</v>
          </cell>
          <cell r="J159">
            <v>1102000</v>
          </cell>
          <cell r="K159">
            <v>423</v>
          </cell>
          <cell r="L159">
            <v>2605.2009456264777</v>
          </cell>
          <cell r="M159">
            <v>1055000</v>
          </cell>
          <cell r="N159">
            <v>9668000</v>
          </cell>
          <cell r="O159">
            <v>0.1091228796028134</v>
          </cell>
          <cell r="P159">
            <v>261000</v>
          </cell>
          <cell r="Q159">
            <v>6634000</v>
          </cell>
          <cell r="R159">
            <v>3.9342779620138678E-2</v>
          </cell>
          <cell r="S159">
            <v>516000</v>
          </cell>
          <cell r="T159">
            <v>2257000</v>
          </cell>
          <cell r="U159">
            <v>0.22862206468763846</v>
          </cell>
          <cell r="V159">
            <v>6895000</v>
          </cell>
          <cell r="W159">
            <v>15539000</v>
          </cell>
          <cell r="X159">
            <v>0.44372224724885773</v>
          </cell>
          <cell r="Y159">
            <v>2773000</v>
          </cell>
          <cell r="Z159">
            <v>15539000</v>
          </cell>
          <cell r="AA159">
            <v>0.17845421198275307</v>
          </cell>
          <cell r="AB159">
            <v>509000</v>
          </cell>
          <cell r="AC159">
            <v>15539000</v>
          </cell>
          <cell r="AD159">
            <v>3.2756290623592255E-2</v>
          </cell>
          <cell r="AE159">
            <v>4330000</v>
          </cell>
          <cell r="AF159">
            <v>15539000</v>
          </cell>
          <cell r="AG159">
            <v>0.27865371001994982</v>
          </cell>
          <cell r="AH159">
            <v>982000</v>
          </cell>
          <cell r="AI159">
            <v>15539000</v>
          </cell>
          <cell r="AJ159">
            <v>6.3195829847480539E-2</v>
          </cell>
          <cell r="AK159">
            <v>50000</v>
          </cell>
          <cell r="AL159">
            <v>15539000</v>
          </cell>
          <cell r="AM159">
            <v>3.2177102773666261E-3</v>
          </cell>
          <cell r="AN159">
            <v>14041000</v>
          </cell>
          <cell r="AO159">
            <v>9407</v>
          </cell>
          <cell r="AP159">
            <v>1492.611884766663</v>
          </cell>
          <cell r="AQ159">
            <v>5779000</v>
          </cell>
          <cell r="AR159">
            <v>14311000</v>
          </cell>
          <cell r="AS159">
            <v>0.40381524701278737</v>
          </cell>
          <cell r="AT159">
            <v>4076000</v>
          </cell>
          <cell r="AU159">
            <v>14311000</v>
          </cell>
          <cell r="AV159">
            <v>0.28481587589965762</v>
          </cell>
          <cell r="AW159">
            <v>229000</v>
          </cell>
          <cell r="AX159">
            <v>14311000</v>
          </cell>
          <cell r="AY159">
            <v>1.6001677031653973E-2</v>
          </cell>
          <cell r="AZ159">
            <v>2581000</v>
          </cell>
          <cell r="BA159">
            <v>14311000</v>
          </cell>
          <cell r="BB159">
            <v>0.1803507791209559</v>
          </cell>
          <cell r="BC159">
            <v>1646000</v>
          </cell>
          <cell r="BD159">
            <v>14311000</v>
          </cell>
          <cell r="BE159">
            <v>0.11501642093494514</v>
          </cell>
          <cell r="BF159">
            <v>11392000</v>
          </cell>
          <cell r="BG159">
            <v>9407</v>
          </cell>
          <cell r="BH159">
            <v>1211.0130753694057</v>
          </cell>
          <cell r="BI159">
            <v>5536000</v>
          </cell>
          <cell r="BJ159">
            <v>774000</v>
          </cell>
          <cell r="BK159">
            <v>7.1524547803617571</v>
          </cell>
          <cell r="BL159">
            <v>1192000</v>
          </cell>
          <cell r="BM159">
            <v>12467000</v>
          </cell>
          <cell r="BN159">
            <v>9.5612416780299997E-2</v>
          </cell>
          <cell r="BO159">
            <v>1742000</v>
          </cell>
          <cell r="BP159">
            <v>2317000</v>
          </cell>
          <cell r="BQ159">
            <v>0.75183426845058265</v>
          </cell>
          <cell r="BR159">
            <v>120</v>
          </cell>
          <cell r="BS159" t="str">
            <v>On Time</v>
          </cell>
          <cell r="BT159" t="str">
            <v>On Time</v>
          </cell>
          <cell r="BU159" t="str">
            <v>On Time</v>
          </cell>
          <cell r="BV159">
            <v>381000</v>
          </cell>
          <cell r="BW159">
            <v>9407</v>
          </cell>
          <cell r="BX159">
            <v>40.501754012969066</v>
          </cell>
          <cell r="BY159">
            <v>79364</v>
          </cell>
          <cell r="BZ159">
            <v>9407</v>
          </cell>
          <cell r="CA159">
            <v>8.436696077389179</v>
          </cell>
          <cell r="CB159">
            <v>404000</v>
          </cell>
          <cell r="CC159">
            <v>2891</v>
          </cell>
          <cell r="CD159">
            <v>139.74403320650293</v>
          </cell>
          <cell r="CE159">
            <v>238000</v>
          </cell>
          <cell r="CF159">
            <v>2891</v>
          </cell>
          <cell r="CG159">
            <v>82.324455205811134</v>
          </cell>
          <cell r="CH159">
            <v>2623000</v>
          </cell>
          <cell r="CI159">
            <v>9407</v>
          </cell>
          <cell r="CJ159">
            <v>278.8349101732752</v>
          </cell>
          <cell r="CK159">
            <v>6558430</v>
          </cell>
          <cell r="CL159">
            <v>9407</v>
          </cell>
          <cell r="CM159">
            <v>697.18613798235356</v>
          </cell>
          <cell r="CN159">
            <v>493.47161324769002</v>
          </cell>
          <cell r="CO159">
            <v>412</v>
          </cell>
          <cell r="CP159">
            <v>424.29376450222799</v>
          </cell>
          <cell r="CQ159">
            <v>504</v>
          </cell>
          <cell r="CR159">
            <v>251</v>
          </cell>
          <cell r="CS159">
            <v>19057</v>
          </cell>
          <cell r="CT159">
            <v>251</v>
          </cell>
          <cell r="CU159">
            <v>75.924302788844628</v>
          </cell>
          <cell r="CV159">
            <v>49</v>
          </cell>
          <cell r="CW159">
            <v>20000</v>
          </cell>
          <cell r="CX159">
            <v>451000</v>
          </cell>
          <cell r="CY159">
            <v>4.4345898004434593E-2</v>
          </cell>
          <cell r="CZ159">
            <v>371000</v>
          </cell>
          <cell r="DA159">
            <v>9407</v>
          </cell>
          <cell r="DB159">
            <v>39.438715849899012</v>
          </cell>
          <cell r="DC159">
            <v>1222000</v>
          </cell>
          <cell r="DD159">
            <v>9407</v>
          </cell>
          <cell r="DE159">
            <v>129.90326352716062</v>
          </cell>
          <cell r="DF159">
            <v>1033000</v>
          </cell>
          <cell r="DG159">
            <v>9407</v>
          </cell>
          <cell r="DH159">
            <v>109.8118422451366</v>
          </cell>
          <cell r="DI159">
            <v>4925.7</v>
          </cell>
          <cell r="DJ159">
            <v>1.9097793207056866</v>
          </cell>
          <cell r="DK159">
            <v>-5.8900111520691079E-3</v>
          </cell>
          <cell r="DL159">
            <v>1.08</v>
          </cell>
          <cell r="DM159">
            <v>8.24</v>
          </cell>
        </row>
        <row r="160">
          <cell r="B160" t="str">
            <v>Bega Valley Shire Council</v>
          </cell>
          <cell r="C160">
            <v>4</v>
          </cell>
          <cell r="D160">
            <v>7598000</v>
          </cell>
          <cell r="E160">
            <v>15093</v>
          </cell>
          <cell r="F160">
            <v>503.41217783078247</v>
          </cell>
          <cell r="G160">
            <v>1012000</v>
          </cell>
          <cell r="H160">
            <v>997</v>
          </cell>
          <cell r="I160">
            <v>1015.0451354062186</v>
          </cell>
          <cell r="J160">
            <v>966000</v>
          </cell>
          <cell r="K160">
            <v>789</v>
          </cell>
          <cell r="L160">
            <v>1224.3346007604562</v>
          </cell>
          <cell r="M160">
            <v>2187000</v>
          </cell>
          <cell r="N160">
            <v>24734000</v>
          </cell>
          <cell r="O160">
            <v>8.8420797283092101E-2</v>
          </cell>
          <cell r="P160">
            <v>1000000</v>
          </cell>
          <cell r="Q160">
            <v>16404000</v>
          </cell>
          <cell r="R160">
            <v>6.0960741282613994E-2</v>
          </cell>
          <cell r="S160">
            <v>1270000</v>
          </cell>
          <cell r="T160">
            <v>6060000</v>
          </cell>
          <cell r="U160">
            <v>0.20957095709570958</v>
          </cell>
          <cell r="V160">
            <v>17404000</v>
          </cell>
          <cell r="W160">
            <v>38115000</v>
          </cell>
          <cell r="X160">
            <v>0.45661812934540208</v>
          </cell>
          <cell r="Y160">
            <v>7330000</v>
          </cell>
          <cell r="Z160">
            <v>38115000</v>
          </cell>
          <cell r="AA160">
            <v>0.19231273776728322</v>
          </cell>
          <cell r="AB160">
            <v>1419000</v>
          </cell>
          <cell r="AC160">
            <v>38115000</v>
          </cell>
          <cell r="AD160">
            <v>3.722943722943723E-2</v>
          </cell>
          <cell r="AE160">
            <v>10068000</v>
          </cell>
          <cell r="AF160">
            <v>38115000</v>
          </cell>
          <cell r="AG160">
            <v>0.26414797323888234</v>
          </cell>
          <cell r="AH160">
            <v>1462000</v>
          </cell>
          <cell r="AI160">
            <v>38115000</v>
          </cell>
          <cell r="AJ160">
            <v>3.835760199396563E-2</v>
          </cell>
          <cell r="AK160">
            <v>432000</v>
          </cell>
          <cell r="AL160">
            <v>38115000</v>
          </cell>
          <cell r="AM160">
            <v>1.1334120425029516E-2</v>
          </cell>
          <cell r="AN160">
            <v>24519000</v>
          </cell>
          <cell r="AO160">
            <v>31135</v>
          </cell>
          <cell r="AP160">
            <v>787.50602216155448</v>
          </cell>
          <cell r="AQ160">
            <v>14481000</v>
          </cell>
          <cell r="AR160">
            <v>37029000</v>
          </cell>
          <cell r="AS160">
            <v>0.39107186259418292</v>
          </cell>
          <cell r="AT160">
            <v>8508000</v>
          </cell>
          <cell r="AU160">
            <v>37029000</v>
          </cell>
          <cell r="AV160">
            <v>0.22976585919144454</v>
          </cell>
          <cell r="AW160">
            <v>508000</v>
          </cell>
          <cell r="AX160">
            <v>37029000</v>
          </cell>
          <cell r="AY160">
            <v>1.3718977018012909E-2</v>
          </cell>
          <cell r="AZ160">
            <v>9767000</v>
          </cell>
          <cell r="BA160">
            <v>37029000</v>
          </cell>
          <cell r="BB160">
            <v>0.26376623727348836</v>
          </cell>
          <cell r="BC160">
            <v>3765000</v>
          </cell>
          <cell r="BD160">
            <v>37029000</v>
          </cell>
          <cell r="BE160">
            <v>0.10167706392287126</v>
          </cell>
          <cell r="BF160">
            <v>26040000</v>
          </cell>
          <cell r="BG160">
            <v>31135</v>
          </cell>
          <cell r="BH160">
            <v>836.35779669182591</v>
          </cell>
          <cell r="BI160">
            <v>10384000</v>
          </cell>
          <cell r="BJ160">
            <v>4781000</v>
          </cell>
          <cell r="BK160">
            <v>2.171930558460573</v>
          </cell>
          <cell r="BL160">
            <v>1162000</v>
          </cell>
          <cell r="BM160">
            <v>30931000</v>
          </cell>
          <cell r="BN160">
            <v>3.7567488926966472E-2</v>
          </cell>
          <cell r="BO160">
            <v>3197000</v>
          </cell>
          <cell r="BP160">
            <v>5981000</v>
          </cell>
          <cell r="BQ160">
            <v>0.53452599899682329</v>
          </cell>
          <cell r="BR160">
            <v>274</v>
          </cell>
          <cell r="BS160" t="str">
            <v>&lt;=2</v>
          </cell>
          <cell r="BT160" t="str">
            <v>&lt;=2</v>
          </cell>
          <cell r="BU160" t="str">
            <v>On Time</v>
          </cell>
          <cell r="BV160">
            <v>624000</v>
          </cell>
          <cell r="BW160">
            <v>31135</v>
          </cell>
          <cell r="BX160">
            <v>20.041753653444676</v>
          </cell>
          <cell r="BY160">
            <v>345026</v>
          </cell>
          <cell r="BZ160">
            <v>31135</v>
          </cell>
          <cell r="CA160">
            <v>11.081612333386863</v>
          </cell>
          <cell r="CB160">
            <v>2402000</v>
          </cell>
          <cell r="CC160">
            <v>12334</v>
          </cell>
          <cell r="CD160">
            <v>194.7462299335171</v>
          </cell>
          <cell r="CE160">
            <v>760602</v>
          </cell>
          <cell r="CF160">
            <v>12334</v>
          </cell>
          <cell r="CG160">
            <v>61.667099075725638</v>
          </cell>
          <cell r="CH160">
            <v>628178</v>
          </cell>
          <cell r="CI160">
            <v>31135</v>
          </cell>
          <cell r="CJ160">
            <v>20.175943471976876</v>
          </cell>
          <cell r="CK160">
            <v>0</v>
          </cell>
          <cell r="CL160">
            <v>31135</v>
          </cell>
          <cell r="CM160">
            <v>0</v>
          </cell>
          <cell r="CN160">
            <v>321.71692703439402</v>
          </cell>
          <cell r="CO160">
            <v>438</v>
          </cell>
          <cell r="CP160">
            <v>356.28568447101298</v>
          </cell>
          <cell r="CQ160">
            <v>507</v>
          </cell>
          <cell r="CR160">
            <v>1142</v>
          </cell>
          <cell r="CS160">
            <v>87992</v>
          </cell>
          <cell r="CT160">
            <v>1142</v>
          </cell>
          <cell r="CU160">
            <v>77.050788091068299</v>
          </cell>
          <cell r="CV160">
            <v>40</v>
          </cell>
          <cell r="CW160">
            <v>22000</v>
          </cell>
          <cell r="CX160">
            <v>1164000</v>
          </cell>
          <cell r="CY160">
            <v>1.8900343642611683E-2</v>
          </cell>
          <cell r="CZ160">
            <v>1941000</v>
          </cell>
          <cell r="DA160">
            <v>31135</v>
          </cell>
          <cell r="DB160">
            <v>62.341416412397621</v>
          </cell>
          <cell r="DC160">
            <v>1620000</v>
          </cell>
          <cell r="DD160">
            <v>31135</v>
          </cell>
          <cell r="DE160">
            <v>52.031475831058295</v>
          </cell>
          <cell r="DF160">
            <v>1028000</v>
          </cell>
          <cell r="DG160">
            <v>31135</v>
          </cell>
          <cell r="DH160">
            <v>33.017504416251803</v>
          </cell>
          <cell r="DI160">
            <v>6279.5</v>
          </cell>
          <cell r="DJ160">
            <v>4.9581973087029221</v>
          </cell>
          <cell r="DK160">
            <v>1.5833574028347064E-2</v>
          </cell>
          <cell r="DL160">
            <v>2.19</v>
          </cell>
          <cell r="DM160">
            <v>3.94</v>
          </cell>
        </row>
        <row r="161">
          <cell r="B161" t="str">
            <v>Great Lakes Council</v>
          </cell>
          <cell r="C161">
            <v>4</v>
          </cell>
          <cell r="D161">
            <v>10603000</v>
          </cell>
          <cell r="E161">
            <v>19360</v>
          </cell>
          <cell r="F161">
            <v>547.67561983471069</v>
          </cell>
          <cell r="G161">
            <v>1750000</v>
          </cell>
          <cell r="H161">
            <v>4450</v>
          </cell>
          <cell r="I161">
            <v>393.25842696629212</v>
          </cell>
          <cell r="J161">
            <v>1010000</v>
          </cell>
          <cell r="K161">
            <v>875</v>
          </cell>
          <cell r="L161">
            <v>1154.2857142857142</v>
          </cell>
          <cell r="M161">
            <v>1537000</v>
          </cell>
          <cell r="N161">
            <v>23945000</v>
          </cell>
          <cell r="O161">
            <v>6.4188765921904367E-2</v>
          </cell>
          <cell r="P161">
            <v>1131000</v>
          </cell>
          <cell r="Q161">
            <v>15135000</v>
          </cell>
          <cell r="R161">
            <v>7.4727452923686821E-2</v>
          </cell>
          <cell r="S161">
            <v>434000</v>
          </cell>
          <cell r="T161">
            <v>7245000</v>
          </cell>
          <cell r="U161">
            <v>5.9903381642512077E-2</v>
          </cell>
          <cell r="V161">
            <v>16266000</v>
          </cell>
          <cell r="W161">
            <v>49786000</v>
          </cell>
          <cell r="X161">
            <v>0.32671835455750614</v>
          </cell>
          <cell r="Y161">
            <v>7679000</v>
          </cell>
          <cell r="Z161">
            <v>49786000</v>
          </cell>
          <cell r="AA161">
            <v>0.15424014783272405</v>
          </cell>
          <cell r="AB161">
            <v>1149000</v>
          </cell>
          <cell r="AC161">
            <v>49786000</v>
          </cell>
          <cell r="AD161">
            <v>2.3078777166271644E-2</v>
          </cell>
          <cell r="AE161">
            <v>9125000</v>
          </cell>
          <cell r="AF161">
            <v>49786000</v>
          </cell>
          <cell r="AG161">
            <v>0.18328445747800587</v>
          </cell>
          <cell r="AH161">
            <v>14761000</v>
          </cell>
          <cell r="AI161">
            <v>49786000</v>
          </cell>
          <cell r="AJ161">
            <v>0.29648897280359943</v>
          </cell>
          <cell r="AK161">
            <v>806000</v>
          </cell>
          <cell r="AL161">
            <v>49786000</v>
          </cell>
          <cell r="AM161">
            <v>1.61892901618929E-2</v>
          </cell>
          <cell r="AN161">
            <v>34952000</v>
          </cell>
          <cell r="AO161">
            <v>32897</v>
          </cell>
          <cell r="AP161">
            <v>1062.4677022220872</v>
          </cell>
          <cell r="AQ161">
            <v>12542000</v>
          </cell>
          <cell r="AR161">
            <v>41035000</v>
          </cell>
          <cell r="AS161">
            <v>0.30564152552698914</v>
          </cell>
          <cell r="AT161">
            <v>10334000</v>
          </cell>
          <cell r="AU161">
            <v>41035000</v>
          </cell>
          <cell r="AV161">
            <v>0.2518338004142805</v>
          </cell>
          <cell r="AW161">
            <v>681000</v>
          </cell>
          <cell r="AX161">
            <v>41035000</v>
          </cell>
          <cell r="AY161">
            <v>1.6595589131229438E-2</v>
          </cell>
          <cell r="AZ161">
            <v>9901000</v>
          </cell>
          <cell r="BA161">
            <v>41035000</v>
          </cell>
          <cell r="BB161">
            <v>0.24128183258194225</v>
          </cell>
          <cell r="BC161">
            <v>7577000</v>
          </cell>
          <cell r="BD161">
            <v>41035000</v>
          </cell>
          <cell r="BE161">
            <v>0.18464725234555868</v>
          </cell>
          <cell r="BF161">
            <v>41048000</v>
          </cell>
          <cell r="BG161">
            <v>32897</v>
          </cell>
          <cell r="BH161">
            <v>1247.7733531933004</v>
          </cell>
          <cell r="BI161">
            <v>13856000</v>
          </cell>
          <cell r="BJ161">
            <v>6671000</v>
          </cell>
          <cell r="BK161">
            <v>2.0770499175535901</v>
          </cell>
          <cell r="BL161">
            <v>2233000</v>
          </cell>
          <cell r="BM161">
            <v>30114000</v>
          </cell>
          <cell r="BN161">
            <v>7.4151557415155736E-2</v>
          </cell>
          <cell r="BO161">
            <v>24098000</v>
          </cell>
          <cell r="BP161">
            <v>9901000</v>
          </cell>
          <cell r="BQ161">
            <v>2.4338955661044337</v>
          </cell>
          <cell r="BR161">
            <v>262</v>
          </cell>
          <cell r="BS161" t="str">
            <v>On Time</v>
          </cell>
          <cell r="BT161" t="str">
            <v>On Time</v>
          </cell>
          <cell r="BU161" t="str">
            <v>On Time</v>
          </cell>
          <cell r="BV161">
            <v>830000</v>
          </cell>
          <cell r="BW161">
            <v>32897</v>
          </cell>
          <cell r="BX161">
            <v>25.230264157825943</v>
          </cell>
          <cell r="BY161">
            <v>396650</v>
          </cell>
          <cell r="BZ161">
            <v>32897</v>
          </cell>
          <cell r="CA161">
            <v>12.057330455664649</v>
          </cell>
          <cell r="CB161">
            <v>3184000</v>
          </cell>
          <cell r="CC161">
            <v>16744</v>
          </cell>
          <cell r="CD161">
            <v>190.15766841853798</v>
          </cell>
          <cell r="CE161">
            <v>1685959</v>
          </cell>
          <cell r="CF161">
            <v>18003</v>
          </cell>
          <cell r="CG161">
            <v>93.648780758762427</v>
          </cell>
          <cell r="CH161">
            <v>4282170</v>
          </cell>
          <cell r="CI161">
            <v>32897</v>
          </cell>
          <cell r="CJ161">
            <v>130.16901237194881</v>
          </cell>
          <cell r="CK161">
            <v>10788047</v>
          </cell>
          <cell r="CL161">
            <v>32897</v>
          </cell>
          <cell r="CM161">
            <v>327.93406693619477</v>
          </cell>
          <cell r="CN161" t="str">
            <v>N/A</v>
          </cell>
          <cell r="CO161" t="str">
            <v>N/A</v>
          </cell>
          <cell r="CP161" t="str">
            <v>N/A</v>
          </cell>
          <cell r="CQ161" t="str">
            <v>N/A</v>
          </cell>
          <cell r="CR161">
            <v>1271</v>
          </cell>
          <cell r="CS161">
            <v>98107</v>
          </cell>
          <cell r="CT161">
            <v>1271</v>
          </cell>
          <cell r="CU161">
            <v>77.188827694728559</v>
          </cell>
          <cell r="CV161">
            <v>53</v>
          </cell>
          <cell r="CW161">
            <v>104000</v>
          </cell>
          <cell r="CX161">
            <v>1940000</v>
          </cell>
          <cell r="CY161">
            <v>5.3608247422680409E-2</v>
          </cell>
          <cell r="CZ161">
            <v>995000</v>
          </cell>
          <cell r="DA161">
            <v>32897</v>
          </cell>
          <cell r="DB161">
            <v>30.245919080767244</v>
          </cell>
          <cell r="DC161">
            <v>2837000</v>
          </cell>
          <cell r="DD161">
            <v>32897</v>
          </cell>
          <cell r="DE161">
            <v>86.238866765966506</v>
          </cell>
          <cell r="DF161">
            <v>1339000</v>
          </cell>
          <cell r="DG161">
            <v>32897</v>
          </cell>
          <cell r="DH161">
            <v>40.702799647384261</v>
          </cell>
          <cell r="DI161">
            <v>3375.8</v>
          </cell>
          <cell r="DJ161">
            <v>9.7449493453403626</v>
          </cell>
          <cell r="DK161">
            <v>2.1208093539956341E-2</v>
          </cell>
          <cell r="DL161">
            <v>2.79</v>
          </cell>
          <cell r="DM161">
            <v>2.88</v>
          </cell>
        </row>
        <row r="162">
          <cell r="B162" t="str">
            <v>Rockdale City Council</v>
          </cell>
          <cell r="C162">
            <v>3</v>
          </cell>
          <cell r="D162">
            <v>20352000</v>
          </cell>
          <cell r="E162">
            <v>34508</v>
          </cell>
          <cell r="F162">
            <v>589.77628376028747</v>
          </cell>
          <cell r="G162">
            <v>5000</v>
          </cell>
          <cell r="H162">
            <v>5</v>
          </cell>
          <cell r="I162">
            <v>1000</v>
          </cell>
          <cell r="J162">
            <v>3449000</v>
          </cell>
          <cell r="K162">
            <v>1664</v>
          </cell>
          <cell r="L162">
            <v>2072.7163461538462</v>
          </cell>
          <cell r="M162">
            <v>2191000</v>
          </cell>
          <cell r="N162">
            <v>37350000</v>
          </cell>
          <cell r="O162">
            <v>5.8661311914323964E-2</v>
          </cell>
          <cell r="P162">
            <v>1333000</v>
          </cell>
          <cell r="Q162">
            <v>31058000</v>
          </cell>
          <cell r="R162">
            <v>4.2919698628372721E-2</v>
          </cell>
          <cell r="S162">
            <v>212000</v>
          </cell>
          <cell r="T162">
            <v>4747000</v>
          </cell>
          <cell r="U162">
            <v>4.4659785127448913E-2</v>
          </cell>
          <cell r="V162">
            <v>32391000</v>
          </cell>
          <cell r="W162">
            <v>52552000</v>
          </cell>
          <cell r="X162">
            <v>0.6163609377378596</v>
          </cell>
          <cell r="Y162">
            <v>4959000</v>
          </cell>
          <cell r="Z162">
            <v>52552000</v>
          </cell>
          <cell r="AA162">
            <v>9.436367788095601E-2</v>
          </cell>
          <cell r="AB162">
            <v>2256000</v>
          </cell>
          <cell r="AC162">
            <v>52552000</v>
          </cell>
          <cell r="AD162">
            <v>4.2928908509666616E-2</v>
          </cell>
          <cell r="AE162">
            <v>4733000</v>
          </cell>
          <cell r="AF162">
            <v>52552000</v>
          </cell>
          <cell r="AG162">
            <v>9.0063175521388344E-2</v>
          </cell>
          <cell r="AH162">
            <v>7106000</v>
          </cell>
          <cell r="AI162">
            <v>52552000</v>
          </cell>
          <cell r="AJ162">
            <v>0.13521845029684884</v>
          </cell>
          <cell r="AK162">
            <v>1107000</v>
          </cell>
          <cell r="AL162">
            <v>52552000</v>
          </cell>
          <cell r="AM162">
            <v>2.106485005328056E-2</v>
          </cell>
          <cell r="AN162">
            <v>45663000</v>
          </cell>
          <cell r="AO162">
            <v>92901</v>
          </cell>
          <cell r="AP162">
            <v>491.52323441082444</v>
          </cell>
          <cell r="AQ162">
            <v>17841000</v>
          </cell>
          <cell r="AR162">
            <v>43697000</v>
          </cell>
          <cell r="AS162">
            <v>0.40828889855138795</v>
          </cell>
          <cell r="AT162">
            <v>10305000</v>
          </cell>
          <cell r="AU162">
            <v>43697000</v>
          </cell>
          <cell r="AV162">
            <v>0.23582854658214522</v>
          </cell>
          <cell r="AW162">
            <v>547000</v>
          </cell>
          <cell r="AX162">
            <v>43697000</v>
          </cell>
          <cell r="AY162">
            <v>1.2518021832162392E-2</v>
          </cell>
          <cell r="AZ162">
            <v>7223000</v>
          </cell>
          <cell r="BA162">
            <v>43697000</v>
          </cell>
          <cell r="BB162">
            <v>0.16529738883676226</v>
          </cell>
          <cell r="BC162">
            <v>7781000</v>
          </cell>
          <cell r="BD162">
            <v>43697000</v>
          </cell>
          <cell r="BE162">
            <v>0.17806714419754216</v>
          </cell>
          <cell r="BF162">
            <v>43697000</v>
          </cell>
          <cell r="BG162">
            <v>92901</v>
          </cell>
          <cell r="BH162">
            <v>470.36092184153023</v>
          </cell>
          <cell r="BI162">
            <v>19599000</v>
          </cell>
          <cell r="BJ162">
            <v>6812000</v>
          </cell>
          <cell r="BK162">
            <v>2.8771285965942455</v>
          </cell>
          <cell r="BL162">
            <v>2175000</v>
          </cell>
          <cell r="BM162">
            <v>44536000</v>
          </cell>
          <cell r="BN162">
            <v>4.8836895994251839E-2</v>
          </cell>
          <cell r="BO162">
            <v>7776000</v>
          </cell>
          <cell r="BP162">
            <v>7223000</v>
          </cell>
          <cell r="BQ162">
            <v>1.0765609857399971</v>
          </cell>
          <cell r="BR162">
            <v>339</v>
          </cell>
          <cell r="BS162" t="str">
            <v>On Time</v>
          </cell>
          <cell r="BT162" t="str">
            <v>On Time</v>
          </cell>
          <cell r="BU162" t="str">
            <v>&lt;=2</v>
          </cell>
          <cell r="BV162">
            <v>2428000</v>
          </cell>
          <cell r="BW162">
            <v>92901</v>
          </cell>
          <cell r="BX162">
            <v>26.13534838161053</v>
          </cell>
          <cell r="BY162">
            <v>670241</v>
          </cell>
          <cell r="BZ162">
            <v>92901</v>
          </cell>
          <cell r="CA162">
            <v>7.2145725019106361</v>
          </cell>
          <cell r="CB162">
            <v>8316000</v>
          </cell>
          <cell r="CC162">
            <v>34453</v>
          </cell>
          <cell r="CD162">
            <v>241.37230429860969</v>
          </cell>
          <cell r="CE162">
            <v>5213719</v>
          </cell>
          <cell r="CF162">
            <v>33358</v>
          </cell>
          <cell r="CG162">
            <v>156.29591102584087</v>
          </cell>
          <cell r="CH162">
            <v>12890690</v>
          </cell>
          <cell r="CI162">
            <v>92901</v>
          </cell>
          <cell r="CJ162">
            <v>138.75727925425991</v>
          </cell>
          <cell r="CK162">
            <v>29816810</v>
          </cell>
          <cell r="CL162">
            <v>92901</v>
          </cell>
          <cell r="CM162">
            <v>320.95251934855384</v>
          </cell>
          <cell r="CN162" t="str">
            <v>N/A</v>
          </cell>
          <cell r="CO162" t="str">
            <v>N/A</v>
          </cell>
          <cell r="CP162" t="str">
            <v>N/A</v>
          </cell>
          <cell r="CQ162" t="str">
            <v>N/A</v>
          </cell>
          <cell r="CR162">
            <v>994</v>
          </cell>
          <cell r="CS162">
            <v>77435</v>
          </cell>
          <cell r="CT162">
            <v>994</v>
          </cell>
          <cell r="CU162">
            <v>77.902414486921529</v>
          </cell>
          <cell r="CV162">
            <v>47</v>
          </cell>
          <cell r="CW162">
            <v>245000</v>
          </cell>
          <cell r="CX162">
            <v>3151000</v>
          </cell>
          <cell r="CY162">
            <v>7.7753094255791813E-2</v>
          </cell>
          <cell r="CZ162">
            <v>511000</v>
          </cell>
          <cell r="DA162">
            <v>92901</v>
          </cell>
          <cell r="DB162">
            <v>5.500479004531706</v>
          </cell>
          <cell r="DC162">
            <v>442000</v>
          </cell>
          <cell r="DD162">
            <v>92901</v>
          </cell>
          <cell r="DE162">
            <v>4.7577528767182269</v>
          </cell>
          <cell r="DF162">
            <v>1282000</v>
          </cell>
          <cell r="DG162">
            <v>92901</v>
          </cell>
          <cell r="DH162">
            <v>13.79963617183884</v>
          </cell>
          <cell r="DI162">
            <v>28.1</v>
          </cell>
          <cell r="DJ162">
            <v>3306.0854092526688</v>
          </cell>
          <cell r="DK162">
            <v>6.7502165642465695E-3</v>
          </cell>
          <cell r="DL162">
            <v>0.45</v>
          </cell>
          <cell r="DM162">
            <v>33.64</v>
          </cell>
        </row>
        <row r="163">
          <cell r="B163" t="str">
            <v>Holroyd City Council</v>
          </cell>
          <cell r="C163">
            <v>3</v>
          </cell>
          <cell r="D163">
            <v>15419000</v>
          </cell>
          <cell r="E163">
            <v>30277</v>
          </cell>
          <cell r="F163">
            <v>509.26445816956766</v>
          </cell>
          <cell r="G163">
            <v>0</v>
          </cell>
          <cell r="H163">
            <v>0</v>
          </cell>
          <cell r="I163" t="str">
            <v>N/A</v>
          </cell>
          <cell r="J163">
            <v>6995000</v>
          </cell>
          <cell r="K163">
            <v>1772</v>
          </cell>
          <cell r="L163">
            <v>3947.5169300225734</v>
          </cell>
          <cell r="M163">
            <v>957000</v>
          </cell>
          <cell r="N163">
            <v>36733000</v>
          </cell>
          <cell r="O163">
            <v>2.6052867993357473E-2</v>
          </cell>
          <cell r="P163">
            <v>1844000</v>
          </cell>
          <cell r="Q163">
            <v>28297000</v>
          </cell>
          <cell r="R163">
            <v>6.5165918648619994E-2</v>
          </cell>
          <cell r="S163">
            <v>582000</v>
          </cell>
          <cell r="T163">
            <v>6010000</v>
          </cell>
          <cell r="U163">
            <v>9.6838602329450921E-2</v>
          </cell>
          <cell r="V163">
            <v>30141000</v>
          </cell>
          <cell r="W163">
            <v>49924000</v>
          </cell>
          <cell r="X163">
            <v>0.60373768127553884</v>
          </cell>
          <cell r="Y163">
            <v>6592000</v>
          </cell>
          <cell r="Z163">
            <v>49924000</v>
          </cell>
          <cell r="AA163">
            <v>0.13204070186683758</v>
          </cell>
          <cell r="AB163">
            <v>1284000</v>
          </cell>
          <cell r="AC163">
            <v>49924000</v>
          </cell>
          <cell r="AD163">
            <v>2.5719093021392518E-2</v>
          </cell>
          <cell r="AE163">
            <v>6987000</v>
          </cell>
          <cell r="AF163">
            <v>49924000</v>
          </cell>
          <cell r="AG163">
            <v>0.13995272814678311</v>
          </cell>
          <cell r="AH163">
            <v>2622000</v>
          </cell>
          <cell r="AI163">
            <v>49924000</v>
          </cell>
          <cell r="AJ163">
            <v>5.2519830141815563E-2</v>
          </cell>
          <cell r="AK163">
            <v>2298000</v>
          </cell>
          <cell r="AL163">
            <v>49924000</v>
          </cell>
          <cell r="AM163">
            <v>4.6029965547632404E-2</v>
          </cell>
          <cell r="AN163">
            <v>47135000</v>
          </cell>
          <cell r="AO163">
            <v>89928</v>
          </cell>
          <cell r="AP163">
            <v>524.14153545058264</v>
          </cell>
          <cell r="AQ163">
            <v>20021000</v>
          </cell>
          <cell r="AR163">
            <v>46529000</v>
          </cell>
          <cell r="AS163">
            <v>0.43029078639128288</v>
          </cell>
          <cell r="AT163">
            <v>11868000</v>
          </cell>
          <cell r="AU163">
            <v>46529000</v>
          </cell>
          <cell r="AV163">
            <v>0.25506673257538309</v>
          </cell>
          <cell r="AW163">
            <v>660000</v>
          </cell>
          <cell r="AX163">
            <v>46529000</v>
          </cell>
          <cell r="AY163">
            <v>1.4184702013797847E-2</v>
          </cell>
          <cell r="AZ163">
            <v>8280000</v>
          </cell>
          <cell r="BA163">
            <v>46529000</v>
          </cell>
          <cell r="BB163">
            <v>0.17795353435491842</v>
          </cell>
          <cell r="BC163">
            <v>5700000</v>
          </cell>
          <cell r="BD163">
            <v>46529000</v>
          </cell>
          <cell r="BE163">
            <v>0.12250424466461776</v>
          </cell>
          <cell r="BF163">
            <v>46741000</v>
          </cell>
          <cell r="BG163">
            <v>89928</v>
          </cell>
          <cell r="BH163">
            <v>519.76025264656164</v>
          </cell>
          <cell r="BI163">
            <v>16192000</v>
          </cell>
          <cell r="BJ163">
            <v>7689000</v>
          </cell>
          <cell r="BK163">
            <v>2.1058655221745353</v>
          </cell>
          <cell r="BL163">
            <v>2754000</v>
          </cell>
          <cell r="BM163">
            <v>43885000</v>
          </cell>
          <cell r="BN163">
            <v>6.2754927651817255E-2</v>
          </cell>
          <cell r="BO163">
            <v>6609000</v>
          </cell>
          <cell r="BP163">
            <v>8280000</v>
          </cell>
          <cell r="BQ163">
            <v>0.79818840579710149</v>
          </cell>
          <cell r="BR163">
            <v>369</v>
          </cell>
          <cell r="BS163" t="str">
            <v>On Time</v>
          </cell>
          <cell r="BT163" t="str">
            <v>On Time</v>
          </cell>
          <cell r="BU163" t="str">
            <v>On Time</v>
          </cell>
          <cell r="BV163">
            <v>2222000</v>
          </cell>
          <cell r="BW163">
            <v>89928</v>
          </cell>
          <cell r="BX163">
            <v>24.708655813539721</v>
          </cell>
          <cell r="BY163">
            <v>561384</v>
          </cell>
          <cell r="BZ163">
            <v>89928</v>
          </cell>
          <cell r="CA163">
            <v>6.2425940752602083</v>
          </cell>
          <cell r="CB163">
            <v>6013000</v>
          </cell>
          <cell r="CC163">
            <v>30272</v>
          </cell>
          <cell r="CD163">
            <v>198.63239957716701</v>
          </cell>
          <cell r="CE163">
            <v>3130307</v>
          </cell>
          <cell r="CF163">
            <v>33101</v>
          </cell>
          <cell r="CG163">
            <v>94.568351409322986</v>
          </cell>
          <cell r="CH163">
            <v>5646920</v>
          </cell>
          <cell r="CI163">
            <v>89928</v>
          </cell>
          <cell r="CJ163">
            <v>62.793790588025978</v>
          </cell>
          <cell r="CK163">
            <v>31169050</v>
          </cell>
          <cell r="CL163">
            <v>89928</v>
          </cell>
          <cell r="CM163">
            <v>346.60005782403698</v>
          </cell>
          <cell r="CN163" t="str">
            <v>N/A</v>
          </cell>
          <cell r="CO163" t="str">
            <v>N/A</v>
          </cell>
          <cell r="CP163" t="str">
            <v>N/A</v>
          </cell>
          <cell r="CQ163" t="str">
            <v>N/A</v>
          </cell>
          <cell r="CR163">
            <v>1016</v>
          </cell>
          <cell r="CS163">
            <v>81280</v>
          </cell>
          <cell r="CT163">
            <v>1016</v>
          </cell>
          <cell r="CU163">
            <v>80</v>
          </cell>
          <cell r="CV163">
            <v>70</v>
          </cell>
          <cell r="CW163">
            <v>194000</v>
          </cell>
          <cell r="CX163">
            <v>2908000</v>
          </cell>
          <cell r="CY163">
            <v>6.6712517193947732E-2</v>
          </cell>
          <cell r="CZ163">
            <v>853000</v>
          </cell>
          <cell r="DA163">
            <v>89928</v>
          </cell>
          <cell r="DB163">
            <v>9.4853660706342851</v>
          </cell>
          <cell r="DC163">
            <v>4576000</v>
          </cell>
          <cell r="DD163">
            <v>89928</v>
          </cell>
          <cell r="DE163">
            <v>50.885152566497645</v>
          </cell>
          <cell r="DF163">
            <v>6344000</v>
          </cell>
          <cell r="DG163">
            <v>89928</v>
          </cell>
          <cell r="DH163">
            <v>70.545325149008093</v>
          </cell>
          <cell r="DI163">
            <v>40.299999999999997</v>
          </cell>
          <cell r="DJ163">
            <v>2231.464019851117</v>
          </cell>
          <cell r="DK163">
            <v>1.2879661634196848E-2</v>
          </cell>
          <cell r="DL163">
            <v>0.79</v>
          </cell>
          <cell r="DM163">
            <v>29.58</v>
          </cell>
        </row>
        <row r="164">
          <cell r="B164" t="str">
            <v>Lane Cove Municipal Council</v>
          </cell>
          <cell r="C164">
            <v>2</v>
          </cell>
          <cell r="D164">
            <v>8945000</v>
          </cell>
          <cell r="E164">
            <v>12455</v>
          </cell>
          <cell r="F164">
            <v>718.18546768366116</v>
          </cell>
          <cell r="G164">
            <v>0</v>
          </cell>
          <cell r="H164">
            <v>0</v>
          </cell>
          <cell r="I164" t="str">
            <v>N/A</v>
          </cell>
          <cell r="J164">
            <v>3112000</v>
          </cell>
          <cell r="K164">
            <v>663</v>
          </cell>
          <cell r="L164">
            <v>4693.8159879336354</v>
          </cell>
          <cell r="M164">
            <v>332000</v>
          </cell>
          <cell r="N164">
            <v>17836000</v>
          </cell>
          <cell r="O164">
            <v>1.8614039022202288E-2</v>
          </cell>
          <cell r="P164">
            <v>816000</v>
          </cell>
          <cell r="Q164">
            <v>14647000</v>
          </cell>
          <cell r="R164">
            <v>5.571106711271933E-2</v>
          </cell>
          <cell r="S164">
            <v>254000</v>
          </cell>
          <cell r="T164">
            <v>2119000</v>
          </cell>
          <cell r="U164">
            <v>0.11986786219915055</v>
          </cell>
          <cell r="V164">
            <v>15463000</v>
          </cell>
          <cell r="W164">
            <v>22072000</v>
          </cell>
          <cell r="X164">
            <v>0.70057085900688654</v>
          </cell>
          <cell r="Y164">
            <v>2373000</v>
          </cell>
          <cell r="Z164">
            <v>22072000</v>
          </cell>
          <cell r="AA164">
            <v>0.10751177963030083</v>
          </cell>
          <cell r="AB164">
            <v>823000</v>
          </cell>
          <cell r="AC164">
            <v>22072000</v>
          </cell>
          <cell r="AD164">
            <v>3.7287060529177241E-2</v>
          </cell>
          <cell r="AE164">
            <v>1590000</v>
          </cell>
          <cell r="AF164">
            <v>22072000</v>
          </cell>
          <cell r="AG164">
            <v>7.2036969916636467E-2</v>
          </cell>
          <cell r="AH164">
            <v>863000</v>
          </cell>
          <cell r="AI164">
            <v>22072000</v>
          </cell>
          <cell r="AJ164">
            <v>3.9099311344690107E-2</v>
          </cell>
          <cell r="AK164">
            <v>960000</v>
          </cell>
          <cell r="AL164">
            <v>22072000</v>
          </cell>
          <cell r="AM164">
            <v>4.3494019572308806E-2</v>
          </cell>
          <cell r="AN164">
            <v>21432000</v>
          </cell>
          <cell r="AO164">
            <v>32111</v>
          </cell>
          <cell r="AP164">
            <v>667.43483541465537</v>
          </cell>
          <cell r="AQ164">
            <v>8667000</v>
          </cell>
          <cell r="AR164">
            <v>22576000</v>
          </cell>
          <cell r="AS164">
            <v>0.38390326009922043</v>
          </cell>
          <cell r="AT164">
            <v>6559000</v>
          </cell>
          <cell r="AU164">
            <v>22576000</v>
          </cell>
          <cell r="AV164">
            <v>0.29052976612331682</v>
          </cell>
          <cell r="AW164">
            <v>0</v>
          </cell>
          <cell r="AX164">
            <v>22576000</v>
          </cell>
          <cell r="AY164">
            <v>0</v>
          </cell>
          <cell r="AZ164">
            <v>4341000</v>
          </cell>
          <cell r="BA164">
            <v>22576000</v>
          </cell>
          <cell r="BB164">
            <v>0.19228384124734232</v>
          </cell>
          <cell r="BC164">
            <v>3009000</v>
          </cell>
          <cell r="BD164">
            <v>22576000</v>
          </cell>
          <cell r="BE164">
            <v>0.13328313253012047</v>
          </cell>
          <cell r="BF164">
            <v>22576000</v>
          </cell>
          <cell r="BG164">
            <v>32111</v>
          </cell>
          <cell r="BH164">
            <v>703.06125626732273</v>
          </cell>
          <cell r="BI164">
            <v>13613000</v>
          </cell>
          <cell r="BJ164">
            <v>2394000</v>
          </cell>
          <cell r="BK164">
            <v>5.6862990810359229</v>
          </cell>
          <cell r="BL164">
            <v>3000</v>
          </cell>
          <cell r="BM164">
            <v>20575000</v>
          </cell>
          <cell r="BN164">
            <v>1.4580801944106926E-4</v>
          </cell>
          <cell r="BO164">
            <v>2630000</v>
          </cell>
          <cell r="BP164">
            <v>4341000</v>
          </cell>
          <cell r="BQ164">
            <v>0.60585118636258928</v>
          </cell>
          <cell r="BR164">
            <v>153</v>
          </cell>
          <cell r="BS164" t="str">
            <v>On Time</v>
          </cell>
          <cell r="BT164" t="str">
            <v>On Time</v>
          </cell>
          <cell r="BU164" t="str">
            <v>On Time</v>
          </cell>
          <cell r="BV164">
            <v>1731000</v>
          </cell>
          <cell r="BW164">
            <v>32111</v>
          </cell>
          <cell r="BX164">
            <v>53.906760923048175</v>
          </cell>
          <cell r="BY164">
            <v>485696</v>
          </cell>
          <cell r="BZ164">
            <v>32111</v>
          </cell>
          <cell r="CA164">
            <v>15.12553330634362</v>
          </cell>
          <cell r="CB164">
            <v>3469000</v>
          </cell>
          <cell r="CC164">
            <v>12431</v>
          </cell>
          <cell r="CD164">
            <v>279.06041348242297</v>
          </cell>
          <cell r="CE164">
            <v>2268425</v>
          </cell>
          <cell r="CF164">
            <v>12431</v>
          </cell>
          <cell r="CG164">
            <v>182.48129675810475</v>
          </cell>
          <cell r="CH164">
            <v>5300700</v>
          </cell>
          <cell r="CI164">
            <v>32111</v>
          </cell>
          <cell r="CJ164">
            <v>165.07427361340351</v>
          </cell>
          <cell r="CK164">
            <v>6514100</v>
          </cell>
          <cell r="CL164">
            <v>32111</v>
          </cell>
          <cell r="CM164">
            <v>202.86194761919592</v>
          </cell>
          <cell r="CN164" t="str">
            <v>N/A</v>
          </cell>
          <cell r="CO164" t="str">
            <v>N/A</v>
          </cell>
          <cell r="CP164" t="str">
            <v>N/A</v>
          </cell>
          <cell r="CQ164" t="str">
            <v>N/A</v>
          </cell>
          <cell r="CR164">
            <v>329</v>
          </cell>
          <cell r="CS164">
            <v>27025</v>
          </cell>
          <cell r="CT164">
            <v>329</v>
          </cell>
          <cell r="CU164">
            <v>82.142857142857139</v>
          </cell>
          <cell r="CV164">
            <v>67</v>
          </cell>
          <cell r="CW164">
            <v>241000</v>
          </cell>
          <cell r="CX164">
            <v>2106000</v>
          </cell>
          <cell r="CY164">
            <v>0.1144349477682811</v>
          </cell>
          <cell r="CZ164">
            <v>601000</v>
          </cell>
          <cell r="DA164">
            <v>32111</v>
          </cell>
          <cell r="DB164">
            <v>18.716327738158263</v>
          </cell>
          <cell r="DC164">
            <v>2801000</v>
          </cell>
          <cell r="DD164">
            <v>32111</v>
          </cell>
          <cell r="DE164">
            <v>87.228675531749246</v>
          </cell>
          <cell r="DF164">
            <v>1992000</v>
          </cell>
          <cell r="DG164">
            <v>32111</v>
          </cell>
          <cell r="DH164">
            <v>62.034816729469654</v>
          </cell>
          <cell r="DI164">
            <v>10.6</v>
          </cell>
          <cell r="DJ164">
            <v>3029.3396226415093</v>
          </cell>
          <cell r="DK164">
            <v>4.4626033343850846E-3</v>
          </cell>
          <cell r="DL164">
            <v>0.23</v>
          </cell>
          <cell r="DM164">
            <v>17.75</v>
          </cell>
        </row>
        <row r="165">
          <cell r="B165" t="str">
            <v>Pittwater Council</v>
          </cell>
          <cell r="C165">
            <v>2</v>
          </cell>
          <cell r="D165">
            <v>20158000</v>
          </cell>
          <cell r="E165">
            <v>21098</v>
          </cell>
          <cell r="F165">
            <v>955.44601384017437</v>
          </cell>
          <cell r="G165">
            <v>46000</v>
          </cell>
          <cell r="H165">
            <v>15</v>
          </cell>
          <cell r="I165">
            <v>3066.6666666666665</v>
          </cell>
          <cell r="J165">
            <v>2676000</v>
          </cell>
          <cell r="K165">
            <v>1408</v>
          </cell>
          <cell r="L165">
            <v>1900.5681818181818</v>
          </cell>
          <cell r="M165">
            <v>1197000</v>
          </cell>
          <cell r="N165">
            <v>37167000</v>
          </cell>
          <cell r="O165">
            <v>3.220598918395351E-2</v>
          </cell>
          <cell r="P165">
            <v>945000</v>
          </cell>
          <cell r="Q165">
            <v>27586000</v>
          </cell>
          <cell r="R165">
            <v>3.425650692380193E-2</v>
          </cell>
          <cell r="S165">
            <v>525000</v>
          </cell>
          <cell r="T165">
            <v>8111000</v>
          </cell>
          <cell r="U165">
            <v>6.4726914067315997E-2</v>
          </cell>
          <cell r="V165">
            <v>28531000</v>
          </cell>
          <cell r="W165">
            <v>62301000</v>
          </cell>
          <cell r="X165">
            <v>0.45795412593698337</v>
          </cell>
          <cell r="Y165">
            <v>8636000</v>
          </cell>
          <cell r="Z165">
            <v>62301000</v>
          </cell>
          <cell r="AA165">
            <v>0.13861735766681113</v>
          </cell>
          <cell r="AB165">
            <v>726000</v>
          </cell>
          <cell r="AC165">
            <v>62301000</v>
          </cell>
          <cell r="AD165">
            <v>1.1653103481485048E-2</v>
          </cell>
          <cell r="AE165">
            <v>3517000</v>
          </cell>
          <cell r="AF165">
            <v>62301000</v>
          </cell>
          <cell r="AG165">
            <v>5.6451742347634871E-2</v>
          </cell>
          <cell r="AH165">
            <v>18284000</v>
          </cell>
          <cell r="AI165">
            <v>62301000</v>
          </cell>
          <cell r="AJ165">
            <v>0.29347843533811657</v>
          </cell>
          <cell r="AK165">
            <v>2607000</v>
          </cell>
          <cell r="AL165">
            <v>62301000</v>
          </cell>
          <cell r="AM165">
            <v>4.184523522896904E-2</v>
          </cell>
          <cell r="AN165">
            <v>45670000</v>
          </cell>
          <cell r="AO165">
            <v>56737</v>
          </cell>
          <cell r="AP165">
            <v>804.94210127430074</v>
          </cell>
          <cell r="AQ165">
            <v>16588000</v>
          </cell>
          <cell r="AR165">
            <v>43150000</v>
          </cell>
          <cell r="AS165">
            <v>0.38442641946697564</v>
          </cell>
          <cell r="AT165">
            <v>8478000</v>
          </cell>
          <cell r="AU165">
            <v>43150000</v>
          </cell>
          <cell r="AV165">
            <v>0.19647740440324449</v>
          </cell>
          <cell r="AW165">
            <v>425000</v>
          </cell>
          <cell r="AX165">
            <v>43150000</v>
          </cell>
          <cell r="AY165">
            <v>9.8493626882966388E-3</v>
          </cell>
          <cell r="AZ165">
            <v>5251000</v>
          </cell>
          <cell r="BA165">
            <v>43150000</v>
          </cell>
          <cell r="BB165">
            <v>0.12169177288528389</v>
          </cell>
          <cell r="BC165">
            <v>12408000</v>
          </cell>
          <cell r="BD165">
            <v>43150000</v>
          </cell>
          <cell r="BE165">
            <v>0.28755504055619929</v>
          </cell>
          <cell r="BF165">
            <v>43132000</v>
          </cell>
          <cell r="BG165">
            <v>56737</v>
          </cell>
          <cell r="BH165">
            <v>760.20938717239187</v>
          </cell>
          <cell r="BI165">
            <v>17618000</v>
          </cell>
          <cell r="BJ165">
            <v>6616000</v>
          </cell>
          <cell r="BK165">
            <v>2.662938331318017</v>
          </cell>
          <cell r="BL165">
            <v>2275000</v>
          </cell>
          <cell r="BM165">
            <v>43490000</v>
          </cell>
          <cell r="BN165">
            <v>5.2310876063462866E-2</v>
          </cell>
          <cell r="BO165">
            <v>9795000</v>
          </cell>
          <cell r="BP165">
            <v>5251000</v>
          </cell>
          <cell r="BQ165">
            <v>1.8653589792420491</v>
          </cell>
          <cell r="BR165">
            <v>295</v>
          </cell>
          <cell r="BS165" t="str">
            <v>On Time</v>
          </cell>
          <cell r="BT165" t="str">
            <v>&lt;=2</v>
          </cell>
          <cell r="BU165" t="str">
            <v>On Time</v>
          </cell>
          <cell r="BV165">
            <v>1310000</v>
          </cell>
          <cell r="BW165">
            <v>56737</v>
          </cell>
          <cell r="BX165">
            <v>23.088989548266564</v>
          </cell>
          <cell r="BY165">
            <v>363666</v>
          </cell>
          <cell r="BZ165">
            <v>56737</v>
          </cell>
          <cell r="CA165">
            <v>6.4096797504274106</v>
          </cell>
          <cell r="CB165">
            <v>5651000</v>
          </cell>
          <cell r="CC165">
            <v>20257</v>
          </cell>
          <cell r="CD165">
            <v>278.96529594707999</v>
          </cell>
          <cell r="CE165">
            <v>4253044</v>
          </cell>
          <cell r="CF165">
            <v>20257</v>
          </cell>
          <cell r="CG165">
            <v>209.95428740682235</v>
          </cell>
          <cell r="CH165">
            <v>10790000</v>
          </cell>
          <cell r="CI165">
            <v>56737</v>
          </cell>
          <cell r="CJ165">
            <v>190.17572307312687</v>
          </cell>
          <cell r="CK165">
            <v>14112000</v>
          </cell>
          <cell r="CL165">
            <v>56737</v>
          </cell>
          <cell r="CM165">
            <v>248.72658053827308</v>
          </cell>
          <cell r="CN165" t="str">
            <v>N/A</v>
          </cell>
          <cell r="CO165" t="str">
            <v>N/A</v>
          </cell>
          <cell r="CP165" t="str">
            <v>N/A</v>
          </cell>
          <cell r="CQ165" t="str">
            <v>N/A</v>
          </cell>
          <cell r="CR165">
            <v>925</v>
          </cell>
          <cell r="CS165">
            <v>78265</v>
          </cell>
          <cell r="CT165">
            <v>925</v>
          </cell>
          <cell r="CU165">
            <v>84.610810810810804</v>
          </cell>
          <cell r="CV165">
            <v>75</v>
          </cell>
          <cell r="CW165">
            <v>777000</v>
          </cell>
          <cell r="CX165">
            <v>3098000</v>
          </cell>
          <cell r="CY165">
            <v>0.25080697224015491</v>
          </cell>
          <cell r="CZ165">
            <v>1325000</v>
          </cell>
          <cell r="DA165">
            <v>56737</v>
          </cell>
          <cell r="DB165">
            <v>23.353367291185645</v>
          </cell>
          <cell r="DC165">
            <v>3362000</v>
          </cell>
          <cell r="DD165">
            <v>56737</v>
          </cell>
          <cell r="DE165">
            <v>59.25586477959709</v>
          </cell>
          <cell r="DF165">
            <v>1979000</v>
          </cell>
          <cell r="DG165">
            <v>56737</v>
          </cell>
          <cell r="DH165">
            <v>34.880236882457659</v>
          </cell>
          <cell r="DI165">
            <v>90.6</v>
          </cell>
          <cell r="DJ165">
            <v>626.23620309050773</v>
          </cell>
          <cell r="DK165">
            <v>5.2711958173370377E-3</v>
          </cell>
          <cell r="DL165">
            <v>0.28999999999999998</v>
          </cell>
          <cell r="DM165">
            <v>7.74</v>
          </cell>
        </row>
        <row r="166">
          <cell r="B166" t="str">
            <v>Lake Macquarie City Council</v>
          </cell>
          <cell r="C166">
            <v>5</v>
          </cell>
          <cell r="D166">
            <v>42795000</v>
          </cell>
          <cell r="E166">
            <v>70304</v>
          </cell>
          <cell r="F166">
            <v>608.71358670914879</v>
          </cell>
          <cell r="G166">
            <v>104000</v>
          </cell>
          <cell r="H166">
            <v>89</v>
          </cell>
          <cell r="I166">
            <v>1168.5393258426966</v>
          </cell>
          <cell r="J166">
            <v>7060000</v>
          </cell>
          <cell r="K166">
            <v>3056</v>
          </cell>
          <cell r="L166">
            <v>2310.2094240837696</v>
          </cell>
          <cell r="M166">
            <v>1668000</v>
          </cell>
          <cell r="N166">
            <v>77406000</v>
          </cell>
          <cell r="O166">
            <v>2.1548717153709016E-2</v>
          </cell>
          <cell r="P166">
            <v>2497000</v>
          </cell>
          <cell r="Q166">
            <v>59427000</v>
          </cell>
          <cell r="R166">
            <v>4.2017937974321434E-2</v>
          </cell>
          <cell r="S166">
            <v>2079000</v>
          </cell>
          <cell r="T166">
            <v>13403000</v>
          </cell>
          <cell r="U166">
            <v>0.15511452659852271</v>
          </cell>
          <cell r="V166">
            <v>61924000</v>
          </cell>
          <cell r="W166">
            <v>130119000</v>
          </cell>
          <cell r="X166">
            <v>0.47590282741183071</v>
          </cell>
          <cell r="Y166">
            <v>15482000</v>
          </cell>
          <cell r="Z166">
            <v>130119000</v>
          </cell>
          <cell r="AA166">
            <v>0.11898339212566958</v>
          </cell>
          <cell r="AB166">
            <v>3712000</v>
          </cell>
          <cell r="AC166">
            <v>130119000</v>
          </cell>
          <cell r="AD166">
            <v>2.85277323065809E-2</v>
          </cell>
          <cell r="AE166">
            <v>20883000</v>
          </cell>
          <cell r="AF166">
            <v>130119000</v>
          </cell>
          <cell r="AG166">
            <v>0.16049155004265325</v>
          </cell>
          <cell r="AH166">
            <v>20001000</v>
          </cell>
          <cell r="AI166">
            <v>130119000</v>
          </cell>
          <cell r="AJ166">
            <v>0.15371313951075555</v>
          </cell>
          <cell r="AK166">
            <v>8117000</v>
          </cell>
          <cell r="AL166">
            <v>130119000</v>
          </cell>
          <cell r="AM166">
            <v>6.2381358602510012E-2</v>
          </cell>
          <cell r="AN166">
            <v>110878000</v>
          </cell>
          <cell r="AO166">
            <v>188540</v>
          </cell>
          <cell r="AP166">
            <v>588.08740850747847</v>
          </cell>
          <cell r="AQ166">
            <v>41723000</v>
          </cell>
          <cell r="AR166">
            <v>101262000</v>
          </cell>
          <cell r="AS166">
            <v>0.41203017913926249</v>
          </cell>
          <cell r="AT166">
            <v>20996000</v>
          </cell>
          <cell r="AU166">
            <v>101262000</v>
          </cell>
          <cell r="AV166">
            <v>0.2073433272106022</v>
          </cell>
          <cell r="AW166">
            <v>1522000</v>
          </cell>
          <cell r="AX166">
            <v>101262000</v>
          </cell>
          <cell r="AY166">
            <v>1.5030317394481641E-2</v>
          </cell>
          <cell r="AZ166">
            <v>23783000</v>
          </cell>
          <cell r="BA166">
            <v>101262000</v>
          </cell>
          <cell r="BB166">
            <v>0.23486599119116747</v>
          </cell>
          <cell r="BC166">
            <v>13238000</v>
          </cell>
          <cell r="BD166">
            <v>101262000</v>
          </cell>
          <cell r="BE166">
            <v>0.13073018506448619</v>
          </cell>
          <cell r="BF166">
            <v>101262000</v>
          </cell>
          <cell r="BG166">
            <v>188540</v>
          </cell>
          <cell r="BH166">
            <v>537.08496870690567</v>
          </cell>
          <cell r="BI166">
            <v>47937000</v>
          </cell>
          <cell r="BJ166">
            <v>17190000</v>
          </cell>
          <cell r="BK166">
            <v>2.7886561954624782</v>
          </cell>
          <cell r="BL166">
            <v>6080000</v>
          </cell>
          <cell r="BM166">
            <v>104217000</v>
          </cell>
          <cell r="BN166">
            <v>5.8339810203709569E-2</v>
          </cell>
          <cell r="BO166">
            <v>148065000</v>
          </cell>
          <cell r="BP166">
            <v>23783000</v>
          </cell>
          <cell r="BQ166">
            <v>6.2256653912458475</v>
          </cell>
          <cell r="BR166">
            <v>794</v>
          </cell>
          <cell r="BS166" t="str">
            <v>On Time</v>
          </cell>
          <cell r="BT166" t="str">
            <v>On Time</v>
          </cell>
          <cell r="BU166" t="str">
            <v>On Time</v>
          </cell>
          <cell r="BV166">
            <v>4878000</v>
          </cell>
          <cell r="BW166">
            <v>188540</v>
          </cell>
          <cell r="BX166">
            <v>25.872493900498569</v>
          </cell>
          <cell r="BY166">
            <v>1859403</v>
          </cell>
          <cell r="BZ166">
            <v>188540</v>
          </cell>
          <cell r="CA166">
            <v>9.8621141402354944</v>
          </cell>
          <cell r="CB166">
            <v>10901000</v>
          </cell>
          <cell r="CC166">
            <v>70073</v>
          </cell>
          <cell r="CD166">
            <v>155.56633796183979</v>
          </cell>
          <cell r="CE166">
            <v>9373000</v>
          </cell>
          <cell r="CF166">
            <v>69984</v>
          </cell>
          <cell r="CG166">
            <v>133.9306127114769</v>
          </cell>
          <cell r="CH166">
            <v>24446650</v>
          </cell>
          <cell r="CI166">
            <v>188540</v>
          </cell>
          <cell r="CJ166">
            <v>129.66293624695024</v>
          </cell>
          <cell r="CK166">
            <v>66819660</v>
          </cell>
          <cell r="CL166">
            <v>188540</v>
          </cell>
          <cell r="CM166">
            <v>354.40574944308901</v>
          </cell>
          <cell r="CN166" t="str">
            <v>N/A</v>
          </cell>
          <cell r="CO166" t="str">
            <v>N/A</v>
          </cell>
          <cell r="CP166" t="str">
            <v>N/A</v>
          </cell>
          <cell r="CQ166" t="str">
            <v>N/A</v>
          </cell>
          <cell r="CR166">
            <v>3882</v>
          </cell>
          <cell r="CS166">
            <v>331811</v>
          </cell>
          <cell r="CT166">
            <v>3882</v>
          </cell>
          <cell r="CU166">
            <v>85.474240082431734</v>
          </cell>
          <cell r="CV166">
            <v>52</v>
          </cell>
          <cell r="CW166">
            <v>386000</v>
          </cell>
          <cell r="CX166">
            <v>6389000</v>
          </cell>
          <cell r="CY166">
            <v>6.0416340585381124E-2</v>
          </cell>
          <cell r="CZ166">
            <v>2223000</v>
          </cell>
          <cell r="DA166">
            <v>188540</v>
          </cell>
          <cell r="DB166">
            <v>11.790601463880344</v>
          </cell>
          <cell r="DC166">
            <v>8180000</v>
          </cell>
          <cell r="DD166">
            <v>188540</v>
          </cell>
          <cell r="DE166">
            <v>43.386018881934866</v>
          </cell>
          <cell r="DF166">
            <v>3760000</v>
          </cell>
          <cell r="DG166">
            <v>188540</v>
          </cell>
          <cell r="DH166">
            <v>19.942717725681554</v>
          </cell>
          <cell r="DI166">
            <v>643.5</v>
          </cell>
          <cell r="DJ166">
            <v>292.991452991453</v>
          </cell>
          <cell r="DK166">
            <v>1.0301306476982131E-2</v>
          </cell>
          <cell r="DL166">
            <v>1.9</v>
          </cell>
          <cell r="DM166">
            <v>4.01</v>
          </cell>
        </row>
        <row r="167">
          <cell r="B167" t="str">
            <v>Waverley Council</v>
          </cell>
          <cell r="C167">
            <v>2</v>
          </cell>
          <cell r="D167">
            <v>13935000</v>
          </cell>
          <cell r="E167">
            <v>26150</v>
          </cell>
          <cell r="F167">
            <v>532.88718929254298</v>
          </cell>
          <cell r="G167">
            <v>0</v>
          </cell>
          <cell r="H167">
            <v>0</v>
          </cell>
          <cell r="I167" t="str">
            <v>N/A</v>
          </cell>
          <cell r="J167">
            <v>5055000</v>
          </cell>
          <cell r="K167">
            <v>1550</v>
          </cell>
          <cell r="L167">
            <v>3261.2903225806454</v>
          </cell>
          <cell r="M167">
            <v>1040000</v>
          </cell>
          <cell r="N167">
            <v>44009000</v>
          </cell>
          <cell r="O167">
            <v>2.3631529914335703E-2</v>
          </cell>
          <cell r="P167">
            <v>1293000</v>
          </cell>
          <cell r="Q167">
            <v>26473000</v>
          </cell>
          <cell r="R167">
            <v>4.8842216598043289E-2</v>
          </cell>
          <cell r="S167">
            <v>2213000</v>
          </cell>
          <cell r="T167">
            <v>14030000</v>
          </cell>
          <cell r="U167">
            <v>0.15773342836778331</v>
          </cell>
          <cell r="V167">
            <v>27766000</v>
          </cell>
          <cell r="W167">
            <v>63094000</v>
          </cell>
          <cell r="X167">
            <v>0.4400735410657115</v>
          </cell>
          <cell r="Y167">
            <v>16243000</v>
          </cell>
          <cell r="Z167">
            <v>63094000</v>
          </cell>
          <cell r="AA167">
            <v>0.2574412780930041</v>
          </cell>
          <cell r="AB167">
            <v>1550000</v>
          </cell>
          <cell r="AC167">
            <v>63094000</v>
          </cell>
          <cell r="AD167">
            <v>2.4566519795860144E-2</v>
          </cell>
          <cell r="AE167">
            <v>4762000</v>
          </cell>
          <cell r="AF167">
            <v>63094000</v>
          </cell>
          <cell r="AG167">
            <v>7.5474688559926464E-2</v>
          </cell>
          <cell r="AH167">
            <v>7381000</v>
          </cell>
          <cell r="AI167">
            <v>63094000</v>
          </cell>
          <cell r="AJ167">
            <v>0.11698418233112499</v>
          </cell>
          <cell r="AK167">
            <v>5392000</v>
          </cell>
          <cell r="AL167">
            <v>63094000</v>
          </cell>
          <cell r="AM167">
            <v>8.5459790154372842E-2</v>
          </cell>
          <cell r="AN167">
            <v>56312000</v>
          </cell>
          <cell r="AO167">
            <v>62396</v>
          </cell>
          <cell r="AP167">
            <v>902.49374959933334</v>
          </cell>
          <cell r="AQ167">
            <v>28735000</v>
          </cell>
          <cell r="AR167">
            <v>54258000</v>
          </cell>
          <cell r="AS167">
            <v>0.52959932175900326</v>
          </cell>
          <cell r="AT167">
            <v>7891000</v>
          </cell>
          <cell r="AU167">
            <v>54258000</v>
          </cell>
          <cell r="AV167">
            <v>0.14543477459545137</v>
          </cell>
          <cell r="AW167">
            <v>635000</v>
          </cell>
          <cell r="AX167">
            <v>54258000</v>
          </cell>
          <cell r="AY167">
            <v>1.1703343285782741E-2</v>
          </cell>
          <cell r="AZ167">
            <v>6166000</v>
          </cell>
          <cell r="BA167">
            <v>54258000</v>
          </cell>
          <cell r="BB167">
            <v>0.11364222787423053</v>
          </cell>
          <cell r="BC167">
            <v>10831000</v>
          </cell>
          <cell r="BD167">
            <v>54258000</v>
          </cell>
          <cell r="BE167">
            <v>0.1996203324855321</v>
          </cell>
          <cell r="BF167">
            <v>54481000</v>
          </cell>
          <cell r="BG167">
            <v>62396</v>
          </cell>
          <cell r="BH167">
            <v>873.1489198025514</v>
          </cell>
          <cell r="BI167">
            <v>26276000</v>
          </cell>
          <cell r="BJ167">
            <v>7420000</v>
          </cell>
          <cell r="BK167">
            <v>3.5412398921832886</v>
          </cell>
          <cell r="BL167">
            <v>2196000</v>
          </cell>
          <cell r="BM167">
            <v>52932000</v>
          </cell>
          <cell r="BN167">
            <v>4.1487191113126272E-2</v>
          </cell>
          <cell r="BO167">
            <v>13454000</v>
          </cell>
          <cell r="BP167">
            <v>6166000</v>
          </cell>
          <cell r="BQ167">
            <v>2.1819656179046385</v>
          </cell>
          <cell r="BR167">
            <v>451.8</v>
          </cell>
          <cell r="BS167" t="str">
            <v>&lt;=2</v>
          </cell>
          <cell r="BT167" t="str">
            <v>&lt;=16</v>
          </cell>
          <cell r="BU167" t="str">
            <v>On Time</v>
          </cell>
          <cell r="BV167">
            <v>3641000</v>
          </cell>
          <cell r="BW167">
            <v>62396</v>
          </cell>
          <cell r="BX167">
            <v>58.353099557663953</v>
          </cell>
          <cell r="BY167">
            <v>654321</v>
          </cell>
          <cell r="BZ167">
            <v>62396</v>
          </cell>
          <cell r="CA167">
            <v>10.486585678569138</v>
          </cell>
          <cell r="CB167">
            <v>8356000</v>
          </cell>
          <cell r="CC167">
            <v>27387</v>
          </cell>
          <cell r="CD167">
            <v>305.10826304451018</v>
          </cell>
          <cell r="CE167">
            <v>6236671</v>
          </cell>
          <cell r="CF167">
            <v>27387</v>
          </cell>
          <cell r="CG167">
            <v>227.72377405338298</v>
          </cell>
          <cell r="CH167">
            <v>8211400</v>
          </cell>
          <cell r="CI167">
            <v>62396</v>
          </cell>
          <cell r="CJ167">
            <v>131.6013847041477</v>
          </cell>
          <cell r="CK167">
            <v>18816800</v>
          </cell>
          <cell r="CL167">
            <v>62396</v>
          </cell>
          <cell r="CM167">
            <v>301.57061350086542</v>
          </cell>
          <cell r="CN167" t="str">
            <v>N/A</v>
          </cell>
          <cell r="CO167" t="str">
            <v>N/A</v>
          </cell>
          <cell r="CP167" t="str">
            <v>N/A</v>
          </cell>
          <cell r="CQ167" t="str">
            <v>N/A</v>
          </cell>
          <cell r="CR167">
            <v>1012</v>
          </cell>
          <cell r="CS167">
            <v>89056</v>
          </cell>
          <cell r="CT167">
            <v>1012</v>
          </cell>
          <cell r="CU167">
            <v>88</v>
          </cell>
          <cell r="CV167">
            <v>75</v>
          </cell>
          <cell r="CW167">
            <v>213000</v>
          </cell>
          <cell r="CX167">
            <v>2047000</v>
          </cell>
          <cell r="CY167">
            <v>0.10405471421592574</v>
          </cell>
          <cell r="CZ167">
            <v>1509000</v>
          </cell>
          <cell r="DA167">
            <v>62396</v>
          </cell>
          <cell r="DB167">
            <v>24.18424257965254</v>
          </cell>
          <cell r="DC167">
            <v>5484000</v>
          </cell>
          <cell r="DD167">
            <v>62396</v>
          </cell>
          <cell r="DE167">
            <v>87.890249374959936</v>
          </cell>
          <cell r="DF167">
            <v>5440000</v>
          </cell>
          <cell r="DG167">
            <v>62396</v>
          </cell>
          <cell r="DH167">
            <v>87.185075966408107</v>
          </cell>
          <cell r="DI167">
            <v>9.1999999999999993</v>
          </cell>
          <cell r="DJ167">
            <v>6782.1739130434789</v>
          </cell>
          <cell r="DK167">
            <v>-7.8506383653287326E-3</v>
          </cell>
          <cell r="DL167">
            <v>0.33</v>
          </cell>
          <cell r="DM167">
            <v>20.53</v>
          </cell>
        </row>
        <row r="168">
          <cell r="B168" t="str">
            <v>Manly Council</v>
          </cell>
          <cell r="C168">
            <v>2</v>
          </cell>
          <cell r="D168">
            <v>13579000</v>
          </cell>
          <cell r="E168">
            <v>16253</v>
          </cell>
          <cell r="F168">
            <v>835.47652741032425</v>
          </cell>
          <cell r="G168">
            <v>0</v>
          </cell>
          <cell r="H168">
            <v>0</v>
          </cell>
          <cell r="I168" t="str">
            <v>N/A</v>
          </cell>
          <cell r="J168">
            <v>3396000</v>
          </cell>
          <cell r="K168">
            <v>1004</v>
          </cell>
          <cell r="L168">
            <v>3382.4701195219122</v>
          </cell>
          <cell r="M168">
            <v>929000</v>
          </cell>
          <cell r="N168">
            <v>27803000</v>
          </cell>
          <cell r="O168">
            <v>3.3413660396360102E-2</v>
          </cell>
          <cell r="P168">
            <v>492000</v>
          </cell>
          <cell r="Q168">
            <v>20042000</v>
          </cell>
          <cell r="R168">
            <v>2.4548448258656822E-2</v>
          </cell>
          <cell r="S168">
            <v>174000</v>
          </cell>
          <cell r="T168">
            <v>7095000</v>
          </cell>
          <cell r="U168">
            <v>2.4524312896405921E-2</v>
          </cell>
          <cell r="V168">
            <v>20534000</v>
          </cell>
          <cell r="W168">
            <v>36253000</v>
          </cell>
          <cell r="X168">
            <v>0.56640829724436603</v>
          </cell>
          <cell r="Y168">
            <v>7269000</v>
          </cell>
          <cell r="Z168">
            <v>36253000</v>
          </cell>
          <cell r="AA168">
            <v>0.20050754420323835</v>
          </cell>
          <cell r="AB168">
            <v>1167000</v>
          </cell>
          <cell r="AC168">
            <v>36253000</v>
          </cell>
          <cell r="AD168">
            <v>3.2190439411910736E-2</v>
          </cell>
          <cell r="AE168">
            <v>3428000</v>
          </cell>
          <cell r="AF168">
            <v>36253000</v>
          </cell>
          <cell r="AG168">
            <v>9.4557691777232222E-2</v>
          </cell>
          <cell r="AH168">
            <v>921000</v>
          </cell>
          <cell r="AI168">
            <v>36253000</v>
          </cell>
          <cell r="AJ168">
            <v>2.5404794086006675E-2</v>
          </cell>
          <cell r="AK168">
            <v>2934000</v>
          </cell>
          <cell r="AL168">
            <v>36253000</v>
          </cell>
          <cell r="AM168">
            <v>8.0931233277246023E-2</v>
          </cell>
          <cell r="AN168">
            <v>35816000</v>
          </cell>
          <cell r="AO168">
            <v>38790</v>
          </cell>
          <cell r="AP168">
            <v>923.33075534931686</v>
          </cell>
          <cell r="AQ168">
            <v>18082000</v>
          </cell>
          <cell r="AR168">
            <v>38063000</v>
          </cell>
          <cell r="AS168">
            <v>0.47505451488321992</v>
          </cell>
          <cell r="AT168">
            <v>9838000</v>
          </cell>
          <cell r="AU168">
            <v>38063000</v>
          </cell>
          <cell r="AV168">
            <v>0.25846622704463651</v>
          </cell>
          <cell r="AW168">
            <v>329000</v>
          </cell>
          <cell r="AX168">
            <v>38063000</v>
          </cell>
          <cell r="AY168">
            <v>8.6435646165567617E-3</v>
          </cell>
          <cell r="AZ168">
            <v>4070000</v>
          </cell>
          <cell r="BA168">
            <v>38063000</v>
          </cell>
          <cell r="BB168">
            <v>0.10692798780968395</v>
          </cell>
          <cell r="BC168">
            <v>5744000</v>
          </cell>
          <cell r="BD168">
            <v>38063000</v>
          </cell>
          <cell r="BE168">
            <v>0.15090770564590283</v>
          </cell>
          <cell r="BF168">
            <v>38063000</v>
          </cell>
          <cell r="BG168">
            <v>38790</v>
          </cell>
          <cell r="BH168">
            <v>981.25805620005156</v>
          </cell>
          <cell r="BI168">
            <v>12183000</v>
          </cell>
          <cell r="BJ168">
            <v>6494000</v>
          </cell>
          <cell r="BK168">
            <v>1.8760394210040037</v>
          </cell>
          <cell r="BL168">
            <v>832000</v>
          </cell>
          <cell r="BM168">
            <v>33272000</v>
          </cell>
          <cell r="BN168">
            <v>2.5006011060351045E-2</v>
          </cell>
          <cell r="BO168">
            <v>-5989000</v>
          </cell>
          <cell r="BP168">
            <v>4070000</v>
          </cell>
          <cell r="BQ168">
            <v>-1.4714987714987715</v>
          </cell>
          <cell r="BR168">
            <v>304</v>
          </cell>
          <cell r="BS168" t="str">
            <v>On Time</v>
          </cell>
          <cell r="BT168" t="str">
            <v>On Time</v>
          </cell>
          <cell r="BU168" t="str">
            <v>On Time</v>
          </cell>
          <cell r="BV168">
            <v>1966000</v>
          </cell>
          <cell r="BW168">
            <v>38790</v>
          </cell>
          <cell r="BX168">
            <v>50.683165764372262</v>
          </cell>
          <cell r="BY168">
            <v>371405</v>
          </cell>
          <cell r="BZ168">
            <v>38790</v>
          </cell>
          <cell r="CA168">
            <v>9.5747615364784746</v>
          </cell>
          <cell r="CB168">
            <v>3183000</v>
          </cell>
          <cell r="CC168">
            <v>17367</v>
          </cell>
          <cell r="CD168">
            <v>183.27863188806356</v>
          </cell>
          <cell r="CE168">
            <v>1934315</v>
          </cell>
          <cell r="CF168">
            <v>34720</v>
          </cell>
          <cell r="CG168">
            <v>55.711837557603687</v>
          </cell>
          <cell r="CH168">
            <v>7353000</v>
          </cell>
          <cell r="CI168">
            <v>38790</v>
          </cell>
          <cell r="CJ168">
            <v>189.55916473317865</v>
          </cell>
          <cell r="CK168">
            <v>6082000</v>
          </cell>
          <cell r="CL168">
            <v>38790</v>
          </cell>
          <cell r="CM168">
            <v>156.79298788347512</v>
          </cell>
          <cell r="CN168" t="str">
            <v>N/A</v>
          </cell>
          <cell r="CO168" t="str">
            <v>N/A</v>
          </cell>
          <cell r="CP168" t="str">
            <v>N/A</v>
          </cell>
          <cell r="CQ168" t="str">
            <v>N/A</v>
          </cell>
          <cell r="CR168">
            <v>618</v>
          </cell>
          <cell r="CS168">
            <v>58092</v>
          </cell>
          <cell r="CT168">
            <v>618</v>
          </cell>
          <cell r="CU168">
            <v>94</v>
          </cell>
          <cell r="CV168">
            <v>71.5</v>
          </cell>
          <cell r="CW168">
            <v>392000</v>
          </cell>
          <cell r="CX168">
            <v>3013000</v>
          </cell>
          <cell r="CY168">
            <v>0.13010288748755394</v>
          </cell>
          <cell r="CZ168">
            <v>1778000</v>
          </cell>
          <cell r="DA168">
            <v>38790</v>
          </cell>
          <cell r="DB168">
            <v>45.836555813353954</v>
          </cell>
          <cell r="DC168">
            <v>2531000</v>
          </cell>
          <cell r="DD168">
            <v>38790</v>
          </cell>
          <cell r="DE168">
            <v>65.24877545759216</v>
          </cell>
          <cell r="DF168">
            <v>3260000</v>
          </cell>
          <cell r="DG168">
            <v>38790</v>
          </cell>
          <cell r="DH168">
            <v>84.042278937870591</v>
          </cell>
          <cell r="DI168">
            <v>14.5</v>
          </cell>
          <cell r="DJ168">
            <v>2675.1724137931033</v>
          </cell>
          <cell r="DK168">
            <v>5.4235674182152582E-3</v>
          </cell>
          <cell r="DL168">
            <v>0.24</v>
          </cell>
          <cell r="DM168">
            <v>10.4</v>
          </cell>
        </row>
        <row r="169">
          <cell r="B169" t="str">
            <v>Byron Shire Council</v>
          </cell>
          <cell r="C169">
            <v>4</v>
          </cell>
          <cell r="D169">
            <v>5471000</v>
          </cell>
          <cell r="E169">
            <v>11715</v>
          </cell>
          <cell r="F169">
            <v>467.00810926163041</v>
          </cell>
          <cell r="G169">
            <v>835000</v>
          </cell>
          <cell r="H169">
            <v>942</v>
          </cell>
          <cell r="I169">
            <v>886.41188959660292</v>
          </cell>
          <cell r="J169">
            <v>1223000</v>
          </cell>
          <cell r="K169">
            <v>885</v>
          </cell>
          <cell r="L169">
            <v>1381.9209039548023</v>
          </cell>
          <cell r="M169">
            <v>2630000</v>
          </cell>
          <cell r="N169">
            <v>28159000</v>
          </cell>
          <cell r="O169">
            <v>9.3398203061188248E-2</v>
          </cell>
          <cell r="P169">
            <v>918000</v>
          </cell>
          <cell r="Q169">
            <v>13478000</v>
          </cell>
          <cell r="R169">
            <v>6.8110995696690907E-2</v>
          </cell>
          <cell r="S169">
            <v>1206000</v>
          </cell>
          <cell r="T169">
            <v>12557000</v>
          </cell>
          <cell r="U169">
            <v>9.6042048259934704E-2</v>
          </cell>
          <cell r="V169">
            <v>14396000</v>
          </cell>
          <cell r="W169">
            <v>47671000</v>
          </cell>
          <cell r="X169">
            <v>0.3019865326928321</v>
          </cell>
          <cell r="Y169">
            <v>13763000</v>
          </cell>
          <cell r="Z169">
            <v>47671000</v>
          </cell>
          <cell r="AA169">
            <v>0.28870801955067021</v>
          </cell>
          <cell r="AB169">
            <v>2325000</v>
          </cell>
          <cell r="AC169">
            <v>47671000</v>
          </cell>
          <cell r="AD169">
            <v>4.8771789977134945E-2</v>
          </cell>
          <cell r="AE169">
            <v>6341000</v>
          </cell>
          <cell r="AF169">
            <v>47671000</v>
          </cell>
          <cell r="AG169">
            <v>0.13301587967527428</v>
          </cell>
          <cell r="AH169">
            <v>10096000</v>
          </cell>
          <cell r="AI169">
            <v>47671000</v>
          </cell>
          <cell r="AJ169">
            <v>0.21178494262759329</v>
          </cell>
          <cell r="AK169">
            <v>750000</v>
          </cell>
          <cell r="AL169">
            <v>47671000</v>
          </cell>
          <cell r="AM169">
            <v>1.5732835476495143E-2</v>
          </cell>
          <cell r="AN169">
            <v>26932000</v>
          </cell>
          <cell r="AO169">
            <v>29990</v>
          </cell>
          <cell r="AP169">
            <v>898.03267755918637</v>
          </cell>
          <cell r="AQ169">
            <v>11314000</v>
          </cell>
          <cell r="AR169">
            <v>37939000</v>
          </cell>
          <cell r="AS169">
            <v>0.29821555655130605</v>
          </cell>
          <cell r="AT169">
            <v>15104000</v>
          </cell>
          <cell r="AU169">
            <v>37939000</v>
          </cell>
          <cell r="AV169">
            <v>0.3981127599567727</v>
          </cell>
          <cell r="AW169">
            <v>823000</v>
          </cell>
          <cell r="AX169">
            <v>37939000</v>
          </cell>
          <cell r="AY169">
            <v>2.1692717256648831E-2</v>
          </cell>
          <cell r="AZ169">
            <v>7031000</v>
          </cell>
          <cell r="BA169">
            <v>37939000</v>
          </cell>
          <cell r="BB169">
            <v>0.18532380927278</v>
          </cell>
          <cell r="BC169">
            <v>3667000</v>
          </cell>
          <cell r="BD169">
            <v>37939000</v>
          </cell>
          <cell r="BE169">
            <v>9.6655156962492425E-2</v>
          </cell>
          <cell r="BF169">
            <v>27752000</v>
          </cell>
          <cell r="BG169">
            <v>29990</v>
          </cell>
          <cell r="BH169">
            <v>925.37512504168058</v>
          </cell>
          <cell r="BI169">
            <v>8243000</v>
          </cell>
          <cell r="BJ169">
            <v>4715000</v>
          </cell>
          <cell r="BK169">
            <v>1.7482502651113467</v>
          </cell>
          <cell r="BL169">
            <v>3400000</v>
          </cell>
          <cell r="BM169">
            <v>33693000</v>
          </cell>
          <cell r="BN169">
            <v>0.10091116849197163</v>
          </cell>
          <cell r="BO169">
            <v>8611000</v>
          </cell>
          <cell r="BP169">
            <v>5639000</v>
          </cell>
          <cell r="BQ169">
            <v>1.5270438020925696</v>
          </cell>
          <cell r="BR169">
            <v>226</v>
          </cell>
          <cell r="BS169" t="str">
            <v>On Time</v>
          </cell>
          <cell r="BT169" t="str">
            <v>&lt;=2</v>
          </cell>
          <cell r="BU169" t="str">
            <v>On Time</v>
          </cell>
          <cell r="BV169">
            <v>677000</v>
          </cell>
          <cell r="BW169">
            <v>29990</v>
          </cell>
          <cell r="BX169">
            <v>22.574191397132378</v>
          </cell>
          <cell r="BY169">
            <v>254101</v>
          </cell>
          <cell r="BZ169">
            <v>29990</v>
          </cell>
          <cell r="CA169">
            <v>8.4728576192064029</v>
          </cell>
          <cell r="CB169">
            <v>1582000</v>
          </cell>
          <cell r="CC169">
            <v>8889</v>
          </cell>
          <cell r="CD169">
            <v>177.97277534030826</v>
          </cell>
          <cell r="CE169">
            <v>731700</v>
          </cell>
          <cell r="CF169">
            <v>8889</v>
          </cell>
          <cell r="CG169">
            <v>82.315221059736757</v>
          </cell>
          <cell r="CH169">
            <v>2423000</v>
          </cell>
          <cell r="CI169">
            <v>29990</v>
          </cell>
          <cell r="CJ169">
            <v>80.79359786595532</v>
          </cell>
          <cell r="CK169">
            <v>4703000</v>
          </cell>
          <cell r="CL169">
            <v>29990</v>
          </cell>
          <cell r="CM169">
            <v>156.81893964654884</v>
          </cell>
          <cell r="CN169">
            <v>241.056888983291</v>
          </cell>
          <cell r="CO169">
            <v>415</v>
          </cell>
          <cell r="CP169">
            <v>557.82746564929505</v>
          </cell>
          <cell r="CQ169">
            <v>614.27083333333303</v>
          </cell>
          <cell r="CR169">
            <v>646</v>
          </cell>
          <cell r="CS169">
            <v>60790</v>
          </cell>
          <cell r="CT169">
            <v>646</v>
          </cell>
          <cell r="CU169">
            <v>94.102167182662541</v>
          </cell>
          <cell r="CV169">
            <v>53</v>
          </cell>
          <cell r="CW169">
            <v>788000</v>
          </cell>
          <cell r="CX169">
            <v>3490000</v>
          </cell>
          <cell r="CY169">
            <v>0.22578796561604583</v>
          </cell>
          <cell r="CZ169">
            <v>1057000</v>
          </cell>
          <cell r="DA169">
            <v>29990</v>
          </cell>
          <cell r="DB169">
            <v>35.245081693897966</v>
          </cell>
          <cell r="DC169">
            <v>977000</v>
          </cell>
          <cell r="DD169">
            <v>29990</v>
          </cell>
          <cell r="DE169">
            <v>32.577525841947313</v>
          </cell>
          <cell r="DF169">
            <v>1984000</v>
          </cell>
          <cell r="DG169">
            <v>29990</v>
          </cell>
          <cell r="DH169">
            <v>66.155385128376125</v>
          </cell>
          <cell r="DI169">
            <v>566.79999999999995</v>
          </cell>
          <cell r="DJ169">
            <v>52.911079745942132</v>
          </cell>
          <cell r="DK169">
            <v>1.8965739758216804E-2</v>
          </cell>
          <cell r="DL169">
            <v>1.23</v>
          </cell>
          <cell r="DM169">
            <v>5.47</v>
          </cell>
        </row>
        <row r="170">
          <cell r="B170" t="str">
            <v>Canada Bay City Council</v>
          </cell>
          <cell r="C170">
            <v>2</v>
          </cell>
          <cell r="D170">
            <v>15412000</v>
          </cell>
          <cell r="E170">
            <v>25345</v>
          </cell>
          <cell r="F170">
            <v>608.08838035115411</v>
          </cell>
          <cell r="G170">
            <v>0</v>
          </cell>
          <cell r="H170">
            <v>0</v>
          </cell>
          <cell r="I170" t="str">
            <v>N/A</v>
          </cell>
          <cell r="J170">
            <v>3165000</v>
          </cell>
          <cell r="K170">
            <v>1373</v>
          </cell>
          <cell r="L170">
            <v>2305.1711580480701</v>
          </cell>
          <cell r="M170">
            <v>1268000</v>
          </cell>
          <cell r="N170">
            <v>29259000</v>
          </cell>
          <cell r="O170">
            <v>4.3337092860316485E-2</v>
          </cell>
          <cell r="P170">
            <v>1213000</v>
          </cell>
          <cell r="Q170">
            <v>23011000</v>
          </cell>
          <cell r="R170">
            <v>5.2713919429837906E-2</v>
          </cell>
          <cell r="S170">
            <v>-291000</v>
          </cell>
          <cell r="T170">
            <v>5326000</v>
          </cell>
          <cell r="U170">
            <v>-5.4637626736763048E-2</v>
          </cell>
          <cell r="V170">
            <v>24224000</v>
          </cell>
          <cell r="W170">
            <v>39909000</v>
          </cell>
          <cell r="X170">
            <v>0.60698088150542484</v>
          </cell>
          <cell r="Y170">
            <v>5035000</v>
          </cell>
          <cell r="Z170">
            <v>39909000</v>
          </cell>
          <cell r="AA170">
            <v>0.12616201859229748</v>
          </cell>
          <cell r="AB170">
            <v>884000</v>
          </cell>
          <cell r="AC170">
            <v>39909000</v>
          </cell>
          <cell r="AD170">
            <v>2.2150392142123332E-2</v>
          </cell>
          <cell r="AE170">
            <v>2825000</v>
          </cell>
          <cell r="AF170">
            <v>39909000</v>
          </cell>
          <cell r="AG170">
            <v>7.0786038236989146E-2</v>
          </cell>
          <cell r="AH170">
            <v>3973000</v>
          </cell>
          <cell r="AI170">
            <v>39909000</v>
          </cell>
          <cell r="AJ170">
            <v>9.955147961612669E-2</v>
          </cell>
          <cell r="AK170">
            <v>2968000</v>
          </cell>
          <cell r="AL170">
            <v>39909000</v>
          </cell>
          <cell r="AM170">
            <v>7.4369189907038516E-2</v>
          </cell>
          <cell r="AN170">
            <v>36414000</v>
          </cell>
          <cell r="AO170">
            <v>63571</v>
          </cell>
          <cell r="AP170">
            <v>572.80835601138881</v>
          </cell>
          <cell r="AQ170">
            <v>13205000</v>
          </cell>
          <cell r="AR170">
            <v>41251000</v>
          </cell>
          <cell r="AS170">
            <v>0.32011345179510797</v>
          </cell>
          <cell r="AT170">
            <v>13110000</v>
          </cell>
          <cell r="AU170">
            <v>41251000</v>
          </cell>
          <cell r="AV170">
            <v>0.31781047732176188</v>
          </cell>
          <cell r="AW170">
            <v>110000</v>
          </cell>
          <cell r="AX170">
            <v>41251000</v>
          </cell>
          <cell r="AY170">
            <v>2.6666020217691691E-3</v>
          </cell>
          <cell r="AZ170">
            <v>6597000</v>
          </cell>
          <cell r="BA170">
            <v>41251000</v>
          </cell>
          <cell r="BB170">
            <v>0.15992339579646553</v>
          </cell>
          <cell r="BC170">
            <v>8229000</v>
          </cell>
          <cell r="BD170">
            <v>41251000</v>
          </cell>
          <cell r="BE170">
            <v>0.19948607306489541</v>
          </cell>
          <cell r="BF170">
            <v>41251000</v>
          </cell>
          <cell r="BG170">
            <v>63571</v>
          </cell>
          <cell r="BH170">
            <v>648.89650941467016</v>
          </cell>
          <cell r="BI170">
            <v>10580000</v>
          </cell>
          <cell r="BJ170">
            <v>6930000</v>
          </cell>
          <cell r="BK170">
            <v>1.5266955266955267</v>
          </cell>
          <cell r="BL170">
            <v>448000</v>
          </cell>
          <cell r="BM170">
            <v>35197000</v>
          </cell>
          <cell r="BN170">
            <v>1.2728357530471347E-2</v>
          </cell>
          <cell r="BO170">
            <v>3659000</v>
          </cell>
          <cell r="BP170">
            <v>6597000</v>
          </cell>
          <cell r="BQ170">
            <v>0.55464605123541</v>
          </cell>
          <cell r="BR170">
            <v>227</v>
          </cell>
          <cell r="BS170" t="str">
            <v>&lt;=8</v>
          </cell>
          <cell r="BT170" t="str">
            <v>&lt;=16</v>
          </cell>
          <cell r="BU170" t="str">
            <v>On Time</v>
          </cell>
          <cell r="BV170">
            <v>1563000</v>
          </cell>
          <cell r="BW170">
            <v>63571</v>
          </cell>
          <cell r="BX170">
            <v>24.586682606849035</v>
          </cell>
          <cell r="BY170">
            <v>229371</v>
          </cell>
          <cell r="BZ170">
            <v>63571</v>
          </cell>
          <cell r="CA170">
            <v>3.608107470387441</v>
          </cell>
          <cell r="CB170">
            <v>5063000</v>
          </cell>
          <cell r="CC170">
            <v>27129</v>
          </cell>
          <cell r="CD170">
            <v>186.62685686903313</v>
          </cell>
          <cell r="CE170">
            <v>3392194</v>
          </cell>
          <cell r="CF170">
            <v>27129</v>
          </cell>
          <cell r="CG170">
            <v>125.03940432747244</v>
          </cell>
          <cell r="CH170">
            <v>4753150</v>
          </cell>
          <cell r="CI170">
            <v>63571</v>
          </cell>
          <cell r="CJ170">
            <v>74.769155747117395</v>
          </cell>
          <cell r="CK170">
            <v>14804820</v>
          </cell>
          <cell r="CL170">
            <v>63571</v>
          </cell>
          <cell r="CM170">
            <v>232.88637900929669</v>
          </cell>
          <cell r="CN170" t="str">
            <v>N/A</v>
          </cell>
          <cell r="CO170" t="str">
            <v>N/A</v>
          </cell>
          <cell r="CP170" t="str">
            <v>N/A</v>
          </cell>
          <cell r="CQ170" t="str">
            <v>N/A</v>
          </cell>
          <cell r="CR170">
            <v>1186</v>
          </cell>
          <cell r="CS170">
            <v>113216</v>
          </cell>
          <cell r="CT170">
            <v>1186</v>
          </cell>
          <cell r="CU170">
            <v>95.460370994940973</v>
          </cell>
          <cell r="CV170">
            <v>74</v>
          </cell>
          <cell r="CW170">
            <v>454000</v>
          </cell>
          <cell r="CX170">
            <v>2274000</v>
          </cell>
          <cell r="CY170">
            <v>0.19964819700967459</v>
          </cell>
          <cell r="CZ170">
            <v>220000</v>
          </cell>
          <cell r="DA170">
            <v>63571</v>
          </cell>
          <cell r="DB170">
            <v>3.4606974878482326</v>
          </cell>
          <cell r="DC170">
            <v>1022000</v>
          </cell>
          <cell r="DD170">
            <v>63571</v>
          </cell>
          <cell r="DE170">
            <v>16.076512875367698</v>
          </cell>
          <cell r="DF170">
            <v>1226000</v>
          </cell>
          <cell r="DG170">
            <v>63571</v>
          </cell>
          <cell r="DH170">
            <v>19.285523273190606</v>
          </cell>
          <cell r="DI170">
            <v>19.8</v>
          </cell>
          <cell r="DJ170">
            <v>3210.6565656565654</v>
          </cell>
          <cell r="DK170">
            <v>2.1298900717207303E-2</v>
          </cell>
          <cell r="DL170">
            <v>0.39</v>
          </cell>
          <cell r="DM170">
            <v>22.91</v>
          </cell>
        </row>
        <row r="171">
          <cell r="B171" t="str">
            <v>Warringah Council</v>
          </cell>
          <cell r="C171">
            <v>3</v>
          </cell>
          <cell r="D171">
            <v>35833000</v>
          </cell>
          <cell r="E171">
            <v>47952</v>
          </cell>
          <cell r="F171">
            <v>747.26810143476814</v>
          </cell>
          <cell r="G171">
            <v>0</v>
          </cell>
          <cell r="H171">
            <v>0</v>
          </cell>
          <cell r="I171" t="str">
            <v>N/A</v>
          </cell>
          <cell r="J171">
            <v>9156000</v>
          </cell>
          <cell r="K171">
            <v>2883</v>
          </cell>
          <cell r="L171">
            <v>3175.8584807492198</v>
          </cell>
          <cell r="M171">
            <v>2628000</v>
          </cell>
          <cell r="N171">
            <v>78484000</v>
          </cell>
          <cell r="O171">
            <v>3.3484531879109117E-2</v>
          </cell>
          <cell r="P171">
            <v>2885000</v>
          </cell>
          <cell r="Q171">
            <v>53076000</v>
          </cell>
          <cell r="R171">
            <v>5.4356017785816564E-2</v>
          </cell>
          <cell r="S171">
            <v>560000</v>
          </cell>
          <cell r="T171">
            <v>21963000</v>
          </cell>
          <cell r="U171">
            <v>2.549742749169057E-2</v>
          </cell>
          <cell r="V171">
            <v>55961000</v>
          </cell>
          <cell r="W171">
            <v>98912000</v>
          </cell>
          <cell r="X171">
            <v>0.56576552895503074</v>
          </cell>
          <cell r="Y171">
            <v>22523000</v>
          </cell>
          <cell r="Z171">
            <v>98912000</v>
          </cell>
          <cell r="AA171">
            <v>0.22770745713361371</v>
          </cell>
          <cell r="AB171">
            <v>3391000</v>
          </cell>
          <cell r="AC171">
            <v>98912000</v>
          </cell>
          <cell r="AD171">
            <v>3.4282999029440313E-2</v>
          </cell>
          <cell r="AE171">
            <v>6736000</v>
          </cell>
          <cell r="AF171">
            <v>98912000</v>
          </cell>
          <cell r="AG171">
            <v>6.8100938207699774E-2</v>
          </cell>
          <cell r="AH171">
            <v>7727000</v>
          </cell>
          <cell r="AI171">
            <v>98912000</v>
          </cell>
          <cell r="AJ171">
            <v>7.8119945001617605E-2</v>
          </cell>
          <cell r="AK171">
            <v>2574000</v>
          </cell>
          <cell r="AL171">
            <v>98912000</v>
          </cell>
          <cell r="AM171">
            <v>2.6023131672597864E-2</v>
          </cell>
          <cell r="AN171">
            <v>92013000</v>
          </cell>
          <cell r="AO171">
            <v>136874</v>
          </cell>
          <cell r="AP171">
            <v>672.24600727676545</v>
          </cell>
          <cell r="AQ171">
            <v>31917000</v>
          </cell>
          <cell r="AR171">
            <v>86356000</v>
          </cell>
          <cell r="AS171">
            <v>0.36959794339710039</v>
          </cell>
          <cell r="AT171">
            <v>30178000</v>
          </cell>
          <cell r="AU171">
            <v>86356000</v>
          </cell>
          <cell r="AV171">
            <v>0.34946037333827412</v>
          </cell>
          <cell r="AW171">
            <v>818000</v>
          </cell>
          <cell r="AX171">
            <v>86356000</v>
          </cell>
          <cell r="AY171">
            <v>9.4724165084070586E-3</v>
          </cell>
          <cell r="AZ171">
            <v>11687000</v>
          </cell>
          <cell r="BA171">
            <v>86356000</v>
          </cell>
          <cell r="BB171">
            <v>0.13533512436889156</v>
          </cell>
          <cell r="BC171">
            <v>11756000</v>
          </cell>
          <cell r="BD171">
            <v>86356000</v>
          </cell>
          <cell r="BE171">
            <v>0.13613414238732688</v>
          </cell>
          <cell r="BF171">
            <v>86876000</v>
          </cell>
          <cell r="BG171">
            <v>136874</v>
          </cell>
          <cell r="BH171">
            <v>634.7151394713386</v>
          </cell>
          <cell r="BI171">
            <v>36923000</v>
          </cell>
          <cell r="BJ171">
            <v>11932000</v>
          </cell>
          <cell r="BK171">
            <v>3.0944518940663763</v>
          </cell>
          <cell r="BL171">
            <v>2220000</v>
          </cell>
          <cell r="BM171">
            <v>88183000</v>
          </cell>
          <cell r="BN171">
            <v>2.5174920336119205E-2</v>
          </cell>
          <cell r="BO171">
            <v>7561000</v>
          </cell>
          <cell r="BP171">
            <v>11687000</v>
          </cell>
          <cell r="BQ171">
            <v>0.6469581586378027</v>
          </cell>
          <cell r="BR171">
            <v>517</v>
          </cell>
          <cell r="BS171" t="str">
            <v>On Time</v>
          </cell>
          <cell r="BT171" t="str">
            <v>On Time</v>
          </cell>
          <cell r="BU171" t="str">
            <v>On Time</v>
          </cell>
          <cell r="BV171">
            <v>2242000</v>
          </cell>
          <cell r="BW171">
            <v>136874</v>
          </cell>
          <cell r="BX171">
            <v>16.380028347239065</v>
          </cell>
          <cell r="BY171">
            <v>1110415</v>
          </cell>
          <cell r="BZ171">
            <v>136874</v>
          </cell>
          <cell r="CA171">
            <v>8.1126802752896818</v>
          </cell>
          <cell r="CB171">
            <v>10972000</v>
          </cell>
          <cell r="CC171">
            <v>49801</v>
          </cell>
          <cell r="CD171">
            <v>220.31686110720668</v>
          </cell>
          <cell r="CE171">
            <v>7685200</v>
          </cell>
          <cell r="CF171">
            <v>114542</v>
          </cell>
          <cell r="CG171">
            <v>67.095039374203353</v>
          </cell>
          <cell r="CH171">
            <v>34004620</v>
          </cell>
          <cell r="CI171">
            <v>136874</v>
          </cell>
          <cell r="CJ171">
            <v>248.43739497640166</v>
          </cell>
          <cell r="CK171">
            <v>28096000</v>
          </cell>
          <cell r="CL171">
            <v>136874</v>
          </cell>
          <cell r="CM171">
            <v>205.26907959144907</v>
          </cell>
          <cell r="CN171" t="str">
            <v>N/A</v>
          </cell>
          <cell r="CO171" t="str">
            <v>N/A</v>
          </cell>
          <cell r="CP171" t="str">
            <v>N/A</v>
          </cell>
          <cell r="CQ171" t="str">
            <v>N/A</v>
          </cell>
          <cell r="CR171">
            <v>2081</v>
          </cell>
          <cell r="CS171">
            <v>199776</v>
          </cell>
          <cell r="CT171">
            <v>2081</v>
          </cell>
          <cell r="CU171">
            <v>96</v>
          </cell>
          <cell r="CV171">
            <v>62</v>
          </cell>
          <cell r="CW171">
            <v>1507000</v>
          </cell>
          <cell r="CX171">
            <v>2854000</v>
          </cell>
          <cell r="CY171">
            <v>0.52803083391730909</v>
          </cell>
          <cell r="CZ171">
            <v>1919000</v>
          </cell>
          <cell r="DA171">
            <v>136874</v>
          </cell>
          <cell r="DB171">
            <v>14.020193754840218</v>
          </cell>
          <cell r="DC171">
            <v>3554000</v>
          </cell>
          <cell r="DD171">
            <v>136874</v>
          </cell>
          <cell r="DE171">
            <v>25.965486505837486</v>
          </cell>
          <cell r="DF171">
            <v>5490000</v>
          </cell>
          <cell r="DG171">
            <v>136874</v>
          </cell>
          <cell r="DH171">
            <v>40.109882081330277</v>
          </cell>
          <cell r="DI171">
            <v>149.6</v>
          </cell>
          <cell r="DJ171">
            <v>914.93315508021396</v>
          </cell>
          <cell r="DK171">
            <v>7.4858209448422919E-3</v>
          </cell>
          <cell r="DL171">
            <v>0.32</v>
          </cell>
          <cell r="DM171">
            <v>13.33</v>
          </cell>
        </row>
        <row r="172">
          <cell r="B172" t="str">
            <v>Woollahra Municipal Council</v>
          </cell>
          <cell r="C172">
            <v>2</v>
          </cell>
          <cell r="D172">
            <v>17273000</v>
          </cell>
          <cell r="E172">
            <v>24139</v>
          </cell>
          <cell r="F172">
            <v>715.56402502174899</v>
          </cell>
          <cell r="G172">
            <v>0</v>
          </cell>
          <cell r="H172">
            <v>0</v>
          </cell>
          <cell r="I172" t="str">
            <v>N/A</v>
          </cell>
          <cell r="J172">
            <v>3221000</v>
          </cell>
          <cell r="K172">
            <v>1490</v>
          </cell>
          <cell r="L172">
            <v>2161.7449664429532</v>
          </cell>
          <cell r="M172">
            <v>3581000</v>
          </cell>
          <cell r="N172">
            <v>32715000</v>
          </cell>
          <cell r="O172">
            <v>0.10946049212899282</v>
          </cell>
          <cell r="P172">
            <v>1188000</v>
          </cell>
          <cell r="Q172">
            <v>26476000</v>
          </cell>
          <cell r="R172">
            <v>4.4870826408823082E-2</v>
          </cell>
          <cell r="S172">
            <v>406000</v>
          </cell>
          <cell r="T172">
            <v>4645000</v>
          </cell>
          <cell r="U172">
            <v>8.7405812701829927E-2</v>
          </cell>
          <cell r="V172">
            <v>27664000</v>
          </cell>
          <cell r="W172">
            <v>46529000</v>
          </cell>
          <cell r="X172">
            <v>0.59455393410561153</v>
          </cell>
          <cell r="Y172">
            <v>5051000</v>
          </cell>
          <cell r="Z172">
            <v>46529000</v>
          </cell>
          <cell r="AA172">
            <v>0.10855595435104988</v>
          </cell>
          <cell r="AB172">
            <v>1220000</v>
          </cell>
          <cell r="AC172">
            <v>46529000</v>
          </cell>
          <cell r="AD172">
            <v>2.6220206752777836E-2</v>
          </cell>
          <cell r="AE172">
            <v>3489000</v>
          </cell>
          <cell r="AF172">
            <v>46529000</v>
          </cell>
          <cell r="AG172">
            <v>7.4985492918394986E-2</v>
          </cell>
          <cell r="AH172">
            <v>831000</v>
          </cell>
          <cell r="AI172">
            <v>46529000</v>
          </cell>
          <cell r="AJ172">
            <v>1.7859829353736381E-2</v>
          </cell>
          <cell r="AK172">
            <v>8274000</v>
          </cell>
          <cell r="AL172">
            <v>46529000</v>
          </cell>
          <cell r="AM172">
            <v>0.17782458251842936</v>
          </cell>
          <cell r="AN172">
            <v>45804000</v>
          </cell>
          <cell r="AO172">
            <v>53535</v>
          </cell>
          <cell r="AP172">
            <v>855.58980106472404</v>
          </cell>
          <cell r="AQ172">
            <v>23421000</v>
          </cell>
          <cell r="AR172">
            <v>49370000</v>
          </cell>
          <cell r="AS172">
            <v>0.47439740733238811</v>
          </cell>
          <cell r="AT172">
            <v>8168000</v>
          </cell>
          <cell r="AU172">
            <v>49370000</v>
          </cell>
          <cell r="AV172">
            <v>0.16544460198501115</v>
          </cell>
          <cell r="AW172">
            <v>0</v>
          </cell>
          <cell r="AX172">
            <v>49370000</v>
          </cell>
          <cell r="AY172">
            <v>0</v>
          </cell>
          <cell r="AZ172">
            <v>7911000</v>
          </cell>
          <cell r="BA172">
            <v>49370000</v>
          </cell>
          <cell r="BB172">
            <v>0.16023901154547296</v>
          </cell>
          <cell r="BC172">
            <v>9870000</v>
          </cell>
          <cell r="BD172">
            <v>49370000</v>
          </cell>
          <cell r="BE172">
            <v>0.19991897913712781</v>
          </cell>
          <cell r="BF172">
            <v>49370000</v>
          </cell>
          <cell r="BG172">
            <v>53535</v>
          </cell>
          <cell r="BH172">
            <v>922.20042962547871</v>
          </cell>
          <cell r="BI172">
            <v>16354000</v>
          </cell>
          <cell r="BJ172">
            <v>7619000</v>
          </cell>
          <cell r="BK172">
            <v>2.1464759154744719</v>
          </cell>
          <cell r="BL172">
            <v>0</v>
          </cell>
          <cell r="BM172">
            <v>44363000</v>
          </cell>
          <cell r="BN172">
            <v>0</v>
          </cell>
          <cell r="BO172">
            <v>2069000</v>
          </cell>
          <cell r="BP172">
            <v>7911000</v>
          </cell>
          <cell r="BQ172">
            <v>0.26153457211477688</v>
          </cell>
          <cell r="BR172">
            <v>372</v>
          </cell>
          <cell r="BS172" t="str">
            <v>On Time</v>
          </cell>
          <cell r="BT172" t="str">
            <v>On Time</v>
          </cell>
          <cell r="BU172" t="str">
            <v>On Time</v>
          </cell>
          <cell r="BV172">
            <v>2212000</v>
          </cell>
          <cell r="BW172">
            <v>53535</v>
          </cell>
          <cell r="BX172">
            <v>41.318763425796206</v>
          </cell>
          <cell r="BY172">
            <v>410252</v>
          </cell>
          <cell r="BZ172">
            <v>53535</v>
          </cell>
          <cell r="CA172">
            <v>7.6632483422060336</v>
          </cell>
          <cell r="CB172">
            <v>6275000</v>
          </cell>
          <cell r="CC172">
            <v>25349</v>
          </cell>
          <cell r="CD172">
            <v>247.54428182571306</v>
          </cell>
          <cell r="CE172">
            <v>3353376</v>
          </cell>
          <cell r="CF172">
            <v>49177</v>
          </cell>
          <cell r="CG172">
            <v>68.189926185005191</v>
          </cell>
          <cell r="CH172">
            <v>10086000</v>
          </cell>
          <cell r="CI172">
            <v>53535</v>
          </cell>
          <cell r="CJ172">
            <v>188.40011207621183</v>
          </cell>
          <cell r="CK172">
            <v>12657000</v>
          </cell>
          <cell r="CL172">
            <v>53535</v>
          </cell>
          <cell r="CM172">
            <v>236.42476884281311</v>
          </cell>
          <cell r="CN172" t="str">
            <v>N/A</v>
          </cell>
          <cell r="CO172" t="str">
            <v>N/A</v>
          </cell>
          <cell r="CP172" t="str">
            <v>N/A</v>
          </cell>
          <cell r="CQ172" t="str">
            <v>N/A</v>
          </cell>
          <cell r="CR172">
            <v>1171</v>
          </cell>
          <cell r="CS172">
            <v>113289</v>
          </cell>
          <cell r="CT172">
            <v>1171</v>
          </cell>
          <cell r="CU172">
            <v>96.745516652433821</v>
          </cell>
          <cell r="CV172">
            <v>83</v>
          </cell>
          <cell r="CW172">
            <v>770000</v>
          </cell>
          <cell r="CX172">
            <v>5688000</v>
          </cell>
          <cell r="CY172">
            <v>0.13537271448663854</v>
          </cell>
          <cell r="CZ172">
            <v>1055000</v>
          </cell>
          <cell r="DA172">
            <v>53535</v>
          </cell>
          <cell r="DB172">
            <v>19.706733912393762</v>
          </cell>
          <cell r="DC172">
            <v>3438000</v>
          </cell>
          <cell r="DD172">
            <v>53535</v>
          </cell>
          <cell r="DE172">
            <v>64.219669375175116</v>
          </cell>
          <cell r="DF172">
            <v>1919000</v>
          </cell>
          <cell r="DG172">
            <v>53535</v>
          </cell>
          <cell r="DH172">
            <v>35.845708415055569</v>
          </cell>
          <cell r="DI172">
            <v>12.4</v>
          </cell>
          <cell r="DJ172">
            <v>4317.3387096774195</v>
          </cell>
          <cell r="DK172">
            <v>1.2336550605782648E-3</v>
          </cell>
          <cell r="DL172">
            <v>0.16</v>
          </cell>
          <cell r="DM172">
            <v>15.91</v>
          </cell>
        </row>
        <row r="173">
          <cell r="B173" t="str">
            <v>Leichhardt Municipal Council</v>
          </cell>
          <cell r="C173">
            <v>2</v>
          </cell>
          <cell r="D173">
            <v>18103000</v>
          </cell>
          <cell r="E173">
            <v>26385</v>
          </cell>
          <cell r="F173">
            <v>686.10953193102137</v>
          </cell>
          <cell r="G173">
            <v>0</v>
          </cell>
          <cell r="H173">
            <v>0</v>
          </cell>
          <cell r="I173" t="str">
            <v>N/A</v>
          </cell>
          <cell r="J173">
            <v>8924000</v>
          </cell>
          <cell r="K173">
            <v>2154</v>
          </cell>
          <cell r="L173">
            <v>4142.9897864438253</v>
          </cell>
          <cell r="M173">
            <v>2701000</v>
          </cell>
          <cell r="N173">
            <v>46485000</v>
          </cell>
          <cell r="O173">
            <v>5.8104764977949877E-2</v>
          </cell>
          <cell r="P173">
            <v>1156000</v>
          </cell>
          <cell r="Q173">
            <v>33435000</v>
          </cell>
          <cell r="R173">
            <v>3.4574547629729328E-2</v>
          </cell>
          <cell r="S173">
            <v>86000</v>
          </cell>
          <cell r="T173">
            <v>11808000</v>
          </cell>
          <cell r="U173">
            <v>7.2831978319783195E-3</v>
          </cell>
          <cell r="V173">
            <v>34591000</v>
          </cell>
          <cell r="W173">
            <v>64000000</v>
          </cell>
          <cell r="X173">
            <v>0.54048437500000002</v>
          </cell>
          <cell r="Y173">
            <v>11894000</v>
          </cell>
          <cell r="Z173">
            <v>64000000</v>
          </cell>
          <cell r="AA173">
            <v>0.18584375</v>
          </cell>
          <cell r="AB173">
            <v>2099000</v>
          </cell>
          <cell r="AC173">
            <v>64000000</v>
          </cell>
          <cell r="AD173">
            <v>3.2796875000000003E-2</v>
          </cell>
          <cell r="AE173">
            <v>4969000</v>
          </cell>
          <cell r="AF173">
            <v>64000000</v>
          </cell>
          <cell r="AG173">
            <v>7.7640625000000005E-2</v>
          </cell>
          <cell r="AH173">
            <v>6377000</v>
          </cell>
          <cell r="AI173">
            <v>64000000</v>
          </cell>
          <cell r="AJ173">
            <v>9.9640624999999997E-2</v>
          </cell>
          <cell r="AK173">
            <v>4070000</v>
          </cell>
          <cell r="AL173">
            <v>64000000</v>
          </cell>
          <cell r="AM173">
            <v>6.3593750000000004E-2</v>
          </cell>
          <cell r="AN173">
            <v>58960000</v>
          </cell>
          <cell r="AO173">
            <v>65736</v>
          </cell>
          <cell r="AP173">
            <v>896.92101740294515</v>
          </cell>
          <cell r="AQ173">
            <v>24607000</v>
          </cell>
          <cell r="AR173">
            <v>53574000</v>
          </cell>
          <cell r="AS173">
            <v>0.45930861985291371</v>
          </cell>
          <cell r="AT173">
            <v>13841000</v>
          </cell>
          <cell r="AU173">
            <v>53574000</v>
          </cell>
          <cell r="AV173">
            <v>0.2583529323925785</v>
          </cell>
          <cell r="AW173">
            <v>1030000</v>
          </cell>
          <cell r="AX173">
            <v>53574000</v>
          </cell>
          <cell r="AY173">
            <v>1.9225743830962781E-2</v>
          </cell>
          <cell r="AZ173">
            <v>7633000</v>
          </cell>
          <cell r="BA173">
            <v>53574000</v>
          </cell>
          <cell r="BB173">
            <v>0.14247582782693097</v>
          </cell>
          <cell r="BC173">
            <v>6463000</v>
          </cell>
          <cell r="BD173">
            <v>53574000</v>
          </cell>
          <cell r="BE173">
            <v>0.12063687609661403</v>
          </cell>
          <cell r="BF173">
            <v>53574000</v>
          </cell>
          <cell r="BG173">
            <v>65736</v>
          </cell>
          <cell r="BH173">
            <v>814.98722161372768</v>
          </cell>
          <cell r="BI173">
            <v>23405000</v>
          </cell>
          <cell r="BJ173">
            <v>9221000</v>
          </cell>
          <cell r="BK173">
            <v>2.5382279579221341</v>
          </cell>
          <cell r="BL173">
            <v>3879000</v>
          </cell>
          <cell r="BM173">
            <v>55467000</v>
          </cell>
          <cell r="BN173">
            <v>6.9933473957488237E-2</v>
          </cell>
          <cell r="BO173">
            <v>-109362000</v>
          </cell>
          <cell r="BP173">
            <v>7633000</v>
          </cell>
          <cell r="BQ173">
            <v>-14.327525219441897</v>
          </cell>
          <cell r="BR173">
            <v>430</v>
          </cell>
          <cell r="BS173" t="str">
            <v>On Time</v>
          </cell>
          <cell r="BT173" t="str">
            <v>On Time</v>
          </cell>
          <cell r="BU173" t="str">
            <v>&lt;=4</v>
          </cell>
          <cell r="BV173">
            <v>1947000</v>
          </cell>
          <cell r="BW173">
            <v>65736</v>
          </cell>
          <cell r="BX173">
            <v>29.61847389558233</v>
          </cell>
          <cell r="BY173">
            <v>397088</v>
          </cell>
          <cell r="BZ173">
            <v>65736</v>
          </cell>
          <cell r="CA173">
            <v>6.0406474382377997</v>
          </cell>
          <cell r="CB173">
            <v>7564000</v>
          </cell>
          <cell r="CC173">
            <v>30262</v>
          </cell>
          <cell r="CD173">
            <v>249.95043288612783</v>
          </cell>
          <cell r="CE173">
            <v>6069648</v>
          </cell>
          <cell r="CF173">
            <v>30262</v>
          </cell>
          <cell r="CG173">
            <v>200.56995572004493</v>
          </cell>
          <cell r="CH173">
            <v>12387000</v>
          </cell>
          <cell r="CI173">
            <v>65736</v>
          </cell>
          <cell r="CJ173">
            <v>188.43556042351224</v>
          </cell>
          <cell r="CK173">
            <v>13180000</v>
          </cell>
          <cell r="CL173">
            <v>65736</v>
          </cell>
          <cell r="CM173">
            <v>200.49896555920651</v>
          </cell>
          <cell r="CN173" t="str">
            <v>N/A</v>
          </cell>
          <cell r="CO173" t="str">
            <v>N/A</v>
          </cell>
          <cell r="CP173" t="str">
            <v>N/A</v>
          </cell>
          <cell r="CQ173" t="str">
            <v>N/A</v>
          </cell>
          <cell r="CR173">
            <v>789</v>
          </cell>
          <cell r="CS173">
            <v>77864</v>
          </cell>
          <cell r="CT173">
            <v>789</v>
          </cell>
          <cell r="CU173">
            <v>98.686945500633712</v>
          </cell>
          <cell r="CV173">
            <v>95</v>
          </cell>
          <cell r="CW173">
            <v>876000</v>
          </cell>
          <cell r="CX173">
            <v>4943000</v>
          </cell>
          <cell r="CY173">
            <v>0.17722031155168927</v>
          </cell>
          <cell r="CZ173">
            <v>599000</v>
          </cell>
          <cell r="DA173">
            <v>65736</v>
          </cell>
          <cell r="DB173">
            <v>9.1122064013630286</v>
          </cell>
          <cell r="DC173">
            <v>6005000</v>
          </cell>
          <cell r="DD173">
            <v>65736</v>
          </cell>
          <cell r="DE173">
            <v>91.350249482779603</v>
          </cell>
          <cell r="DF173">
            <v>3906000</v>
          </cell>
          <cell r="DG173">
            <v>65736</v>
          </cell>
          <cell r="DH173">
            <v>59.419496166484116</v>
          </cell>
          <cell r="DI173">
            <v>12.9</v>
          </cell>
          <cell r="DJ173">
            <v>5095.8139534883721</v>
          </cell>
          <cell r="DK173">
            <v>1.3935863213666355E-2</v>
          </cell>
          <cell r="DL173">
            <v>0.69</v>
          </cell>
          <cell r="DM173">
            <v>13.75</v>
          </cell>
        </row>
        <row r="174">
          <cell r="B174" t="str">
            <v>Sutherland Shire Council</v>
          </cell>
          <cell r="C174">
            <v>3</v>
          </cell>
          <cell r="D174">
            <v>60311000</v>
          </cell>
          <cell r="E174">
            <v>75923</v>
          </cell>
          <cell r="F174">
            <v>794.37061233091424</v>
          </cell>
          <cell r="G174">
            <v>0</v>
          </cell>
          <cell r="H174">
            <v>0</v>
          </cell>
          <cell r="I174" t="str">
            <v>N/A</v>
          </cell>
          <cell r="J174">
            <v>8854000</v>
          </cell>
          <cell r="K174">
            <v>3664</v>
          </cell>
          <cell r="L174">
            <v>2416.4847161572052</v>
          </cell>
          <cell r="M174">
            <v>-293000</v>
          </cell>
          <cell r="N174">
            <v>104190000</v>
          </cell>
          <cell r="O174">
            <v>-2.8121700739034456E-3</v>
          </cell>
          <cell r="P174">
            <v>4516000</v>
          </cell>
          <cell r="Q174">
            <v>79576000</v>
          </cell>
          <cell r="R174">
            <v>5.6750779129385746E-2</v>
          </cell>
          <cell r="S174">
            <v>105000</v>
          </cell>
          <cell r="T174">
            <v>19993000</v>
          </cell>
          <cell r="U174">
            <v>5.2518381433501729E-3</v>
          </cell>
          <cell r="V174">
            <v>84092000</v>
          </cell>
          <cell r="W174">
            <v>140984000</v>
          </cell>
          <cell r="X174">
            <v>0.59646484707484537</v>
          </cell>
          <cell r="Y174">
            <v>20098000</v>
          </cell>
          <cell r="Z174">
            <v>140984000</v>
          </cell>
          <cell r="AA174">
            <v>0.14255518356692959</v>
          </cell>
          <cell r="AB174">
            <v>5752000</v>
          </cell>
          <cell r="AC174">
            <v>140984000</v>
          </cell>
          <cell r="AD174">
            <v>4.0798955909890487E-2</v>
          </cell>
          <cell r="AE174">
            <v>15184000</v>
          </cell>
          <cell r="AF174">
            <v>140984000</v>
          </cell>
          <cell r="AG174">
            <v>0.10770016455768031</v>
          </cell>
          <cell r="AH174">
            <v>9274000</v>
          </cell>
          <cell r="AI174">
            <v>140984000</v>
          </cell>
          <cell r="AJ174">
            <v>6.5780514100890877E-2</v>
          </cell>
          <cell r="AK174">
            <v>6584000</v>
          </cell>
          <cell r="AL174">
            <v>140984000</v>
          </cell>
          <cell r="AM174">
            <v>4.6700334789763376E-2</v>
          </cell>
          <cell r="AN174">
            <v>132503000</v>
          </cell>
          <cell r="AO174">
            <v>214826</v>
          </cell>
          <cell r="AP174">
            <v>616.79219461331502</v>
          </cell>
          <cell r="AQ174">
            <v>62058000</v>
          </cell>
          <cell r="AR174">
            <v>129527000</v>
          </cell>
          <cell r="AS174">
            <v>0.47911246303859428</v>
          </cell>
          <cell r="AT174">
            <v>15882000</v>
          </cell>
          <cell r="AU174">
            <v>129527000</v>
          </cell>
          <cell r="AV174">
            <v>0.12261536204806719</v>
          </cell>
          <cell r="AW174">
            <v>1496000</v>
          </cell>
          <cell r="AX174">
            <v>129527000</v>
          </cell>
          <cell r="AY174">
            <v>1.1549715503331353E-2</v>
          </cell>
          <cell r="AZ174">
            <v>20737000</v>
          </cell>
          <cell r="BA174">
            <v>129527000</v>
          </cell>
          <cell r="BB174">
            <v>0.16009789464744803</v>
          </cell>
          <cell r="BC174">
            <v>29354000</v>
          </cell>
          <cell r="BD174">
            <v>129527000</v>
          </cell>
          <cell r="BE174">
            <v>0.22662456476255916</v>
          </cell>
          <cell r="BF174">
            <v>129527000</v>
          </cell>
          <cell r="BG174">
            <v>214826</v>
          </cell>
          <cell r="BH174">
            <v>602.939122824984</v>
          </cell>
          <cell r="BI174">
            <v>54875000</v>
          </cell>
          <cell r="BJ174">
            <v>35656000</v>
          </cell>
          <cell r="BK174">
            <v>1.5390116670406102</v>
          </cell>
          <cell r="BL174">
            <v>8408000</v>
          </cell>
          <cell r="BM174">
            <v>126877000</v>
          </cell>
          <cell r="BN174">
            <v>6.62689061059136E-2</v>
          </cell>
          <cell r="BO174">
            <v>23266000</v>
          </cell>
          <cell r="BP174">
            <v>20737000</v>
          </cell>
          <cell r="BQ174">
            <v>1.1219559241934707</v>
          </cell>
          <cell r="BR174">
            <v>1252</v>
          </cell>
          <cell r="BS174" t="str">
            <v>On Time</v>
          </cell>
          <cell r="BT174" t="str">
            <v>On Time</v>
          </cell>
          <cell r="BU174" t="str">
            <v>On Time</v>
          </cell>
          <cell r="BV174">
            <v>4942000</v>
          </cell>
          <cell r="BW174">
            <v>214826</v>
          </cell>
          <cell r="BX174">
            <v>23.004664239896474</v>
          </cell>
          <cell r="BY174">
            <v>1698686</v>
          </cell>
          <cell r="BZ174">
            <v>214826</v>
          </cell>
          <cell r="CA174">
            <v>7.9072644838148083</v>
          </cell>
          <cell r="CB174">
            <v>14583000</v>
          </cell>
          <cell r="CC174">
            <v>76048</v>
          </cell>
          <cell r="CD174">
            <v>191.76046707342732</v>
          </cell>
          <cell r="CE174">
            <v>9811574</v>
          </cell>
          <cell r="CF174">
            <v>76048</v>
          </cell>
          <cell r="CG174">
            <v>129.01817273301074</v>
          </cell>
          <cell r="CH174">
            <v>47990650</v>
          </cell>
          <cell r="CI174">
            <v>214826</v>
          </cell>
          <cell r="CJ174">
            <v>223.39311815143418</v>
          </cell>
          <cell r="CK174">
            <v>47950870</v>
          </cell>
          <cell r="CL174">
            <v>214826</v>
          </cell>
          <cell r="CM174">
            <v>223.20794503458612</v>
          </cell>
          <cell r="CN174" t="str">
            <v>N/A</v>
          </cell>
          <cell r="CO174" t="str">
            <v>N/A</v>
          </cell>
          <cell r="CP174" t="str">
            <v>N/A</v>
          </cell>
          <cell r="CQ174" t="str">
            <v>N/A</v>
          </cell>
          <cell r="CR174">
            <v>2555</v>
          </cell>
          <cell r="CS174">
            <v>261853</v>
          </cell>
          <cell r="CT174">
            <v>2555</v>
          </cell>
          <cell r="CU174">
            <v>102.48649706457925</v>
          </cell>
          <cell r="CV174">
            <v>62</v>
          </cell>
          <cell r="CW174">
            <v>1941000</v>
          </cell>
          <cell r="CX174">
            <v>7495000</v>
          </cell>
          <cell r="CY174">
            <v>0.25897264843228818</v>
          </cell>
          <cell r="CZ174">
            <v>2359000</v>
          </cell>
          <cell r="DA174">
            <v>214826</v>
          </cell>
          <cell r="DB174">
            <v>10.980979955871263</v>
          </cell>
          <cell r="DC174">
            <v>328000</v>
          </cell>
          <cell r="DD174">
            <v>214826</v>
          </cell>
          <cell r="DE174">
            <v>1.5268170519397093</v>
          </cell>
          <cell r="DF174">
            <v>7987000</v>
          </cell>
          <cell r="DG174">
            <v>214826</v>
          </cell>
          <cell r="DH174">
            <v>37.178926200739205</v>
          </cell>
          <cell r="DI174">
            <v>334.5</v>
          </cell>
          <cell r="DJ174">
            <v>642.23019431988041</v>
          </cell>
          <cell r="DK174">
            <v>8.3073204991301886E-3</v>
          </cell>
          <cell r="DL174">
            <v>0.56000000000000005</v>
          </cell>
          <cell r="DM174">
            <v>8.84</v>
          </cell>
        </row>
        <row r="175">
          <cell r="B175" t="str">
            <v>Mosman Municipal Council</v>
          </cell>
          <cell r="C175">
            <v>2</v>
          </cell>
          <cell r="D175">
            <v>9713000</v>
          </cell>
          <cell r="E175">
            <v>11990</v>
          </cell>
          <cell r="F175">
            <v>810.09174311926608</v>
          </cell>
          <cell r="G175">
            <v>0</v>
          </cell>
          <cell r="H175">
            <v>0</v>
          </cell>
          <cell r="I175" t="str">
            <v>N/A</v>
          </cell>
          <cell r="J175">
            <v>1099000</v>
          </cell>
          <cell r="K175">
            <v>556</v>
          </cell>
          <cell r="L175">
            <v>1976.6187050359713</v>
          </cell>
          <cell r="M175">
            <v>1191000</v>
          </cell>
          <cell r="N175">
            <v>19730000</v>
          </cell>
          <cell r="O175">
            <v>6.0364926507856055E-2</v>
          </cell>
          <cell r="P175">
            <v>628000</v>
          </cell>
          <cell r="Q175">
            <v>13509000</v>
          </cell>
          <cell r="R175">
            <v>4.6487526833962546E-2</v>
          </cell>
          <cell r="S175">
            <v>393000</v>
          </cell>
          <cell r="T175">
            <v>5200000</v>
          </cell>
          <cell r="U175">
            <v>7.5576923076923083E-2</v>
          </cell>
          <cell r="V175">
            <v>14137000</v>
          </cell>
          <cell r="W175">
            <v>23606000</v>
          </cell>
          <cell r="X175">
            <v>0.59887316783868505</v>
          </cell>
          <cell r="Y175">
            <v>5593000</v>
          </cell>
          <cell r="Z175">
            <v>23606000</v>
          </cell>
          <cell r="AA175">
            <v>0.23693128865542659</v>
          </cell>
          <cell r="AB175">
            <v>254000</v>
          </cell>
          <cell r="AC175">
            <v>23606000</v>
          </cell>
          <cell r="AD175">
            <v>1.0759976277217656E-2</v>
          </cell>
          <cell r="AE175">
            <v>2026000</v>
          </cell>
          <cell r="AF175">
            <v>23606000</v>
          </cell>
          <cell r="AG175">
            <v>8.5825637549775485E-2</v>
          </cell>
          <cell r="AH175">
            <v>273000</v>
          </cell>
          <cell r="AI175">
            <v>23606000</v>
          </cell>
          <cell r="AJ175">
            <v>1.1564856392442599E-2</v>
          </cell>
          <cell r="AK175">
            <v>1323000</v>
          </cell>
          <cell r="AL175">
            <v>23606000</v>
          </cell>
          <cell r="AM175">
            <v>5.6045073286452599E-2</v>
          </cell>
          <cell r="AN175">
            <v>23359000</v>
          </cell>
          <cell r="AO175">
            <v>27973</v>
          </cell>
          <cell r="AP175">
            <v>835.05523183069386</v>
          </cell>
          <cell r="AQ175">
            <v>9172000</v>
          </cell>
          <cell r="AR175">
            <v>24033000</v>
          </cell>
          <cell r="AS175">
            <v>0.38164190904173428</v>
          </cell>
          <cell r="AT175">
            <v>6802000</v>
          </cell>
          <cell r="AU175">
            <v>24033000</v>
          </cell>
          <cell r="AV175">
            <v>0.28302750384887448</v>
          </cell>
          <cell r="AW175">
            <v>186000</v>
          </cell>
          <cell r="AX175">
            <v>24033000</v>
          </cell>
          <cell r="AY175">
            <v>7.7393583822244413E-3</v>
          </cell>
          <cell r="AZ175">
            <v>2855000</v>
          </cell>
          <cell r="BA175">
            <v>24033000</v>
          </cell>
          <cell r="BB175">
            <v>0.11879499022177839</v>
          </cell>
          <cell r="BC175">
            <v>5018000</v>
          </cell>
          <cell r="BD175">
            <v>24033000</v>
          </cell>
          <cell r="BE175">
            <v>0.20879623850538842</v>
          </cell>
          <cell r="BF175">
            <v>24033000</v>
          </cell>
          <cell r="BG175">
            <v>27973</v>
          </cell>
          <cell r="BH175">
            <v>859.14989454116471</v>
          </cell>
          <cell r="BI175">
            <v>6988000</v>
          </cell>
          <cell r="BJ175">
            <v>3963000</v>
          </cell>
          <cell r="BK175">
            <v>1.7633106232652032</v>
          </cell>
          <cell r="BL175">
            <v>711000</v>
          </cell>
          <cell r="BM175">
            <v>22277000</v>
          </cell>
          <cell r="BN175">
            <v>3.1916326255779504E-2</v>
          </cell>
          <cell r="BO175">
            <v>2955000</v>
          </cell>
          <cell r="BP175">
            <v>2855000</v>
          </cell>
          <cell r="BQ175">
            <v>1.0350262697022767</v>
          </cell>
          <cell r="BR175">
            <v>164</v>
          </cell>
          <cell r="BS175" t="str">
            <v>On Time</v>
          </cell>
          <cell r="BT175" t="str">
            <v>On Time</v>
          </cell>
          <cell r="BU175" t="str">
            <v>On Time</v>
          </cell>
          <cell r="BV175">
            <v>1540000</v>
          </cell>
          <cell r="BW175">
            <v>27973</v>
          </cell>
          <cell r="BX175">
            <v>55.053086905230046</v>
          </cell>
          <cell r="BY175">
            <v>340261</v>
          </cell>
          <cell r="BZ175">
            <v>27973</v>
          </cell>
          <cell r="CA175">
            <v>12.163908054195117</v>
          </cell>
          <cell r="CB175">
            <v>3339000</v>
          </cell>
          <cell r="CC175">
            <v>12700</v>
          </cell>
          <cell r="CD175">
            <v>262.91338582677167</v>
          </cell>
          <cell r="CE175">
            <v>2464934</v>
          </cell>
          <cell r="CF175">
            <v>12321</v>
          </cell>
          <cell r="CG175">
            <v>200.05957308660012</v>
          </cell>
          <cell r="CH175">
            <v>4654000</v>
          </cell>
          <cell r="CI175">
            <v>27973</v>
          </cell>
          <cell r="CJ175">
            <v>166.37471847853288</v>
          </cell>
          <cell r="CK175">
            <v>6049000</v>
          </cell>
          <cell r="CL175">
            <v>27973</v>
          </cell>
          <cell r="CM175">
            <v>216.24423551281592</v>
          </cell>
          <cell r="CN175" t="str">
            <v>N/A</v>
          </cell>
          <cell r="CO175" t="str">
            <v>N/A</v>
          </cell>
          <cell r="CP175" t="str">
            <v>N/A</v>
          </cell>
          <cell r="CQ175" t="str">
            <v>N/A</v>
          </cell>
          <cell r="CR175">
            <v>545</v>
          </cell>
          <cell r="CS175">
            <v>69215</v>
          </cell>
          <cell r="CT175">
            <v>545</v>
          </cell>
          <cell r="CU175">
            <v>127</v>
          </cell>
          <cell r="CV175">
            <v>111</v>
          </cell>
          <cell r="CW175">
            <v>422000</v>
          </cell>
          <cell r="CX175">
            <v>1894000</v>
          </cell>
          <cell r="CY175">
            <v>0.22280887011615627</v>
          </cell>
          <cell r="CZ175">
            <v>1049000</v>
          </cell>
          <cell r="DA175">
            <v>27973</v>
          </cell>
          <cell r="DB175">
            <v>37.50044685947163</v>
          </cell>
          <cell r="DC175">
            <v>1065000</v>
          </cell>
          <cell r="DD175">
            <v>27973</v>
          </cell>
          <cell r="DE175">
            <v>38.072426983162337</v>
          </cell>
          <cell r="DF175">
            <v>1693000</v>
          </cell>
          <cell r="DG175">
            <v>27973</v>
          </cell>
          <cell r="DH175">
            <v>60.522646838022382</v>
          </cell>
          <cell r="DI175">
            <v>8.6999999999999993</v>
          </cell>
          <cell r="DJ175">
            <v>3215.2873563218395</v>
          </cell>
          <cell r="DK175">
            <v>4.0599966493084505E-3</v>
          </cell>
          <cell r="DL175">
            <v>7.0000000000000007E-2</v>
          </cell>
          <cell r="DM175">
            <v>12.02</v>
          </cell>
        </row>
        <row r="176">
          <cell r="B176" t="str">
            <v>Ku-ring-gai Council</v>
          </cell>
          <cell r="C176">
            <v>3</v>
          </cell>
          <cell r="D176">
            <v>30152000</v>
          </cell>
          <cell r="E176">
            <v>34952</v>
          </cell>
          <cell r="F176">
            <v>862.66880292973224</v>
          </cell>
          <cell r="G176">
            <v>0</v>
          </cell>
          <cell r="H176">
            <v>0</v>
          </cell>
          <cell r="I176" t="str">
            <v>N/A</v>
          </cell>
          <cell r="J176">
            <v>2000000</v>
          </cell>
          <cell r="K176">
            <v>867</v>
          </cell>
          <cell r="L176">
            <v>2306.8050749711651</v>
          </cell>
          <cell r="M176">
            <v>2129000</v>
          </cell>
          <cell r="N176">
            <v>55254000</v>
          </cell>
          <cell r="O176">
            <v>3.8531147066275744E-2</v>
          </cell>
          <cell r="P176">
            <v>1422000</v>
          </cell>
          <cell r="Q176">
            <v>39616000</v>
          </cell>
          <cell r="R176">
            <v>3.5894588045234252E-2</v>
          </cell>
          <cell r="S176">
            <v>1111000</v>
          </cell>
          <cell r="T176">
            <v>13105000</v>
          </cell>
          <cell r="U176">
            <v>8.477680274704312E-2</v>
          </cell>
          <cell r="V176">
            <v>41038000</v>
          </cell>
          <cell r="W176">
            <v>63754000</v>
          </cell>
          <cell r="X176">
            <v>0.64369294475640748</v>
          </cell>
          <cell r="Y176">
            <v>14216000</v>
          </cell>
          <cell r="Z176">
            <v>63754000</v>
          </cell>
          <cell r="AA176">
            <v>0.22298208739843775</v>
          </cell>
          <cell r="AB176">
            <v>901000</v>
          </cell>
          <cell r="AC176">
            <v>63754000</v>
          </cell>
          <cell r="AD176">
            <v>1.413244659158641E-2</v>
          </cell>
          <cell r="AE176">
            <v>5489000</v>
          </cell>
          <cell r="AF176">
            <v>63754000</v>
          </cell>
          <cell r="AG176">
            <v>8.6096558647300564E-2</v>
          </cell>
          <cell r="AH176">
            <v>1320000</v>
          </cell>
          <cell r="AI176">
            <v>63754000</v>
          </cell>
          <cell r="AJ176">
            <v>2.0704583241835807E-2</v>
          </cell>
          <cell r="AK176">
            <v>790000</v>
          </cell>
          <cell r="AL176">
            <v>63754000</v>
          </cell>
          <cell r="AM176">
            <v>1.2391379364432036E-2</v>
          </cell>
          <cell r="AN176">
            <v>61641000</v>
          </cell>
          <cell r="AO176">
            <v>108212</v>
          </cell>
          <cell r="AP176">
            <v>569.63183380771079</v>
          </cell>
          <cell r="AQ176">
            <v>23277000</v>
          </cell>
          <cell r="AR176">
            <v>62837000</v>
          </cell>
          <cell r="AS176">
            <v>0.37043461654757548</v>
          </cell>
          <cell r="AT176">
            <v>16090000</v>
          </cell>
          <cell r="AU176">
            <v>62837000</v>
          </cell>
          <cell r="AV176">
            <v>0.25605932810286935</v>
          </cell>
          <cell r="AW176">
            <v>829000</v>
          </cell>
          <cell r="AX176">
            <v>62837000</v>
          </cell>
          <cell r="AY176">
            <v>1.3192864076897369E-2</v>
          </cell>
          <cell r="AZ176">
            <v>7340000</v>
          </cell>
          <cell r="BA176">
            <v>62837000</v>
          </cell>
          <cell r="BB176">
            <v>0.11681015961933255</v>
          </cell>
          <cell r="BC176">
            <v>15301000</v>
          </cell>
          <cell r="BD176">
            <v>62837000</v>
          </cell>
          <cell r="BE176">
            <v>0.24350303165332526</v>
          </cell>
          <cell r="BF176">
            <v>62957000</v>
          </cell>
          <cell r="BG176">
            <v>108212</v>
          </cell>
          <cell r="BH176">
            <v>581.79314678593869</v>
          </cell>
          <cell r="BI176">
            <v>14858000</v>
          </cell>
          <cell r="BJ176">
            <v>8229000</v>
          </cell>
          <cell r="BK176">
            <v>1.8055656823429336</v>
          </cell>
          <cell r="BL176">
            <v>3605000</v>
          </cell>
          <cell r="BM176">
            <v>59759000</v>
          </cell>
          <cell r="BN176">
            <v>6.0325641325992739E-2</v>
          </cell>
          <cell r="BO176">
            <v>6023000</v>
          </cell>
          <cell r="BP176">
            <v>7340000</v>
          </cell>
          <cell r="BQ176">
            <v>0.82057220708446865</v>
          </cell>
          <cell r="BR176">
            <v>490</v>
          </cell>
          <cell r="BS176" t="str">
            <v>On Time</v>
          </cell>
          <cell r="BT176" t="str">
            <v>On Time</v>
          </cell>
          <cell r="BU176" t="str">
            <v>On Time</v>
          </cell>
          <cell r="BV176">
            <v>3230000</v>
          </cell>
          <cell r="BW176">
            <v>108212</v>
          </cell>
          <cell r="BX176">
            <v>29.848815288507744</v>
          </cell>
          <cell r="BY176">
            <v>969663</v>
          </cell>
          <cell r="BZ176">
            <v>108212</v>
          </cell>
          <cell r="CA176">
            <v>8.9607714486378587</v>
          </cell>
          <cell r="CB176">
            <v>7423000</v>
          </cell>
          <cell r="CC176">
            <v>35975</v>
          </cell>
          <cell r="CD176">
            <v>206.33773453787353</v>
          </cell>
          <cell r="CE176">
            <v>4159605</v>
          </cell>
          <cell r="CF176">
            <v>35975</v>
          </cell>
          <cell r="CG176">
            <v>115.62487838776929</v>
          </cell>
          <cell r="CH176">
            <v>27657000</v>
          </cell>
          <cell r="CI176">
            <v>108212</v>
          </cell>
          <cell r="CJ176">
            <v>255.58163604775811</v>
          </cell>
          <cell r="CK176">
            <v>20988000</v>
          </cell>
          <cell r="CL176">
            <v>108212</v>
          </cell>
          <cell r="CM176">
            <v>193.95261154030976</v>
          </cell>
          <cell r="CN176" t="str">
            <v>N/A</v>
          </cell>
          <cell r="CO176" t="str">
            <v>N/A</v>
          </cell>
          <cell r="CP176" t="str">
            <v>N/A</v>
          </cell>
          <cell r="CQ176" t="str">
            <v>N/A</v>
          </cell>
          <cell r="CR176">
            <v>1712</v>
          </cell>
          <cell r="CS176">
            <v>238792</v>
          </cell>
          <cell r="CT176">
            <v>1712</v>
          </cell>
          <cell r="CU176">
            <v>139.48130841121494</v>
          </cell>
          <cell r="CV176">
            <v>75</v>
          </cell>
          <cell r="CW176">
            <v>2687000</v>
          </cell>
          <cell r="CX176">
            <v>5560000</v>
          </cell>
          <cell r="CY176">
            <v>0.48327338129496406</v>
          </cell>
          <cell r="CZ176">
            <v>1377000</v>
          </cell>
          <cell r="DA176">
            <v>108212</v>
          </cell>
          <cell r="DB176">
            <v>12.725021254574354</v>
          </cell>
          <cell r="DC176">
            <v>2185000</v>
          </cell>
          <cell r="DD176">
            <v>108212</v>
          </cell>
          <cell r="DE176">
            <v>20.191845636343473</v>
          </cell>
          <cell r="DF176">
            <v>2976000</v>
          </cell>
          <cell r="DG176">
            <v>108212</v>
          </cell>
          <cell r="DH176">
            <v>27.501570990278342</v>
          </cell>
          <cell r="DI176">
            <v>85.5</v>
          </cell>
          <cell r="DJ176">
            <v>1265.6374269005848</v>
          </cell>
          <cell r="DK176">
            <v>4.4520788702668845E-3</v>
          </cell>
          <cell r="DL176">
            <v>0.11</v>
          </cell>
          <cell r="DM176">
            <v>16.690000000000001</v>
          </cell>
        </row>
        <row r="177">
          <cell r="B177" t="str">
            <v>Armidale City Council</v>
          </cell>
          <cell r="C177" t="str">
            <v>A</v>
          </cell>
          <cell r="F177">
            <v>0</v>
          </cell>
          <cell r="I177">
            <v>0</v>
          </cell>
          <cell r="L177">
            <v>0</v>
          </cell>
          <cell r="O177">
            <v>0</v>
          </cell>
          <cell r="R177">
            <v>0</v>
          </cell>
          <cell r="U177">
            <v>0</v>
          </cell>
          <cell r="X177">
            <v>0</v>
          </cell>
          <cell r="Z177">
            <v>0</v>
          </cell>
          <cell r="AA177">
            <v>0</v>
          </cell>
          <cell r="AC177">
            <v>0</v>
          </cell>
          <cell r="AD177">
            <v>0</v>
          </cell>
          <cell r="AF177">
            <v>0</v>
          </cell>
          <cell r="AG177">
            <v>0</v>
          </cell>
          <cell r="AI177">
            <v>0</v>
          </cell>
          <cell r="AJ177">
            <v>0</v>
          </cell>
          <cell r="AL177">
            <v>0</v>
          </cell>
          <cell r="AM177">
            <v>0</v>
          </cell>
          <cell r="AP177">
            <v>0</v>
          </cell>
          <cell r="AS177">
            <v>0</v>
          </cell>
          <cell r="AU177">
            <v>0</v>
          </cell>
          <cell r="AV177">
            <v>0</v>
          </cell>
          <cell r="AX177">
            <v>0</v>
          </cell>
          <cell r="AY177">
            <v>0</v>
          </cell>
          <cell r="BA177">
            <v>0</v>
          </cell>
          <cell r="BB177">
            <v>0</v>
          </cell>
          <cell r="BD177">
            <v>0</v>
          </cell>
          <cell r="BE177">
            <v>0</v>
          </cell>
          <cell r="BG177">
            <v>0</v>
          </cell>
          <cell r="BH177">
            <v>0</v>
          </cell>
          <cell r="BK177">
            <v>0</v>
          </cell>
          <cell r="BN177">
            <v>0</v>
          </cell>
          <cell r="BQ177">
            <v>0</v>
          </cell>
          <cell r="BW177">
            <v>0</v>
          </cell>
          <cell r="BX177">
            <v>0</v>
          </cell>
          <cell r="BZ177">
            <v>0</v>
          </cell>
          <cell r="CA177">
            <v>0</v>
          </cell>
          <cell r="CD177">
            <v>0</v>
          </cell>
          <cell r="CG177">
            <v>0</v>
          </cell>
          <cell r="CI177">
            <v>0</v>
          </cell>
          <cell r="CJ177">
            <v>0</v>
          </cell>
          <cell r="CL177">
            <v>0</v>
          </cell>
          <cell r="CM177">
            <v>0</v>
          </cell>
          <cell r="CT177">
            <v>0</v>
          </cell>
          <cell r="CU177">
            <v>0</v>
          </cell>
          <cell r="CY177">
            <v>0</v>
          </cell>
          <cell r="DA177">
            <v>0</v>
          </cell>
          <cell r="DB177">
            <v>0</v>
          </cell>
          <cell r="DD177">
            <v>0</v>
          </cell>
          <cell r="DE177">
            <v>0</v>
          </cell>
          <cell r="DG177">
            <v>0</v>
          </cell>
          <cell r="DH177">
            <v>0</v>
          </cell>
        </row>
        <row r="178">
          <cell r="B178" t="str">
            <v>Casino Council</v>
          </cell>
          <cell r="C178" t="str">
            <v>A</v>
          </cell>
          <cell r="F178">
            <v>0</v>
          </cell>
          <cell r="I178">
            <v>0</v>
          </cell>
          <cell r="L178">
            <v>0</v>
          </cell>
          <cell r="O178">
            <v>0</v>
          </cell>
          <cell r="R178">
            <v>0</v>
          </cell>
          <cell r="U178">
            <v>0</v>
          </cell>
          <cell r="X178">
            <v>0</v>
          </cell>
          <cell r="Z178">
            <v>0</v>
          </cell>
          <cell r="AA178">
            <v>0</v>
          </cell>
          <cell r="AC178">
            <v>0</v>
          </cell>
          <cell r="AD178">
            <v>0</v>
          </cell>
          <cell r="AF178">
            <v>0</v>
          </cell>
          <cell r="AG178">
            <v>0</v>
          </cell>
          <cell r="AI178">
            <v>0</v>
          </cell>
          <cell r="AJ178">
            <v>0</v>
          </cell>
          <cell r="AL178">
            <v>0</v>
          </cell>
          <cell r="AM178">
            <v>0</v>
          </cell>
          <cell r="AP178">
            <v>0</v>
          </cell>
          <cell r="AS178">
            <v>0</v>
          </cell>
          <cell r="AU178">
            <v>0</v>
          </cell>
          <cell r="AV178">
            <v>0</v>
          </cell>
          <cell r="AX178">
            <v>0</v>
          </cell>
          <cell r="AY178">
            <v>0</v>
          </cell>
          <cell r="BA178">
            <v>0</v>
          </cell>
          <cell r="BB178">
            <v>0</v>
          </cell>
          <cell r="BD178">
            <v>0</v>
          </cell>
          <cell r="BE178">
            <v>0</v>
          </cell>
          <cell r="BG178">
            <v>0</v>
          </cell>
          <cell r="BH178">
            <v>0</v>
          </cell>
          <cell r="BK178">
            <v>0</v>
          </cell>
          <cell r="BN178">
            <v>0</v>
          </cell>
          <cell r="BQ178">
            <v>0</v>
          </cell>
          <cell r="BW178">
            <v>0</v>
          </cell>
          <cell r="BX178">
            <v>0</v>
          </cell>
          <cell r="BZ178">
            <v>0</v>
          </cell>
          <cell r="CA178">
            <v>0</v>
          </cell>
          <cell r="CD178">
            <v>0</v>
          </cell>
          <cell r="CG178">
            <v>0</v>
          </cell>
          <cell r="CI178">
            <v>0</v>
          </cell>
          <cell r="CJ178">
            <v>0</v>
          </cell>
          <cell r="CL178">
            <v>0</v>
          </cell>
          <cell r="CM178">
            <v>0</v>
          </cell>
          <cell r="CT178">
            <v>0</v>
          </cell>
          <cell r="CU178">
            <v>0</v>
          </cell>
          <cell r="CY178">
            <v>0</v>
          </cell>
          <cell r="DA178">
            <v>0</v>
          </cell>
          <cell r="DB178">
            <v>0</v>
          </cell>
          <cell r="DD178">
            <v>0</v>
          </cell>
          <cell r="DE178">
            <v>0</v>
          </cell>
          <cell r="DG178">
            <v>0</v>
          </cell>
          <cell r="DH178">
            <v>0</v>
          </cell>
        </row>
        <row r="179">
          <cell r="B179" t="str">
            <v>Conargo Shire Council (Old)</v>
          </cell>
          <cell r="C179" t="str">
            <v>A</v>
          </cell>
          <cell r="F179">
            <v>0</v>
          </cell>
          <cell r="I179">
            <v>0</v>
          </cell>
          <cell r="L179">
            <v>0</v>
          </cell>
          <cell r="O179">
            <v>0</v>
          </cell>
          <cell r="R179">
            <v>0</v>
          </cell>
          <cell r="U179">
            <v>0</v>
          </cell>
          <cell r="X179">
            <v>0</v>
          </cell>
          <cell r="Z179">
            <v>0</v>
          </cell>
          <cell r="AA179">
            <v>0</v>
          </cell>
          <cell r="AC179">
            <v>0</v>
          </cell>
          <cell r="AD179">
            <v>0</v>
          </cell>
          <cell r="AF179">
            <v>0</v>
          </cell>
          <cell r="AG179">
            <v>0</v>
          </cell>
          <cell r="AI179">
            <v>0</v>
          </cell>
          <cell r="AJ179">
            <v>0</v>
          </cell>
          <cell r="AL179">
            <v>0</v>
          </cell>
          <cell r="AM179">
            <v>0</v>
          </cell>
          <cell r="AP179">
            <v>0</v>
          </cell>
          <cell r="AS179">
            <v>0</v>
          </cell>
          <cell r="AU179">
            <v>0</v>
          </cell>
          <cell r="AV179">
            <v>0</v>
          </cell>
          <cell r="AX179">
            <v>0</v>
          </cell>
          <cell r="AY179">
            <v>0</v>
          </cell>
          <cell r="BA179">
            <v>0</v>
          </cell>
          <cell r="BB179">
            <v>0</v>
          </cell>
          <cell r="BD179">
            <v>0</v>
          </cell>
          <cell r="BE179">
            <v>0</v>
          </cell>
          <cell r="BG179">
            <v>0</v>
          </cell>
          <cell r="BH179">
            <v>0</v>
          </cell>
          <cell r="BK179">
            <v>0</v>
          </cell>
          <cell r="BN179">
            <v>0</v>
          </cell>
          <cell r="BQ179">
            <v>0</v>
          </cell>
          <cell r="BX179">
            <v>0</v>
          </cell>
          <cell r="CA179">
            <v>0</v>
          </cell>
          <cell r="CD179">
            <v>0</v>
          </cell>
          <cell r="CG179">
            <v>0</v>
          </cell>
          <cell r="CJ179">
            <v>0</v>
          </cell>
          <cell r="CM179">
            <v>0</v>
          </cell>
          <cell r="CT179">
            <v>0</v>
          </cell>
          <cell r="CU179">
            <v>0</v>
          </cell>
          <cell r="CY179">
            <v>0</v>
          </cell>
          <cell r="DB179">
            <v>0</v>
          </cell>
          <cell r="DE179">
            <v>0</v>
          </cell>
          <cell r="DH179">
            <v>0</v>
          </cell>
          <cell r="DI179">
            <v>3687.9</v>
          </cell>
          <cell r="DJ179">
            <v>0</v>
          </cell>
          <cell r="DL179">
            <v>0.4</v>
          </cell>
          <cell r="DM179">
            <v>2.0499999999999998</v>
          </cell>
        </row>
        <row r="180">
          <cell r="B180" t="str">
            <v>Concord Council</v>
          </cell>
          <cell r="C180" t="str">
            <v>A</v>
          </cell>
          <cell r="F180">
            <v>0</v>
          </cell>
          <cell r="I180">
            <v>0</v>
          </cell>
          <cell r="L180">
            <v>0</v>
          </cell>
          <cell r="O180">
            <v>0</v>
          </cell>
          <cell r="R180">
            <v>0</v>
          </cell>
          <cell r="U180">
            <v>0</v>
          </cell>
          <cell r="X180">
            <v>0</v>
          </cell>
          <cell r="Z180">
            <v>0</v>
          </cell>
          <cell r="AA180">
            <v>0</v>
          </cell>
          <cell r="AC180">
            <v>0</v>
          </cell>
          <cell r="AD180">
            <v>0</v>
          </cell>
          <cell r="AF180">
            <v>0</v>
          </cell>
          <cell r="AG180">
            <v>0</v>
          </cell>
          <cell r="AI180">
            <v>0</v>
          </cell>
          <cell r="AJ180">
            <v>0</v>
          </cell>
          <cell r="AL180">
            <v>0</v>
          </cell>
          <cell r="AM180">
            <v>0</v>
          </cell>
          <cell r="AP180">
            <v>0</v>
          </cell>
          <cell r="AS180">
            <v>0</v>
          </cell>
          <cell r="AU180">
            <v>0</v>
          </cell>
          <cell r="AV180">
            <v>0</v>
          </cell>
          <cell r="AX180">
            <v>0</v>
          </cell>
          <cell r="AY180">
            <v>0</v>
          </cell>
          <cell r="BA180">
            <v>0</v>
          </cell>
          <cell r="BB180">
            <v>0</v>
          </cell>
          <cell r="BD180">
            <v>0</v>
          </cell>
          <cell r="BE180">
            <v>0</v>
          </cell>
          <cell r="BG180">
            <v>0</v>
          </cell>
          <cell r="BH180">
            <v>0</v>
          </cell>
          <cell r="BK180">
            <v>0</v>
          </cell>
          <cell r="BN180">
            <v>0</v>
          </cell>
          <cell r="BQ180">
            <v>0</v>
          </cell>
          <cell r="BX180">
            <v>0</v>
          </cell>
          <cell r="CA180">
            <v>0</v>
          </cell>
          <cell r="CD180">
            <v>0</v>
          </cell>
          <cell r="CG180">
            <v>0</v>
          </cell>
          <cell r="CJ180">
            <v>0</v>
          </cell>
          <cell r="CM180">
            <v>0</v>
          </cell>
          <cell r="CT180">
            <v>0</v>
          </cell>
          <cell r="CU180">
            <v>0</v>
          </cell>
          <cell r="CY180">
            <v>0</v>
          </cell>
          <cell r="DB180">
            <v>0</v>
          </cell>
          <cell r="DE180">
            <v>0</v>
          </cell>
          <cell r="DH180">
            <v>0</v>
          </cell>
          <cell r="DI180">
            <v>11.5</v>
          </cell>
          <cell r="DJ180">
            <v>0</v>
          </cell>
          <cell r="DL180">
            <v>0.33</v>
          </cell>
          <cell r="DM180">
            <v>25.89</v>
          </cell>
        </row>
        <row r="181">
          <cell r="B181" t="str">
            <v>Drummoyne Council</v>
          </cell>
          <cell r="C181" t="str">
            <v>A</v>
          </cell>
          <cell r="F181">
            <v>0</v>
          </cell>
          <cell r="I181">
            <v>0</v>
          </cell>
          <cell r="L181">
            <v>0</v>
          </cell>
          <cell r="O181">
            <v>0</v>
          </cell>
          <cell r="R181">
            <v>0</v>
          </cell>
          <cell r="U181">
            <v>0</v>
          </cell>
          <cell r="X181">
            <v>0</v>
          </cell>
          <cell r="Z181">
            <v>0</v>
          </cell>
          <cell r="AA181">
            <v>0</v>
          </cell>
          <cell r="AC181">
            <v>0</v>
          </cell>
          <cell r="AD181">
            <v>0</v>
          </cell>
          <cell r="AF181">
            <v>0</v>
          </cell>
          <cell r="AG181">
            <v>0</v>
          </cell>
          <cell r="AI181">
            <v>0</v>
          </cell>
          <cell r="AJ181">
            <v>0</v>
          </cell>
          <cell r="AL181">
            <v>0</v>
          </cell>
          <cell r="AM181">
            <v>0</v>
          </cell>
          <cell r="AP181">
            <v>0</v>
          </cell>
          <cell r="AS181">
            <v>0</v>
          </cell>
          <cell r="AU181">
            <v>0</v>
          </cell>
          <cell r="AV181">
            <v>0</v>
          </cell>
          <cell r="AX181">
            <v>0</v>
          </cell>
          <cell r="AY181">
            <v>0</v>
          </cell>
          <cell r="BA181">
            <v>0</v>
          </cell>
          <cell r="BB181">
            <v>0</v>
          </cell>
          <cell r="BD181">
            <v>0</v>
          </cell>
          <cell r="BE181">
            <v>0</v>
          </cell>
          <cell r="BH181">
            <v>0</v>
          </cell>
          <cell r="BK181">
            <v>0</v>
          </cell>
          <cell r="BN181">
            <v>0</v>
          </cell>
          <cell r="BQ181">
            <v>0</v>
          </cell>
          <cell r="BX181">
            <v>0</v>
          </cell>
          <cell r="CA181">
            <v>0</v>
          </cell>
          <cell r="CD181">
            <v>0</v>
          </cell>
          <cell r="CG181">
            <v>0</v>
          </cell>
          <cell r="CJ181">
            <v>0</v>
          </cell>
          <cell r="CM181">
            <v>0</v>
          </cell>
          <cell r="CT181">
            <v>0</v>
          </cell>
          <cell r="CU181">
            <v>0</v>
          </cell>
          <cell r="CY181">
            <v>0</v>
          </cell>
          <cell r="DB181">
            <v>0</v>
          </cell>
          <cell r="DE181">
            <v>0</v>
          </cell>
          <cell r="DH181">
            <v>0</v>
          </cell>
          <cell r="DI181">
            <v>8.3000000000000007</v>
          </cell>
          <cell r="DL181">
            <v>0.32</v>
          </cell>
          <cell r="DM181">
            <v>21.01</v>
          </cell>
        </row>
        <row r="182">
          <cell r="B182" t="str">
            <v>Dumaresq Shire Council</v>
          </cell>
          <cell r="C182" t="str">
            <v>A</v>
          </cell>
          <cell r="F182">
            <v>0</v>
          </cell>
          <cell r="I182">
            <v>0</v>
          </cell>
          <cell r="L182">
            <v>0</v>
          </cell>
          <cell r="O182">
            <v>0</v>
          </cell>
          <cell r="R182">
            <v>0</v>
          </cell>
          <cell r="U182">
            <v>0</v>
          </cell>
          <cell r="X182">
            <v>0</v>
          </cell>
          <cell r="Z182">
            <v>0</v>
          </cell>
          <cell r="AA182">
            <v>0</v>
          </cell>
          <cell r="AC182">
            <v>0</v>
          </cell>
          <cell r="AD182">
            <v>0</v>
          </cell>
          <cell r="AF182">
            <v>0</v>
          </cell>
          <cell r="AG182">
            <v>0</v>
          </cell>
          <cell r="AI182">
            <v>0</v>
          </cell>
          <cell r="AJ182">
            <v>0</v>
          </cell>
          <cell r="AL182">
            <v>0</v>
          </cell>
          <cell r="AM182">
            <v>0</v>
          </cell>
          <cell r="AP182">
            <v>0</v>
          </cell>
          <cell r="AS182">
            <v>0</v>
          </cell>
          <cell r="AU182">
            <v>0</v>
          </cell>
          <cell r="AV182">
            <v>0</v>
          </cell>
          <cell r="AX182">
            <v>0</v>
          </cell>
          <cell r="AY182">
            <v>0</v>
          </cell>
          <cell r="BA182">
            <v>0</v>
          </cell>
          <cell r="BB182">
            <v>0</v>
          </cell>
          <cell r="BD182">
            <v>0</v>
          </cell>
          <cell r="BE182">
            <v>0</v>
          </cell>
          <cell r="BG182">
            <v>0</v>
          </cell>
          <cell r="BH182">
            <v>0</v>
          </cell>
          <cell r="BK182">
            <v>0</v>
          </cell>
          <cell r="BN182">
            <v>0</v>
          </cell>
          <cell r="BQ182">
            <v>0</v>
          </cell>
          <cell r="BW182">
            <v>0</v>
          </cell>
          <cell r="BX182">
            <v>0</v>
          </cell>
          <cell r="BZ182">
            <v>0</v>
          </cell>
          <cell r="CA182">
            <v>0</v>
          </cell>
          <cell r="CD182">
            <v>0</v>
          </cell>
          <cell r="CG182">
            <v>0</v>
          </cell>
          <cell r="CI182">
            <v>0</v>
          </cell>
          <cell r="CJ182">
            <v>0</v>
          </cell>
          <cell r="CL182">
            <v>0</v>
          </cell>
          <cell r="CM182">
            <v>0</v>
          </cell>
          <cell r="CT182">
            <v>0</v>
          </cell>
          <cell r="CU182">
            <v>0</v>
          </cell>
          <cell r="CY182">
            <v>0</v>
          </cell>
          <cell r="DA182">
            <v>0</v>
          </cell>
          <cell r="DB182">
            <v>0</v>
          </cell>
          <cell r="DD182">
            <v>0</v>
          </cell>
          <cell r="DE182">
            <v>0</v>
          </cell>
          <cell r="DG182">
            <v>0</v>
          </cell>
          <cell r="DH182">
            <v>0</v>
          </cell>
        </row>
        <row r="183">
          <cell r="B183" t="str">
            <v>Nymboida Shire Council</v>
          </cell>
          <cell r="C183" t="str">
            <v>A</v>
          </cell>
          <cell r="F183">
            <v>0</v>
          </cell>
          <cell r="I183">
            <v>0</v>
          </cell>
          <cell r="L183">
            <v>0</v>
          </cell>
          <cell r="O183">
            <v>0</v>
          </cell>
          <cell r="R183">
            <v>0</v>
          </cell>
          <cell r="U183">
            <v>0</v>
          </cell>
          <cell r="X183">
            <v>0</v>
          </cell>
          <cell r="Z183">
            <v>0</v>
          </cell>
          <cell r="AA183">
            <v>0</v>
          </cell>
          <cell r="AC183">
            <v>0</v>
          </cell>
          <cell r="AD183">
            <v>0</v>
          </cell>
          <cell r="AF183">
            <v>0</v>
          </cell>
          <cell r="AG183">
            <v>0</v>
          </cell>
          <cell r="AI183">
            <v>0</v>
          </cell>
          <cell r="AJ183">
            <v>0</v>
          </cell>
          <cell r="AL183">
            <v>0</v>
          </cell>
          <cell r="AM183">
            <v>0</v>
          </cell>
          <cell r="AP183">
            <v>0</v>
          </cell>
          <cell r="AS183">
            <v>0</v>
          </cell>
          <cell r="AU183">
            <v>0</v>
          </cell>
          <cell r="AV183">
            <v>0</v>
          </cell>
          <cell r="AX183">
            <v>0</v>
          </cell>
          <cell r="AY183">
            <v>0</v>
          </cell>
          <cell r="BA183">
            <v>0</v>
          </cell>
          <cell r="BB183">
            <v>0</v>
          </cell>
          <cell r="BD183">
            <v>0</v>
          </cell>
          <cell r="BE183">
            <v>0</v>
          </cell>
          <cell r="BG183">
            <v>0</v>
          </cell>
          <cell r="BH183">
            <v>0</v>
          </cell>
          <cell r="BK183">
            <v>0</v>
          </cell>
          <cell r="BN183">
            <v>0</v>
          </cell>
          <cell r="BQ183">
            <v>0</v>
          </cell>
          <cell r="BW183">
            <v>0</v>
          </cell>
          <cell r="BX183">
            <v>0</v>
          </cell>
          <cell r="BZ183">
            <v>0</v>
          </cell>
          <cell r="CA183">
            <v>0</v>
          </cell>
          <cell r="CD183">
            <v>0</v>
          </cell>
          <cell r="CG183">
            <v>0</v>
          </cell>
          <cell r="CI183">
            <v>0</v>
          </cell>
          <cell r="CJ183">
            <v>0</v>
          </cell>
          <cell r="CL183">
            <v>0</v>
          </cell>
          <cell r="CM183">
            <v>0</v>
          </cell>
          <cell r="CT183">
            <v>0</v>
          </cell>
          <cell r="CU183">
            <v>0</v>
          </cell>
          <cell r="CY183">
            <v>0</v>
          </cell>
          <cell r="DA183">
            <v>0</v>
          </cell>
          <cell r="DB183">
            <v>0</v>
          </cell>
          <cell r="DD183">
            <v>0</v>
          </cell>
          <cell r="DE183">
            <v>0</v>
          </cell>
          <cell r="DG183">
            <v>0</v>
          </cell>
          <cell r="DH183">
            <v>0</v>
          </cell>
        </row>
        <row r="184">
          <cell r="B184" t="str">
            <v>Richmond River Shire Council</v>
          </cell>
          <cell r="C184" t="str">
            <v>A</v>
          </cell>
          <cell r="F184">
            <v>0</v>
          </cell>
          <cell r="I184">
            <v>0</v>
          </cell>
          <cell r="L184">
            <v>0</v>
          </cell>
          <cell r="O184">
            <v>0</v>
          </cell>
          <cell r="R184">
            <v>0</v>
          </cell>
          <cell r="U184">
            <v>0</v>
          </cell>
          <cell r="X184">
            <v>0</v>
          </cell>
          <cell r="Z184">
            <v>0</v>
          </cell>
          <cell r="AA184">
            <v>0</v>
          </cell>
          <cell r="AC184">
            <v>0</v>
          </cell>
          <cell r="AD184">
            <v>0</v>
          </cell>
          <cell r="AF184">
            <v>0</v>
          </cell>
          <cell r="AG184">
            <v>0</v>
          </cell>
          <cell r="AI184">
            <v>0</v>
          </cell>
          <cell r="AJ184">
            <v>0</v>
          </cell>
          <cell r="AL184">
            <v>0</v>
          </cell>
          <cell r="AM184">
            <v>0</v>
          </cell>
          <cell r="AP184">
            <v>0</v>
          </cell>
          <cell r="AS184">
            <v>0</v>
          </cell>
          <cell r="AU184">
            <v>0</v>
          </cell>
          <cell r="AV184">
            <v>0</v>
          </cell>
          <cell r="AX184">
            <v>0</v>
          </cell>
          <cell r="AY184">
            <v>0</v>
          </cell>
          <cell r="BA184">
            <v>0</v>
          </cell>
          <cell r="BB184">
            <v>0</v>
          </cell>
          <cell r="BD184">
            <v>0</v>
          </cell>
          <cell r="BE184">
            <v>0</v>
          </cell>
          <cell r="BG184">
            <v>0</v>
          </cell>
          <cell r="BH184">
            <v>0</v>
          </cell>
          <cell r="BK184">
            <v>0</v>
          </cell>
          <cell r="BN184">
            <v>0</v>
          </cell>
          <cell r="BQ184">
            <v>0</v>
          </cell>
          <cell r="BW184">
            <v>0</v>
          </cell>
          <cell r="BX184">
            <v>0</v>
          </cell>
          <cell r="BZ184">
            <v>0</v>
          </cell>
          <cell r="CA184">
            <v>0</v>
          </cell>
          <cell r="CD184">
            <v>0</v>
          </cell>
          <cell r="CG184">
            <v>0</v>
          </cell>
          <cell r="CI184">
            <v>0</v>
          </cell>
          <cell r="CJ184">
            <v>0</v>
          </cell>
          <cell r="CL184">
            <v>0</v>
          </cell>
          <cell r="CM184">
            <v>0</v>
          </cell>
          <cell r="CT184">
            <v>0</v>
          </cell>
          <cell r="CU184">
            <v>0</v>
          </cell>
          <cell r="CY184">
            <v>0</v>
          </cell>
          <cell r="DA184">
            <v>0</v>
          </cell>
          <cell r="DB184">
            <v>0</v>
          </cell>
          <cell r="DD184">
            <v>0</v>
          </cell>
          <cell r="DE184">
            <v>0</v>
          </cell>
          <cell r="DG184">
            <v>0</v>
          </cell>
          <cell r="DH184">
            <v>0</v>
          </cell>
        </row>
        <row r="185">
          <cell r="B185" t="str">
            <v>Ulmarra Shire Council</v>
          </cell>
          <cell r="C185" t="str">
            <v>A</v>
          </cell>
          <cell r="F185">
            <v>0</v>
          </cell>
          <cell r="I185">
            <v>0</v>
          </cell>
          <cell r="L185">
            <v>0</v>
          </cell>
          <cell r="O185">
            <v>0</v>
          </cell>
          <cell r="R185">
            <v>0</v>
          </cell>
          <cell r="U185">
            <v>0</v>
          </cell>
          <cell r="X185">
            <v>0</v>
          </cell>
          <cell r="Z185">
            <v>0</v>
          </cell>
          <cell r="AA185">
            <v>0</v>
          </cell>
          <cell r="AC185">
            <v>0</v>
          </cell>
          <cell r="AD185">
            <v>0</v>
          </cell>
          <cell r="AF185">
            <v>0</v>
          </cell>
          <cell r="AG185">
            <v>0</v>
          </cell>
          <cell r="AI185">
            <v>0</v>
          </cell>
          <cell r="AJ185">
            <v>0</v>
          </cell>
          <cell r="AL185">
            <v>0</v>
          </cell>
          <cell r="AM185">
            <v>0</v>
          </cell>
          <cell r="AP185">
            <v>0</v>
          </cell>
          <cell r="AS185">
            <v>0</v>
          </cell>
          <cell r="AU185">
            <v>0</v>
          </cell>
          <cell r="AV185">
            <v>0</v>
          </cell>
          <cell r="AX185">
            <v>0</v>
          </cell>
          <cell r="AY185">
            <v>0</v>
          </cell>
          <cell r="BA185">
            <v>0</v>
          </cell>
          <cell r="BB185">
            <v>0</v>
          </cell>
          <cell r="BD185">
            <v>0</v>
          </cell>
          <cell r="BE185">
            <v>0</v>
          </cell>
          <cell r="BG185">
            <v>0</v>
          </cell>
          <cell r="BH185">
            <v>0</v>
          </cell>
          <cell r="BK185">
            <v>0</v>
          </cell>
          <cell r="BN185">
            <v>0</v>
          </cell>
          <cell r="BQ185">
            <v>0</v>
          </cell>
          <cell r="BW185">
            <v>0</v>
          </cell>
          <cell r="BX185">
            <v>0</v>
          </cell>
          <cell r="BZ185">
            <v>0</v>
          </cell>
          <cell r="CA185">
            <v>0</v>
          </cell>
          <cell r="CD185">
            <v>0</v>
          </cell>
          <cell r="CG185">
            <v>0</v>
          </cell>
          <cell r="CI185">
            <v>0</v>
          </cell>
          <cell r="CJ185">
            <v>0</v>
          </cell>
          <cell r="CL185">
            <v>0</v>
          </cell>
          <cell r="CM185">
            <v>0</v>
          </cell>
          <cell r="CT185">
            <v>0</v>
          </cell>
          <cell r="CU185">
            <v>0</v>
          </cell>
          <cell r="CY185">
            <v>0</v>
          </cell>
          <cell r="DA185">
            <v>0</v>
          </cell>
          <cell r="DB185">
            <v>0</v>
          </cell>
          <cell r="DD185">
            <v>0</v>
          </cell>
          <cell r="DE185">
            <v>0</v>
          </cell>
          <cell r="DG185">
            <v>0</v>
          </cell>
          <cell r="DH185">
            <v>0</v>
          </cell>
        </row>
        <row r="186">
          <cell r="B186" t="str">
            <v>Windouran Shire Council</v>
          </cell>
          <cell r="C186" t="str">
            <v>A</v>
          </cell>
          <cell r="F186">
            <v>0</v>
          </cell>
          <cell r="I186">
            <v>0</v>
          </cell>
          <cell r="L186">
            <v>0</v>
          </cell>
          <cell r="O186">
            <v>0</v>
          </cell>
          <cell r="R186">
            <v>0</v>
          </cell>
          <cell r="U186">
            <v>0</v>
          </cell>
          <cell r="X186">
            <v>0</v>
          </cell>
          <cell r="Z186">
            <v>0</v>
          </cell>
          <cell r="AA186">
            <v>0</v>
          </cell>
          <cell r="AC186">
            <v>0</v>
          </cell>
          <cell r="AD186">
            <v>0</v>
          </cell>
          <cell r="AF186">
            <v>0</v>
          </cell>
          <cell r="AG186">
            <v>0</v>
          </cell>
          <cell r="AI186">
            <v>0</v>
          </cell>
          <cell r="AJ186">
            <v>0</v>
          </cell>
          <cell r="AL186">
            <v>0</v>
          </cell>
          <cell r="AM186">
            <v>0</v>
          </cell>
          <cell r="AP186">
            <v>0</v>
          </cell>
          <cell r="AS186">
            <v>0</v>
          </cell>
          <cell r="AU186">
            <v>0</v>
          </cell>
          <cell r="AV186">
            <v>0</v>
          </cell>
          <cell r="AX186">
            <v>0</v>
          </cell>
          <cell r="AY186">
            <v>0</v>
          </cell>
          <cell r="BA186">
            <v>0</v>
          </cell>
          <cell r="BB186">
            <v>0</v>
          </cell>
          <cell r="BD186">
            <v>0</v>
          </cell>
          <cell r="BE186">
            <v>0</v>
          </cell>
          <cell r="BG186">
            <v>0</v>
          </cell>
          <cell r="BH186">
            <v>0</v>
          </cell>
          <cell r="BK186">
            <v>0</v>
          </cell>
          <cell r="BN186">
            <v>0</v>
          </cell>
          <cell r="BQ186">
            <v>0</v>
          </cell>
          <cell r="BW186">
            <v>0</v>
          </cell>
          <cell r="BX186">
            <v>0</v>
          </cell>
          <cell r="BZ186">
            <v>0</v>
          </cell>
          <cell r="CA186">
            <v>0</v>
          </cell>
          <cell r="CD186">
            <v>0</v>
          </cell>
          <cell r="CG186">
            <v>0</v>
          </cell>
          <cell r="CI186">
            <v>0</v>
          </cell>
          <cell r="CJ186">
            <v>0</v>
          </cell>
          <cell r="CL186">
            <v>0</v>
          </cell>
          <cell r="CM186">
            <v>0</v>
          </cell>
          <cell r="CT186">
            <v>0</v>
          </cell>
          <cell r="CU186">
            <v>0</v>
          </cell>
          <cell r="CY186">
            <v>0</v>
          </cell>
          <cell r="DA186">
            <v>0</v>
          </cell>
          <cell r="DB186">
            <v>0</v>
          </cell>
          <cell r="DD186">
            <v>0</v>
          </cell>
          <cell r="DE186">
            <v>0</v>
          </cell>
          <cell r="DG186">
            <v>0</v>
          </cell>
          <cell r="DH186">
            <v>0</v>
          </cell>
          <cell r="DI186">
            <v>5062.8999999999996</v>
          </cell>
          <cell r="DJ186">
            <v>0</v>
          </cell>
          <cell r="DL186">
            <v>3.7</v>
          </cell>
          <cell r="DM186">
            <v>1.49</v>
          </cell>
        </row>
        <row r="187">
          <cell r="CH187">
            <v>940705549</v>
          </cell>
          <cell r="CI187">
            <v>6632903</v>
          </cell>
          <cell r="CK187">
            <v>1818447326</v>
          </cell>
          <cell r="CL187">
            <v>6632903</v>
          </cell>
        </row>
        <row r="191">
          <cell r="B191" t="str">
            <v>Column 1</v>
          </cell>
          <cell r="C191" t="str">
            <v>Column 2</v>
          </cell>
          <cell r="D191" t="str">
            <v>Column 3</v>
          </cell>
          <cell r="E191" t="str">
            <v>Column 4</v>
          </cell>
          <cell r="F191" t="str">
            <v>Column 5</v>
          </cell>
          <cell r="G191" t="str">
            <v>Column 6</v>
          </cell>
          <cell r="H191" t="str">
            <v>Column 7</v>
          </cell>
          <cell r="I191" t="str">
            <v>Column 8</v>
          </cell>
          <cell r="J191" t="str">
            <v>Column 9</v>
          </cell>
          <cell r="K191" t="str">
            <v>Column 10</v>
          </cell>
          <cell r="L191" t="str">
            <v>Column 11</v>
          </cell>
          <cell r="M191" t="str">
            <v>Column 12</v>
          </cell>
          <cell r="N191" t="str">
            <v>Column 13</v>
          </cell>
          <cell r="O191" t="str">
            <v>Column 14</v>
          </cell>
          <cell r="P191" t="str">
            <v>Column 15</v>
          </cell>
          <cell r="Q191" t="str">
            <v>Column 16</v>
          </cell>
          <cell r="R191" t="str">
            <v>Column 17</v>
          </cell>
          <cell r="S191" t="str">
            <v>Column 18</v>
          </cell>
          <cell r="T191" t="str">
            <v>Column 19</v>
          </cell>
          <cell r="U191" t="str">
            <v>Column 20</v>
          </cell>
          <cell r="V191" t="str">
            <v>Column 21</v>
          </cell>
          <cell r="W191" t="str">
            <v>Column 22</v>
          </cell>
          <cell r="X191" t="str">
            <v>Column 23</v>
          </cell>
          <cell r="Y191" t="str">
            <v>Column 24</v>
          </cell>
          <cell r="Z191" t="str">
            <v>Column 25</v>
          </cell>
          <cell r="AA191" t="str">
            <v>Column 26</v>
          </cell>
          <cell r="AB191" t="str">
            <v>Column 27</v>
          </cell>
          <cell r="AC191" t="str">
            <v>Column 28</v>
          </cell>
          <cell r="AD191" t="str">
            <v>Column 29</v>
          </cell>
          <cell r="AE191" t="str">
            <v>Column 30</v>
          </cell>
          <cell r="AF191" t="str">
            <v>Column 31</v>
          </cell>
          <cell r="AG191" t="str">
            <v>Column 32</v>
          </cell>
          <cell r="AH191" t="str">
            <v>Column 33</v>
          </cell>
          <cell r="AI191" t="str">
            <v>Column 34</v>
          </cell>
          <cell r="AJ191" t="str">
            <v>Column 35</v>
          </cell>
          <cell r="AK191" t="str">
            <v>Column 36</v>
          </cell>
          <cell r="AL191" t="str">
            <v>Column 37</v>
          </cell>
          <cell r="AM191" t="str">
            <v>Column 38</v>
          </cell>
          <cell r="AN191" t="str">
            <v>Column 39</v>
          </cell>
          <cell r="AO191" t="str">
            <v>Column 40</v>
          </cell>
          <cell r="AP191" t="str">
            <v>Column 41</v>
          </cell>
          <cell r="AQ191" t="str">
            <v>Column 42</v>
          </cell>
          <cell r="AR191" t="str">
            <v>Column 43</v>
          </cell>
          <cell r="AS191" t="str">
            <v>Column 44</v>
          </cell>
          <cell r="AT191" t="str">
            <v>Column 45</v>
          </cell>
          <cell r="AU191" t="str">
            <v>Column 46</v>
          </cell>
          <cell r="AV191" t="str">
            <v>Column 47</v>
          </cell>
          <cell r="AW191" t="str">
            <v>Column 48</v>
          </cell>
          <cell r="AX191" t="str">
            <v>Column 49</v>
          </cell>
          <cell r="AY191" t="str">
            <v>Column 50</v>
          </cell>
          <cell r="AZ191" t="str">
            <v>Column 51</v>
          </cell>
          <cell r="BA191" t="str">
            <v>Column 52</v>
          </cell>
          <cell r="BB191" t="str">
            <v>Column 53</v>
          </cell>
          <cell r="BC191" t="str">
            <v>Column 54</v>
          </cell>
          <cell r="BD191" t="str">
            <v>Column 55</v>
          </cell>
          <cell r="BE191" t="str">
            <v>Column 56</v>
          </cell>
          <cell r="BF191" t="str">
            <v>Column 57</v>
          </cell>
          <cell r="BG191" t="str">
            <v>Column 58</v>
          </cell>
          <cell r="BH191" t="str">
            <v>Column 59</v>
          </cell>
          <cell r="BI191" t="str">
            <v>Column 60</v>
          </cell>
          <cell r="BJ191" t="str">
            <v>Column 61</v>
          </cell>
          <cell r="BK191" t="str">
            <v>Column 62</v>
          </cell>
          <cell r="BL191" t="str">
            <v>Column 63</v>
          </cell>
          <cell r="BM191" t="str">
            <v>Column 64</v>
          </cell>
          <cell r="BN191" t="str">
            <v>Column 65</v>
          </cell>
          <cell r="BO191" t="str">
            <v>Column 66</v>
          </cell>
          <cell r="BP191" t="str">
            <v>Column 67</v>
          </cell>
          <cell r="BQ191" t="str">
            <v>Column 68</v>
          </cell>
          <cell r="BR191" t="str">
            <v>Column 69</v>
          </cell>
          <cell r="BS191" t="str">
            <v>Column 70</v>
          </cell>
          <cell r="BT191" t="str">
            <v>Column 71</v>
          </cell>
          <cell r="BU191" t="str">
            <v>Column 72</v>
          </cell>
          <cell r="BV191" t="str">
            <v>Column 73</v>
          </cell>
          <cell r="BW191" t="str">
            <v>Column 74</v>
          </cell>
          <cell r="BX191" t="str">
            <v>Column 75</v>
          </cell>
          <cell r="BY191" t="str">
            <v>Column 76</v>
          </cell>
          <cell r="BZ191" t="str">
            <v>Column 77</v>
          </cell>
          <cell r="CA191" t="str">
            <v>Column 78</v>
          </cell>
          <cell r="CB191" t="str">
            <v>Column 79</v>
          </cell>
          <cell r="CC191" t="str">
            <v>Column 80</v>
          </cell>
          <cell r="CD191" t="str">
            <v>Column 81</v>
          </cell>
          <cell r="CE191" t="str">
            <v>Column 82</v>
          </cell>
          <cell r="CF191" t="str">
            <v>Column 83</v>
          </cell>
          <cell r="CG191" t="str">
            <v>Column 84</v>
          </cell>
          <cell r="CH191" t="str">
            <v>Column 85</v>
          </cell>
          <cell r="CI191" t="str">
            <v>Column 86</v>
          </cell>
          <cell r="CJ191" t="str">
            <v>Column 87</v>
          </cell>
          <cell r="CK191" t="str">
            <v>Column 88</v>
          </cell>
          <cell r="CL191" t="str">
            <v>Column 89</v>
          </cell>
          <cell r="CM191" t="str">
            <v>Column 90</v>
          </cell>
          <cell r="CN191" t="str">
            <v>Column 91</v>
          </cell>
          <cell r="CO191" t="str">
            <v>Column 92</v>
          </cell>
          <cell r="CP191" t="str">
            <v>Column 93</v>
          </cell>
          <cell r="CQ191" t="str">
            <v>Column 94</v>
          </cell>
          <cell r="CR191" t="str">
            <v>Column 95</v>
          </cell>
          <cell r="CS191" t="str">
            <v>Column 96</v>
          </cell>
          <cell r="CT191" t="str">
            <v>Column 97</v>
          </cell>
          <cell r="CU191" t="str">
            <v>Column 98</v>
          </cell>
          <cell r="CV191" t="str">
            <v>Column 99</v>
          </cell>
          <cell r="CW191" t="str">
            <v>Column 100</v>
          </cell>
          <cell r="CX191" t="str">
            <v>Column 101</v>
          </cell>
          <cell r="CY191" t="str">
            <v>Column 102</v>
          </cell>
          <cell r="CZ191" t="str">
            <v>Column 103</v>
          </cell>
          <cell r="DA191" t="str">
            <v>Column 104</v>
          </cell>
          <cell r="DB191" t="str">
            <v>Column 105</v>
          </cell>
          <cell r="DC191" t="str">
            <v>Column 106</v>
          </cell>
          <cell r="DD191" t="str">
            <v>Column 107</v>
          </cell>
          <cell r="DE191" t="str">
            <v>Column 108</v>
          </cell>
          <cell r="DF191" t="str">
            <v>Column 109</v>
          </cell>
          <cell r="DG191" t="str">
            <v>Column 110</v>
          </cell>
          <cell r="DH191" t="str">
            <v>Column 111</v>
          </cell>
          <cell r="DI191" t="str">
            <v>Column 112</v>
          </cell>
          <cell r="DJ191" t="str">
            <v>Column 113</v>
          </cell>
          <cell r="DK191" t="str">
            <v>Column 114</v>
          </cell>
          <cell r="DL191" t="str">
            <v>Column 115</v>
          </cell>
          <cell r="DM191" t="str">
            <v>Column 116</v>
          </cell>
        </row>
        <row r="192">
          <cell r="C192" t="str">
            <v>Group</v>
          </cell>
          <cell r="D192" t="str">
            <v>Sum of Total Residential Rates Revenue</v>
          </cell>
          <cell r="E192" t="str">
            <v>Sum of Number of Rateable Residential Properties</v>
          </cell>
          <cell r="G192" t="str">
            <v>Sum of Total Farmland Rates Revenue</v>
          </cell>
          <cell r="H192" t="str">
            <v>Sum of Number of Rateable Farmland Properties</v>
          </cell>
          <cell r="J192" t="str">
            <v>Sum of Total Business Rates Revenue</v>
          </cell>
          <cell r="K192" t="str">
            <v>Sum of Number of Rateable Business Properties</v>
          </cell>
          <cell r="M192" t="str">
            <v>Sum of Outstanding Rates and Annual Charges + User Charges and Fees</v>
          </cell>
          <cell r="N192" t="str">
            <v>Sum of Rates and Annual Charges + User Charges and Fees</v>
          </cell>
          <cell r="P192" t="str">
            <v>Sum of  Note 4(a) 2001/02 - Note 4(a) 2000/01 Data</v>
          </cell>
          <cell r="Q192" t="str">
            <v>Sum of  Note 4(a) 2000/01 Data</v>
          </cell>
          <cell r="S192" t="str">
            <v>Sum of  Note 4(b) 2001/02 - Note 4(b) 2000/01 Data</v>
          </cell>
          <cell r="T192" t="str">
            <v>Sum of  Note 4(b) 2000/01 Data</v>
          </cell>
          <cell r="V192" t="str">
            <v>Sum of Rates Revenue (Ordinary and Special) and Annual Charges</v>
          </cell>
          <cell r="W192" t="str">
            <v>Sum of Total Ordinary Revenue</v>
          </cell>
          <cell r="Y192" t="str">
            <v>Sum of User Charges and Fees</v>
          </cell>
          <cell r="Z192" t="str">
            <v>Sum of Total Ordinary Revenue2</v>
          </cell>
          <cell r="AB192" t="str">
            <v>Sum of Interest Revenue</v>
          </cell>
          <cell r="AC192" t="str">
            <v>Sum of Total Ordinary Revenue3</v>
          </cell>
          <cell r="AE192" t="str">
            <v>Sum of Grants Revenue</v>
          </cell>
          <cell r="AF192" t="str">
            <v>Sum of Total Ordinary Revenue4</v>
          </cell>
          <cell r="AH192" t="str">
            <v>Sum of Contributions and Donations</v>
          </cell>
          <cell r="AI192" t="str">
            <v>Sum of Total Ordinary Revenue5</v>
          </cell>
          <cell r="AK192" t="str">
            <v>Sum of Other Revenues</v>
          </cell>
          <cell r="AL192" t="str">
            <v>Sum of Total Ordinary Revenue6</v>
          </cell>
          <cell r="AN192" t="str">
            <v>Sum of Total ordinary revenue (excluding water and sewerage)</v>
          </cell>
          <cell r="AO192" t="str">
            <v>Sum of Estimated resident population within council boundaries</v>
          </cell>
          <cell r="AQ192" t="str">
            <v>Sum of Employee costs</v>
          </cell>
          <cell r="AR192" t="str">
            <v>Sum of Total ordinary expenditure</v>
          </cell>
          <cell r="AT192" t="str">
            <v>Sum of Materials and contracts</v>
          </cell>
          <cell r="AU192" t="str">
            <v>Sum of Total ordinary expenditure2</v>
          </cell>
          <cell r="AW192" t="str">
            <v>Sum of Borrowing costs</v>
          </cell>
          <cell r="AX192" t="str">
            <v>Sum of Total ordinary expenditure3</v>
          </cell>
          <cell r="AZ192" t="str">
            <v>Sum of Depreciation</v>
          </cell>
          <cell r="BA192" t="str">
            <v>Sum of Total ordinary expenditure4</v>
          </cell>
          <cell r="BC192" t="str">
            <v>Sum of Other expenses</v>
          </cell>
          <cell r="BD192" t="str">
            <v>Sum of Total ordinary expenditure5</v>
          </cell>
          <cell r="BF192" t="str">
            <v>Sum of Total ordinary expenses (excluding water and sewerage)</v>
          </cell>
          <cell r="BG192" t="str">
            <v>Sum of Estimated resident population within council boundaries2</v>
          </cell>
          <cell r="BI192" t="str">
            <v>Sum of Current assets less external restrictions</v>
          </cell>
          <cell r="BJ192" t="str">
            <v>Sum of Current liabilities less specific purpose liabilities</v>
          </cell>
          <cell r="BL192" t="str">
            <v>Sum of Net Debt Service Cost</v>
          </cell>
          <cell r="BM192" t="str">
            <v>Sum of Revenue from ordinary activities</v>
          </cell>
          <cell r="BO192" t="str">
            <v>Sum of Change in property, plant and equipment (excluding land, water and sewerage)</v>
          </cell>
          <cell r="BP192" t="str">
            <v>Sum of Annual depreciation (excluding  water and sewerage)</v>
          </cell>
          <cell r="BR192" t="str">
            <v>Average of Result23</v>
          </cell>
          <cell r="BS192" t="str">
            <v>Count of Result24</v>
          </cell>
          <cell r="BT192" t="str">
            <v>Count of Result25</v>
          </cell>
          <cell r="BU192" t="str">
            <v>Count of Result26</v>
          </cell>
          <cell r="BV192" t="str">
            <v>Sum of Total Library expenses</v>
          </cell>
          <cell r="BW192" t="str">
            <v>Sum of Estimated resident population within council boundaries3</v>
          </cell>
          <cell r="BX192" t="str">
            <v>Count of Result27</v>
          </cell>
          <cell r="BY192" t="str">
            <v>Sum of Number of circulations recorded for library services</v>
          </cell>
          <cell r="BZ192" t="str">
            <v>Sum of Estimated resident population within council boundaries4</v>
          </cell>
          <cell r="CA192" t="str">
            <v>Count of Result28</v>
          </cell>
          <cell r="CB192" t="str">
            <v>Sum of Total Domestic Waste Management Charges</v>
          </cell>
          <cell r="CC192" t="str">
            <v>Sum of Number of Residential Properties receiving Service</v>
          </cell>
          <cell r="CD192" t="str">
            <v>Count of Result29</v>
          </cell>
          <cell r="CE192" t="str">
            <v>Sum of Total domestic waste collection costs (excluding tipping costs)</v>
          </cell>
          <cell r="CF192" t="str">
            <v>Sum of Number of services (domestic pickups per week)</v>
          </cell>
          <cell r="CG192" t="str">
            <v>Count of Result30</v>
          </cell>
          <cell r="CH192" t="str">
            <v>Sum of Total Kilograms of Recyclables Collected</v>
          </cell>
          <cell r="CI192" t="str">
            <v>Sum of Estimated resident population within council boundaries5</v>
          </cell>
          <cell r="CJ192" t="str">
            <v>Count of Result31</v>
          </cell>
          <cell r="CK192" t="str">
            <v>Sum of Total Kilograms of Domestic Waste Collected</v>
          </cell>
          <cell r="CL192" t="str">
            <v>Sum of Estimated resident population within council boundaries6</v>
          </cell>
          <cell r="CM192" t="str">
            <v>Count of Result32</v>
          </cell>
          <cell r="CN192" t="str">
            <v>Average of Result33</v>
          </cell>
          <cell r="CO192" t="str">
            <v>Average of Result34</v>
          </cell>
          <cell r="CP192" t="str">
            <v>Average of Result35</v>
          </cell>
          <cell r="CQ192" t="str">
            <v>Average of Result36</v>
          </cell>
          <cell r="CR192" t="str">
            <v>Average of Result37</v>
          </cell>
          <cell r="CS192" t="str">
            <v>Sum of Total number of calendar days taken to determine DAs</v>
          </cell>
          <cell r="CT192" t="str">
            <v>Sum of Number of DAs determined</v>
          </cell>
          <cell r="CU192" t="str">
            <v>Count of Result38</v>
          </cell>
          <cell r="CV192" t="str">
            <v>Average of Result39</v>
          </cell>
          <cell r="CW192" t="str">
            <v>Sum of Legal expenses (planning and development)</v>
          </cell>
          <cell r="CX192" t="str">
            <v>Sum of Total planning and building control costs</v>
          </cell>
          <cell r="CY192" t="str">
            <v>Count of Result40</v>
          </cell>
          <cell r="CZ192" t="str">
            <v>Sum of Total environmental management and health expenses</v>
          </cell>
          <cell r="DA192" t="str">
            <v>Sum of Estimated resident population within council boundaries7</v>
          </cell>
          <cell r="DB192" t="str">
            <v>Count of Result41</v>
          </cell>
          <cell r="DC192" t="str">
            <v>Sum of Net cost of recreation and leisure expenses</v>
          </cell>
          <cell r="DD192" t="str">
            <v>Sum of Estimated resident population within council boundaries8</v>
          </cell>
          <cell r="DE192" t="str">
            <v>Count of Result42</v>
          </cell>
          <cell r="DF192" t="str">
            <v>Sum of Total community services expenses</v>
          </cell>
          <cell r="DG192" t="str">
            <v>Sum of Estimated resident population within council boundaries9</v>
          </cell>
          <cell r="DH192" t="str">
            <v>Count of Result43</v>
          </cell>
          <cell r="DI192" t="str">
            <v>Average of ATSI Population %</v>
          </cell>
          <cell r="DJ192" t="str">
            <v>Average of NESB Population %</v>
          </cell>
          <cell r="DK192">
            <v>0</v>
          </cell>
          <cell r="DL192">
            <v>0</v>
          </cell>
          <cell r="DM192">
            <v>0</v>
          </cell>
        </row>
        <row r="193">
          <cell r="B193" t="str">
            <v>Group 1 Average</v>
          </cell>
          <cell r="C193">
            <v>1</v>
          </cell>
          <cell r="D193">
            <v>7415000</v>
          </cell>
          <cell r="E193">
            <v>17161</v>
          </cell>
          <cell r="F193">
            <v>432.08437736728627</v>
          </cell>
          <cell r="G193">
            <v>0</v>
          </cell>
          <cell r="H193">
            <v>0</v>
          </cell>
          <cell r="I193" t="str">
            <v>N/A</v>
          </cell>
          <cell r="J193">
            <v>90615000</v>
          </cell>
          <cell r="K193">
            <v>8865</v>
          </cell>
          <cell r="L193">
            <v>10221.65820642978</v>
          </cell>
          <cell r="M193">
            <v>4432000</v>
          </cell>
          <cell r="N193">
            <v>137478000</v>
          </cell>
          <cell r="O193">
            <v>3.2237885334380774E-2</v>
          </cell>
          <cell r="P193">
            <v>6188000</v>
          </cell>
          <cell r="Q193">
            <v>94828000</v>
          </cell>
          <cell r="R193">
            <v>6.5254987978234272E-2</v>
          </cell>
          <cell r="S193">
            <v>1155000</v>
          </cell>
          <cell r="T193">
            <v>35307000</v>
          </cell>
          <cell r="U193">
            <v>3.271305973319738E-2</v>
          </cell>
          <cell r="V193">
            <v>101016000</v>
          </cell>
          <cell r="W193">
            <v>197791000</v>
          </cell>
          <cell r="X193">
            <v>0.51072091247832307</v>
          </cell>
          <cell r="Y193">
            <v>36462000</v>
          </cell>
          <cell r="Z193">
            <v>197791000</v>
          </cell>
          <cell r="AA193">
            <v>0.18434610270436977</v>
          </cell>
          <cell r="AB193">
            <v>6827000</v>
          </cell>
          <cell r="AC193">
            <v>197791000</v>
          </cell>
          <cell r="AD193">
            <v>3.4516231780010211E-2</v>
          </cell>
          <cell r="AE193">
            <v>3160000</v>
          </cell>
          <cell r="AF193">
            <v>197791000</v>
          </cell>
          <cell r="AG193">
            <v>1.5976460000707817E-2</v>
          </cell>
          <cell r="AH193">
            <v>12932000</v>
          </cell>
          <cell r="AI193">
            <v>197791000</v>
          </cell>
          <cell r="AJ193">
            <v>6.5382145800365027E-2</v>
          </cell>
          <cell r="AK193">
            <v>37394000</v>
          </cell>
          <cell r="AL193">
            <v>197791000</v>
          </cell>
          <cell r="AM193">
            <v>0.18905814723622411</v>
          </cell>
          <cell r="AN193">
            <v>184929000</v>
          </cell>
          <cell r="AO193">
            <v>29538</v>
          </cell>
          <cell r="AP193">
            <v>6260.7150111720493</v>
          </cell>
          <cell r="AQ193">
            <v>58827000</v>
          </cell>
          <cell r="AR193">
            <v>138496000</v>
          </cell>
          <cell r="AS193">
            <v>0.42475594963031421</v>
          </cell>
          <cell r="AT193">
            <v>21766000</v>
          </cell>
          <cell r="AU193">
            <v>138496000</v>
          </cell>
          <cell r="AV193">
            <v>0.15715977356746766</v>
          </cell>
          <cell r="AW193">
            <v>210000</v>
          </cell>
          <cell r="AX193">
            <v>138496000</v>
          </cell>
          <cell r="AY193">
            <v>1.5162892791127541E-3</v>
          </cell>
          <cell r="AZ193">
            <v>21117000</v>
          </cell>
          <cell r="BA193">
            <v>138496000</v>
          </cell>
          <cell r="BB193">
            <v>0.15247371765249537</v>
          </cell>
          <cell r="BC193">
            <v>36576000</v>
          </cell>
          <cell r="BD193">
            <v>138496000</v>
          </cell>
          <cell r="BE193">
            <v>0.26409426987060997</v>
          </cell>
          <cell r="BF193">
            <v>140143000</v>
          </cell>
          <cell r="BG193">
            <v>29538</v>
          </cell>
          <cell r="BH193">
            <v>4744.4986119574787</v>
          </cell>
          <cell r="BI193">
            <v>181807000</v>
          </cell>
          <cell r="BJ193">
            <v>43555000</v>
          </cell>
          <cell r="BK193">
            <v>4.1741935483870964</v>
          </cell>
          <cell r="BL193">
            <v>7125000</v>
          </cell>
          <cell r="BM193">
            <v>182380000</v>
          </cell>
          <cell r="BN193">
            <v>3.9066783638556861E-2</v>
          </cell>
          <cell r="BO193">
            <v>302807000</v>
          </cell>
          <cell r="BP193">
            <v>21117000</v>
          </cell>
          <cell r="BQ193">
            <v>14.339489510820666</v>
          </cell>
          <cell r="BR193">
            <v>1045</v>
          </cell>
          <cell r="BS193" t="str">
            <v>N/A</v>
          </cell>
          <cell r="BT193" t="str">
            <v>N/A</v>
          </cell>
          <cell r="BU193" t="str">
            <v>N/A</v>
          </cell>
          <cell r="BV193">
            <v>2780000</v>
          </cell>
          <cell r="BW193">
            <v>29538</v>
          </cell>
          <cell r="BX193">
            <v>94.116053896675467</v>
          </cell>
          <cell r="BY193">
            <v>784118</v>
          </cell>
          <cell r="BZ193">
            <v>29538</v>
          </cell>
          <cell r="CA193">
            <v>26.546076240774596</v>
          </cell>
          <cell r="CB193">
            <v>2986000</v>
          </cell>
          <cell r="CC193">
            <v>40757</v>
          </cell>
          <cell r="CD193">
            <v>73.26348848050641</v>
          </cell>
          <cell r="CE193">
            <v>1405752</v>
          </cell>
          <cell r="CF193">
            <v>120088</v>
          </cell>
          <cell r="CG193">
            <v>11.706015588568382</v>
          </cell>
          <cell r="CH193">
            <v>2354530</v>
          </cell>
          <cell r="CI193">
            <v>29538</v>
          </cell>
          <cell r="CJ193">
            <v>79.711896540050105</v>
          </cell>
          <cell r="CK193">
            <v>8329474</v>
          </cell>
          <cell r="CL193">
            <v>29538</v>
          </cell>
          <cell r="CM193">
            <v>281.99180716365362</v>
          </cell>
          <cell r="CN193" t="str">
            <v>N/A</v>
          </cell>
          <cell r="CO193" t="str">
            <v>N/A</v>
          </cell>
          <cell r="CP193" t="str">
            <v>N/A</v>
          </cell>
          <cell r="CQ193" t="str">
            <v>N/A</v>
          </cell>
          <cell r="CR193">
            <v>959</v>
          </cell>
          <cell r="CS193">
            <v>27991</v>
          </cell>
          <cell r="CT193">
            <v>959</v>
          </cell>
          <cell r="CU193">
            <v>29.18769551616267</v>
          </cell>
          <cell r="CV193">
            <v>22</v>
          </cell>
          <cell r="CW193">
            <v>297000</v>
          </cell>
          <cell r="CX193">
            <v>4826000</v>
          </cell>
          <cell r="CY193">
            <v>6.1541649399088273E-2</v>
          </cell>
          <cell r="CZ193">
            <v>1170000</v>
          </cell>
          <cell r="DA193">
            <v>29538</v>
          </cell>
          <cell r="DB193">
            <v>39.609993906154784</v>
          </cell>
          <cell r="DC193">
            <v>4563000</v>
          </cell>
          <cell r="DD193">
            <v>29538</v>
          </cell>
          <cell r="DE193">
            <v>154.47897623400365</v>
          </cell>
          <cell r="DF193">
            <v>1623000</v>
          </cell>
          <cell r="DG193">
            <v>29538</v>
          </cell>
          <cell r="DH193">
            <v>54.946171033922404</v>
          </cell>
          <cell r="DI193">
            <v>0.93</v>
          </cell>
          <cell r="DJ193">
            <v>24.04</v>
          </cell>
          <cell r="DK193">
            <v>0</v>
          </cell>
          <cell r="DL193">
            <v>0</v>
          </cell>
          <cell r="DM193">
            <v>0</v>
          </cell>
        </row>
        <row r="194">
          <cell r="B194" t="str">
            <v>Group 2 Average</v>
          </cell>
          <cell r="C194">
            <v>2</v>
          </cell>
          <cell r="D194">
            <v>192574000</v>
          </cell>
          <cell r="E194">
            <v>307690</v>
          </cell>
          <cell r="F194">
            <v>625.87019402645524</v>
          </cell>
          <cell r="G194">
            <v>46000</v>
          </cell>
          <cell r="H194">
            <v>15</v>
          </cell>
          <cell r="I194">
            <v>3066.6666666666665</v>
          </cell>
          <cell r="J194">
            <v>78797000</v>
          </cell>
          <cell r="K194">
            <v>23018</v>
          </cell>
          <cell r="L194">
            <v>3423.2774350508298</v>
          </cell>
          <cell r="M194">
            <v>22481000</v>
          </cell>
          <cell r="N194">
            <v>464625000</v>
          </cell>
          <cell r="O194">
            <v>4.8385256927629808E-2</v>
          </cell>
          <cell r="P194">
            <v>17512000</v>
          </cell>
          <cell r="Q194">
            <v>332531000</v>
          </cell>
          <cell r="R194">
            <v>5.2662759261542534E-2</v>
          </cell>
          <cell r="S194">
            <v>7835000</v>
          </cell>
          <cell r="T194">
            <v>106747000</v>
          </cell>
          <cell r="U194">
            <v>7.3397847246292641E-2</v>
          </cell>
          <cell r="V194">
            <v>350043000</v>
          </cell>
          <cell r="W194">
            <v>653534000</v>
          </cell>
          <cell r="X194">
            <v>0.53561559153770122</v>
          </cell>
          <cell r="Y194">
            <v>114582000</v>
          </cell>
          <cell r="Z194">
            <v>653534000</v>
          </cell>
          <cell r="AA194">
            <v>0.17532676188231983</v>
          </cell>
          <cell r="AB194">
            <v>18301000</v>
          </cell>
          <cell r="AC194">
            <v>653534000</v>
          </cell>
          <cell r="AD194">
            <v>2.8003133731374343E-2</v>
          </cell>
          <cell r="AE194">
            <v>52265000</v>
          </cell>
          <cell r="AF194">
            <v>653534000</v>
          </cell>
          <cell r="AG194">
            <v>7.997288587892902E-2</v>
          </cell>
          <cell r="AH194">
            <v>77185000</v>
          </cell>
          <cell r="AI194">
            <v>653534000</v>
          </cell>
          <cell r="AJ194">
            <v>0.11810403131283147</v>
          </cell>
          <cell r="AK194">
            <v>41158000</v>
          </cell>
          <cell r="AL194">
            <v>653534000</v>
          </cell>
          <cell r="AM194">
            <v>6.2977595656844174E-2</v>
          </cell>
          <cell r="AN194">
            <v>589255000</v>
          </cell>
          <cell r="AO194">
            <v>787644</v>
          </cell>
          <cell r="AP194">
            <v>748.12351773136083</v>
          </cell>
          <cell r="AQ194">
            <v>250991000</v>
          </cell>
          <cell r="AR194">
            <v>588217000</v>
          </cell>
          <cell r="AS194">
            <v>0.42669797030687656</v>
          </cell>
          <cell r="AT194">
            <v>141813000</v>
          </cell>
          <cell r="AU194">
            <v>588217000</v>
          </cell>
          <cell r="AV194">
            <v>0.24108959788649428</v>
          </cell>
          <cell r="AW194">
            <v>4305000</v>
          </cell>
          <cell r="AX194">
            <v>588217000</v>
          </cell>
          <cell r="AY194">
            <v>7.3187276124287463E-3</v>
          </cell>
          <cell r="AZ194">
            <v>86984000</v>
          </cell>
          <cell r="BA194">
            <v>588217000</v>
          </cell>
          <cell r="BB194">
            <v>0.1478773989871085</v>
          </cell>
          <cell r="BC194">
            <v>104124000</v>
          </cell>
          <cell r="BD194">
            <v>588217000</v>
          </cell>
          <cell r="BE194">
            <v>0.17701630520709194</v>
          </cell>
          <cell r="BF194">
            <v>588825000</v>
          </cell>
          <cell r="BG194">
            <v>787644</v>
          </cell>
          <cell r="BH194">
            <v>747.57758581287987</v>
          </cell>
          <cell r="BI194">
            <v>243109000</v>
          </cell>
          <cell r="BJ194">
            <v>98270000</v>
          </cell>
          <cell r="BK194">
            <v>2.4738882670194364</v>
          </cell>
          <cell r="BL194">
            <v>14308000</v>
          </cell>
          <cell r="BM194">
            <v>558146000</v>
          </cell>
          <cell r="BN194">
            <v>2.5634869729425636E-2</v>
          </cell>
          <cell r="BO194">
            <v>-28569000</v>
          </cell>
          <cell r="BP194">
            <v>86984000</v>
          </cell>
          <cell r="BQ194">
            <v>-0.32843971305067599</v>
          </cell>
          <cell r="BR194">
            <v>259.72352941176473</v>
          </cell>
          <cell r="BS194" t="str">
            <v>N/A</v>
          </cell>
          <cell r="BT194" t="str">
            <v>N/A</v>
          </cell>
          <cell r="BU194" t="str">
            <v>N/A</v>
          </cell>
          <cell r="BV194">
            <v>28569000</v>
          </cell>
          <cell r="BW194">
            <v>787644</v>
          </cell>
          <cell r="BX194">
            <v>36.271462742050979</v>
          </cell>
          <cell r="BY194">
            <v>6388051</v>
          </cell>
          <cell r="BZ194">
            <v>787644</v>
          </cell>
          <cell r="CA194">
            <v>8.1103277622885468</v>
          </cell>
          <cell r="CB194">
            <v>74799000</v>
          </cell>
          <cell r="CC194">
            <v>318957</v>
          </cell>
          <cell r="CD194">
            <v>234.51123505676313</v>
          </cell>
          <cell r="CE194">
            <v>48281071</v>
          </cell>
          <cell r="CF194">
            <v>366012</v>
          </cell>
          <cell r="CG194">
            <v>131.91116957913948</v>
          </cell>
          <cell r="CH194">
            <v>118137784</v>
          </cell>
          <cell r="CI194">
            <v>787644</v>
          </cell>
          <cell r="CJ194">
            <v>149.98880712606203</v>
          </cell>
          <cell r="CK194">
            <v>194907720</v>
          </cell>
          <cell r="CL194">
            <v>787644</v>
          </cell>
          <cell r="CM194">
            <v>247.45661745661747</v>
          </cell>
          <cell r="CN194" t="str">
            <v>N/A</v>
          </cell>
          <cell r="CO194" t="str">
            <v>N/A</v>
          </cell>
          <cell r="CP194" t="str">
            <v>N/A</v>
          </cell>
          <cell r="CQ194" t="str">
            <v>N/A</v>
          </cell>
          <cell r="CR194">
            <v>711.17647058823525</v>
          </cell>
          <cell r="CS194">
            <v>938942</v>
          </cell>
          <cell r="CT194">
            <v>12090</v>
          </cell>
          <cell r="CU194">
            <v>77.662696443341602</v>
          </cell>
          <cell r="CV194">
            <v>64.588235294117652</v>
          </cell>
          <cell r="CW194">
            <v>6971000</v>
          </cell>
          <cell r="CX194">
            <v>41831000</v>
          </cell>
          <cell r="CY194">
            <v>0.1666467452367861</v>
          </cell>
          <cell r="CZ194">
            <v>14442000</v>
          </cell>
          <cell r="DA194">
            <v>787644</v>
          </cell>
          <cell r="DB194">
            <v>18.33569480628304</v>
          </cell>
          <cell r="DC194">
            <v>52146000</v>
          </cell>
          <cell r="DD194">
            <v>787644</v>
          </cell>
          <cell r="DE194">
            <v>66.205036793272086</v>
          </cell>
          <cell r="DF194">
            <v>35967000</v>
          </cell>
          <cell r="DG194">
            <v>787644</v>
          </cell>
          <cell r="DH194">
            <v>45.664030958148608</v>
          </cell>
          <cell r="DI194">
            <v>0.41294117647058842</v>
          </cell>
          <cell r="DJ194">
            <v>24.374117647058824</v>
          </cell>
          <cell r="DK194">
            <v>0</v>
          </cell>
          <cell r="DL194">
            <v>0</v>
          </cell>
          <cell r="DM194">
            <v>0</v>
          </cell>
        </row>
        <row r="195">
          <cell r="B195" t="str">
            <v>Group 3 Average</v>
          </cell>
          <cell r="C195">
            <v>3</v>
          </cell>
          <cell r="D195">
            <v>431457000</v>
          </cell>
          <cell r="E195">
            <v>692327</v>
          </cell>
          <cell r="F195">
            <v>623.19828635890269</v>
          </cell>
          <cell r="G195">
            <v>981000</v>
          </cell>
          <cell r="H195">
            <v>414</v>
          </cell>
          <cell r="I195">
            <v>2369.5652173913045</v>
          </cell>
          <cell r="J195">
            <v>176977000</v>
          </cell>
          <cell r="K195">
            <v>43702</v>
          </cell>
          <cell r="L195">
            <v>4049.6315958079722</v>
          </cell>
          <cell r="M195">
            <v>31046000</v>
          </cell>
          <cell r="N195">
            <v>942779000</v>
          </cell>
          <cell r="O195">
            <v>3.2930304981337088E-2</v>
          </cell>
          <cell r="P195">
            <v>36387000</v>
          </cell>
          <cell r="Q195">
            <v>740702000</v>
          </cell>
          <cell r="R195">
            <v>4.9125019238506172E-2</v>
          </cell>
          <cell r="S195">
            <v>10542000</v>
          </cell>
          <cell r="T195">
            <v>155148000</v>
          </cell>
          <cell r="U195">
            <v>6.794802382241473E-2</v>
          </cell>
          <cell r="V195">
            <v>777089000</v>
          </cell>
          <cell r="W195">
            <v>1322009000</v>
          </cell>
          <cell r="X195">
            <v>0.58780916014943918</v>
          </cell>
          <cell r="Y195">
            <v>165690000</v>
          </cell>
          <cell r="Z195">
            <v>1322009000</v>
          </cell>
          <cell r="AA195">
            <v>0.12533197580349301</v>
          </cell>
          <cell r="AB195">
            <v>46779000</v>
          </cell>
          <cell r="AC195">
            <v>1322009000</v>
          </cell>
          <cell r="AD195">
            <v>3.5384781798005915E-2</v>
          </cell>
          <cell r="AE195">
            <v>154062000</v>
          </cell>
          <cell r="AF195">
            <v>1322009000</v>
          </cell>
          <cell r="AG195">
            <v>0.11653627168952707</v>
          </cell>
          <cell r="AH195">
            <v>111667000</v>
          </cell>
          <cell r="AI195">
            <v>1322009000</v>
          </cell>
          <cell r="AJ195">
            <v>8.4467654910064915E-2</v>
          </cell>
          <cell r="AK195">
            <v>66722000</v>
          </cell>
          <cell r="AL195">
            <v>1322009000</v>
          </cell>
          <cell r="AM195">
            <v>5.0470155649469862E-2</v>
          </cell>
          <cell r="AN195">
            <v>1221474000</v>
          </cell>
          <cell r="AO195">
            <v>2025310</v>
          </cell>
          <cell r="AP195">
            <v>603.10470989626276</v>
          </cell>
          <cell r="AQ195">
            <v>510403000</v>
          </cell>
          <cell r="AR195">
            <v>1204967000</v>
          </cell>
          <cell r="AS195">
            <v>0.42358255454298749</v>
          </cell>
          <cell r="AT195">
            <v>243494000</v>
          </cell>
          <cell r="AU195">
            <v>1204967000</v>
          </cell>
          <cell r="AV195">
            <v>0.2020752435543878</v>
          </cell>
          <cell r="AW195">
            <v>10327000</v>
          </cell>
          <cell r="AX195">
            <v>1204967000</v>
          </cell>
          <cell r="AY195">
            <v>8.5703591882599281E-3</v>
          </cell>
          <cell r="AZ195">
            <v>198348000</v>
          </cell>
          <cell r="BA195">
            <v>1204967000</v>
          </cell>
          <cell r="BB195">
            <v>0.16460865733252447</v>
          </cell>
          <cell r="BC195">
            <v>242395000</v>
          </cell>
          <cell r="BD195">
            <v>1204967000</v>
          </cell>
          <cell r="BE195">
            <v>0.20116318538184033</v>
          </cell>
          <cell r="BF195">
            <v>1207698000</v>
          </cell>
          <cell r="BG195">
            <v>2025310</v>
          </cell>
          <cell r="BH195">
            <v>596.30278821513741</v>
          </cell>
          <cell r="BI195">
            <v>541815000</v>
          </cell>
          <cell r="BJ195">
            <v>219703000</v>
          </cell>
          <cell r="BK195">
            <v>2.4661247229213985</v>
          </cell>
          <cell r="BL195">
            <v>40884000</v>
          </cell>
          <cell r="BM195">
            <v>1159952000</v>
          </cell>
          <cell r="BN195">
            <v>3.5246286053215996E-2</v>
          </cell>
          <cell r="BO195">
            <v>51268000</v>
          </cell>
          <cell r="BP195">
            <v>198348000</v>
          </cell>
          <cell r="BQ195">
            <v>0.25847500352915076</v>
          </cell>
          <cell r="BR195">
            <v>608.5</v>
          </cell>
          <cell r="BS195" t="str">
            <v>N/A</v>
          </cell>
          <cell r="BT195" t="str">
            <v>N/A</v>
          </cell>
          <cell r="BU195" t="str">
            <v>N/A</v>
          </cell>
          <cell r="BV195">
            <v>50572000</v>
          </cell>
          <cell r="BW195">
            <v>2025310</v>
          </cell>
          <cell r="BX195">
            <v>24.970004591889637</v>
          </cell>
          <cell r="BY195">
            <v>12489904</v>
          </cell>
          <cell r="BZ195">
            <v>2025310</v>
          </cell>
          <cell r="CA195">
            <v>6.1669097570248503</v>
          </cell>
          <cell r="CB195">
            <v>153649000</v>
          </cell>
          <cell r="CC195">
            <v>691610</v>
          </cell>
          <cell r="CD195">
            <v>222.16133369962841</v>
          </cell>
          <cell r="CE195">
            <v>100068360</v>
          </cell>
          <cell r="CF195">
            <v>833766</v>
          </cell>
          <cell r="CG195">
            <v>120.0197177625377</v>
          </cell>
          <cell r="CH195">
            <v>278846490</v>
          </cell>
          <cell r="CI195">
            <v>2025310</v>
          </cell>
          <cell r="CJ195">
            <v>137.68089329534737</v>
          </cell>
          <cell r="CK195">
            <v>543666040</v>
          </cell>
          <cell r="CL195">
            <v>2025310</v>
          </cell>
          <cell r="CM195">
            <v>268.4359628896317</v>
          </cell>
          <cell r="CN195" t="str">
            <v>N/A</v>
          </cell>
          <cell r="CO195" t="str">
            <v>N/A</v>
          </cell>
          <cell r="CP195" t="str">
            <v>N/A</v>
          </cell>
          <cell r="CQ195" t="str">
            <v>N/A</v>
          </cell>
          <cell r="CR195">
            <v>1782.6666666666667</v>
          </cell>
          <cell r="CS195">
            <v>1837638</v>
          </cell>
          <cell r="CT195">
            <v>26740</v>
          </cell>
          <cell r="CU195">
            <v>68.72243829468961</v>
          </cell>
          <cell r="CV195">
            <v>49.733333333333334</v>
          </cell>
          <cell r="CW195">
            <v>9031000</v>
          </cell>
          <cell r="CX195">
            <v>64677000</v>
          </cell>
          <cell r="CY195">
            <v>0.1396323267931413</v>
          </cell>
          <cell r="CZ195">
            <v>22946000</v>
          </cell>
          <cell r="DA195">
            <v>2025310</v>
          </cell>
          <cell r="DB195">
            <v>11.329623613175267</v>
          </cell>
          <cell r="DC195">
            <v>71924000</v>
          </cell>
          <cell r="DD195">
            <v>2025310</v>
          </cell>
          <cell r="DE195">
            <v>35.512588196374878</v>
          </cell>
          <cell r="DF195">
            <v>87983000</v>
          </cell>
          <cell r="DG195">
            <v>2025310</v>
          </cell>
          <cell r="DH195">
            <v>43.441744720561296</v>
          </cell>
          <cell r="DI195">
            <v>0.8480000000000002</v>
          </cell>
          <cell r="DJ195">
            <v>27.58733333333333</v>
          </cell>
          <cell r="DK195">
            <v>0</v>
          </cell>
          <cell r="DL195">
            <v>0</v>
          </cell>
          <cell r="DM195">
            <v>0</v>
          </cell>
        </row>
        <row r="196">
          <cell r="B196" t="str">
            <v>Group 4 Average</v>
          </cell>
          <cell r="C196">
            <v>4</v>
          </cell>
          <cell r="D196">
            <v>255367000</v>
          </cell>
          <cell r="E196">
            <v>452222</v>
          </cell>
          <cell r="F196">
            <v>564.69388928446642</v>
          </cell>
          <cell r="G196">
            <v>34167000</v>
          </cell>
          <cell r="H196">
            <v>31018</v>
          </cell>
          <cell r="I196">
            <v>1101.5216970791153</v>
          </cell>
          <cell r="J196">
            <v>71220000</v>
          </cell>
          <cell r="K196">
            <v>32102</v>
          </cell>
          <cell r="L196">
            <v>2218.5533611612982</v>
          </cell>
          <cell r="M196">
            <v>72828000</v>
          </cell>
          <cell r="N196">
            <v>897141000</v>
          </cell>
          <cell r="O196">
            <v>8.1177875049741346E-2</v>
          </cell>
          <cell r="P196">
            <v>29158000</v>
          </cell>
          <cell r="Q196">
            <v>575827000</v>
          </cell>
          <cell r="R196">
            <v>5.0636736380892181E-2</v>
          </cell>
          <cell r="S196">
            <v>34419000</v>
          </cell>
          <cell r="T196">
            <v>257737000</v>
          </cell>
          <cell r="U196">
            <v>0.13354310789680954</v>
          </cell>
          <cell r="V196">
            <v>604985000</v>
          </cell>
          <cell r="W196">
            <v>1434107000</v>
          </cell>
          <cell r="X196">
            <v>0.42185485462381817</v>
          </cell>
          <cell r="Y196">
            <v>292156000</v>
          </cell>
          <cell r="Z196">
            <v>1434107000</v>
          </cell>
          <cell r="AA196">
            <v>0.20371980612325299</v>
          </cell>
          <cell r="AB196">
            <v>53228000</v>
          </cell>
          <cell r="AC196">
            <v>1434107000</v>
          </cell>
          <cell r="AD196">
            <v>3.7115780063830664E-2</v>
          </cell>
          <cell r="AE196">
            <v>244893000</v>
          </cell>
          <cell r="AF196">
            <v>1434107000</v>
          </cell>
          <cell r="AG196">
            <v>0.17076340886698133</v>
          </cell>
          <cell r="AH196">
            <v>210854000</v>
          </cell>
          <cell r="AI196">
            <v>1434107000</v>
          </cell>
          <cell r="AJ196">
            <v>0.14702808088936181</v>
          </cell>
          <cell r="AK196">
            <v>27991000</v>
          </cell>
          <cell r="AL196">
            <v>1434107000</v>
          </cell>
          <cell r="AM196">
            <v>1.9518069432755018E-2</v>
          </cell>
          <cell r="AN196">
            <v>999209000</v>
          </cell>
          <cell r="AO196">
            <v>1167546</v>
          </cell>
          <cell r="AP196">
            <v>855.81981352340722</v>
          </cell>
          <cell r="AQ196">
            <v>438228000</v>
          </cell>
          <cell r="AR196">
            <v>1250528000</v>
          </cell>
          <cell r="AS196">
            <v>0.35043437651935821</v>
          </cell>
          <cell r="AT196">
            <v>362522000</v>
          </cell>
          <cell r="AU196">
            <v>1250528000</v>
          </cell>
          <cell r="AV196">
            <v>0.28989514828936258</v>
          </cell>
          <cell r="AW196">
            <v>29065000</v>
          </cell>
          <cell r="AX196">
            <v>1250528000</v>
          </cell>
          <cell r="AY196">
            <v>2.324218250211111E-2</v>
          </cell>
          <cell r="AZ196">
            <v>283274000</v>
          </cell>
          <cell r="BA196">
            <v>1250528000</v>
          </cell>
          <cell r="BB196">
            <v>0.22652351646664448</v>
          </cell>
          <cell r="BC196">
            <v>137439000</v>
          </cell>
          <cell r="BD196">
            <v>1250528000</v>
          </cell>
          <cell r="BE196">
            <v>0.10990477622252361</v>
          </cell>
          <cell r="BF196">
            <v>1018964000</v>
          </cell>
          <cell r="BG196">
            <v>1167546</v>
          </cell>
          <cell r="BH196">
            <v>872.73991774199908</v>
          </cell>
          <cell r="BI196">
            <v>411089000</v>
          </cell>
          <cell r="BJ196">
            <v>183627000</v>
          </cell>
          <cell r="BK196">
            <v>2.2387176177795203</v>
          </cell>
          <cell r="BL196">
            <v>84478000</v>
          </cell>
          <cell r="BM196">
            <v>1124566000</v>
          </cell>
          <cell r="BN196">
            <v>7.5120535388763315E-2</v>
          </cell>
          <cell r="BO196">
            <v>393039000</v>
          </cell>
          <cell r="BP196">
            <v>222702000</v>
          </cell>
          <cell r="BQ196">
            <v>1.7648651561279198</v>
          </cell>
          <cell r="BR196">
            <v>262.18363636363637</v>
          </cell>
          <cell r="BS196" t="str">
            <v>N/A</v>
          </cell>
          <cell r="BT196" t="str">
            <v>N/A</v>
          </cell>
          <cell r="BU196" t="str">
            <v>N/A</v>
          </cell>
          <cell r="BV196">
            <v>29016000</v>
          </cell>
          <cell r="BW196">
            <v>1167546</v>
          </cell>
          <cell r="BX196">
            <v>24.852125740656042</v>
          </cell>
          <cell r="BY196">
            <v>8855966</v>
          </cell>
          <cell r="BZ196">
            <v>1167546</v>
          </cell>
          <cell r="CA196">
            <v>7.5851109934854817</v>
          </cell>
          <cell r="CB196">
            <v>68187000</v>
          </cell>
          <cell r="CC196">
            <v>429044</v>
          </cell>
          <cell r="CD196">
            <v>158.92775566142402</v>
          </cell>
          <cell r="CE196">
            <v>46382544</v>
          </cell>
          <cell r="CF196">
            <v>453555</v>
          </cell>
          <cell r="CG196">
            <v>102.26443099513841</v>
          </cell>
          <cell r="CH196">
            <v>194463376</v>
          </cell>
          <cell r="CI196">
            <v>1167546</v>
          </cell>
          <cell r="CJ196">
            <v>166.55735705488263</v>
          </cell>
          <cell r="CK196">
            <v>319004467</v>
          </cell>
          <cell r="CL196">
            <v>1167546</v>
          </cell>
          <cell r="CM196">
            <v>273.22646559535985</v>
          </cell>
          <cell r="CN196">
            <v>366.88747957091635</v>
          </cell>
          <cell r="CO196">
            <v>401.94219804225628</v>
          </cell>
          <cell r="CP196">
            <v>382.68183815010207</v>
          </cell>
          <cell r="CQ196">
            <v>409.04743360303081</v>
          </cell>
          <cell r="CR196">
            <v>922.09090909090912</v>
          </cell>
          <cell r="CS196">
            <v>1246959</v>
          </cell>
          <cell r="CT196">
            <v>30429</v>
          </cell>
          <cell r="CU196">
            <v>40.979296066252587</v>
          </cell>
          <cell r="CV196">
            <v>27.712121212121211</v>
          </cell>
          <cell r="CW196">
            <v>3070000</v>
          </cell>
          <cell r="CX196">
            <v>51330000</v>
          </cell>
          <cell r="CY196">
            <v>5.980907851159166E-2</v>
          </cell>
          <cell r="CZ196">
            <v>27453000</v>
          </cell>
          <cell r="DA196">
            <v>1167546</v>
          </cell>
          <cell r="DB196">
            <v>23.513420456238983</v>
          </cell>
          <cell r="DC196">
            <v>79888000</v>
          </cell>
          <cell r="DD196">
            <v>1167546</v>
          </cell>
          <cell r="DE196">
            <v>68.423856533275782</v>
          </cell>
          <cell r="DF196">
            <v>61053000</v>
          </cell>
          <cell r="DG196">
            <v>1167546</v>
          </cell>
          <cell r="DH196">
            <v>52.291729833342757</v>
          </cell>
          <cell r="DI196">
            <v>3.4839393939393943</v>
          </cell>
          <cell r="DJ196">
            <v>3.9812121212121219</v>
          </cell>
          <cell r="DK196">
            <v>0</v>
          </cell>
          <cell r="DL196">
            <v>0</v>
          </cell>
          <cell r="DM196">
            <v>0</v>
          </cell>
        </row>
        <row r="197">
          <cell r="B197" t="str">
            <v>Group 5 Average</v>
          </cell>
          <cell r="C197">
            <v>5</v>
          </cell>
          <cell r="D197">
            <v>167476000</v>
          </cell>
          <cell r="E197">
            <v>272538</v>
          </cell>
          <cell r="F197">
            <v>614.50513322912764</v>
          </cell>
          <cell r="G197">
            <v>3292000</v>
          </cell>
          <cell r="H197">
            <v>2784</v>
          </cell>
          <cell r="I197">
            <v>1182.471264367816</v>
          </cell>
          <cell r="J197">
            <v>57541000</v>
          </cell>
          <cell r="K197">
            <v>14365</v>
          </cell>
          <cell r="L197">
            <v>4005.6387051862166</v>
          </cell>
          <cell r="M197">
            <v>28295000</v>
          </cell>
          <cell r="N197">
            <v>424137000</v>
          </cell>
          <cell r="O197">
            <v>6.6711935058719238E-2</v>
          </cell>
          <cell r="P197">
            <v>10026000</v>
          </cell>
          <cell r="Q197">
            <v>308648000</v>
          </cell>
          <cell r="R197">
            <v>3.248360592001244E-2</v>
          </cell>
          <cell r="S197">
            <v>8785000</v>
          </cell>
          <cell r="T197">
            <v>96678000</v>
          </cell>
          <cell r="U197">
            <v>9.0868656778170839E-2</v>
          </cell>
          <cell r="V197">
            <v>318674000</v>
          </cell>
          <cell r="W197">
            <v>688221000</v>
          </cell>
          <cell r="X197">
            <v>0.46304021527968486</v>
          </cell>
          <cell r="Y197">
            <v>105463000</v>
          </cell>
          <cell r="Z197">
            <v>688221000</v>
          </cell>
          <cell r="AA197">
            <v>0.15324002028418196</v>
          </cell>
          <cell r="AB197">
            <v>21998000</v>
          </cell>
          <cell r="AC197">
            <v>688221000</v>
          </cell>
          <cell r="AD197">
            <v>3.1963569841664236E-2</v>
          </cell>
          <cell r="AE197">
            <v>92924000</v>
          </cell>
          <cell r="AF197">
            <v>688221000</v>
          </cell>
          <cell r="AG197">
            <v>0.13502058205140499</v>
          </cell>
          <cell r="AH197">
            <v>133711000</v>
          </cell>
          <cell r="AI197">
            <v>688221000</v>
          </cell>
          <cell r="AJ197">
            <v>0.1942849753204276</v>
          </cell>
          <cell r="AK197">
            <v>15451000</v>
          </cell>
          <cell r="AL197">
            <v>688221000</v>
          </cell>
          <cell r="AM197">
            <v>2.2450637222636332E-2</v>
          </cell>
          <cell r="AN197">
            <v>493721000</v>
          </cell>
          <cell r="AO197">
            <v>688192</v>
          </cell>
          <cell r="AP197">
            <v>717.41752301683255</v>
          </cell>
          <cell r="AQ197">
            <v>217789000</v>
          </cell>
          <cell r="AR197">
            <v>545513000</v>
          </cell>
          <cell r="AS197">
            <v>0.3992370484296433</v>
          </cell>
          <cell r="AT197">
            <v>128370000</v>
          </cell>
          <cell r="AU197">
            <v>545513000</v>
          </cell>
          <cell r="AV197">
            <v>0.23531978156340913</v>
          </cell>
          <cell r="AW197">
            <v>8606000</v>
          </cell>
          <cell r="AX197">
            <v>545513000</v>
          </cell>
          <cell r="AY197">
            <v>1.5775976007904487E-2</v>
          </cell>
          <cell r="AZ197">
            <v>120739000</v>
          </cell>
          <cell r="BA197">
            <v>545513000</v>
          </cell>
          <cell r="BB197">
            <v>0.22133111401561467</v>
          </cell>
          <cell r="BC197">
            <v>70009000</v>
          </cell>
          <cell r="BD197">
            <v>545513000</v>
          </cell>
          <cell r="BE197">
            <v>0.12833607998342844</v>
          </cell>
          <cell r="BF197">
            <v>507685000</v>
          </cell>
          <cell r="BG197">
            <v>688192</v>
          </cell>
          <cell r="BH197">
            <v>737.70837208220962</v>
          </cell>
          <cell r="BI197">
            <v>168889000</v>
          </cell>
          <cell r="BJ197">
            <v>85420000</v>
          </cell>
          <cell r="BK197">
            <v>1.9771599157106063</v>
          </cell>
          <cell r="BL197">
            <v>37890000</v>
          </cell>
          <cell r="BM197">
            <v>525091000</v>
          </cell>
          <cell r="BN197">
            <v>7.2158921025117548E-2</v>
          </cell>
          <cell r="BO197">
            <v>343848000</v>
          </cell>
          <cell r="BP197">
            <v>107108000</v>
          </cell>
          <cell r="BQ197">
            <v>3.2102924151323897</v>
          </cell>
          <cell r="BR197">
            <v>793.68</v>
          </cell>
          <cell r="BS197" t="str">
            <v>N/A</v>
          </cell>
          <cell r="BT197" t="str">
            <v>N/A</v>
          </cell>
          <cell r="BU197" t="str">
            <v>N/A</v>
          </cell>
          <cell r="BV197">
            <v>19006000</v>
          </cell>
          <cell r="BW197">
            <v>688192</v>
          </cell>
          <cell r="BX197">
            <v>27.617292848507393</v>
          </cell>
          <cell r="BY197">
            <v>5991038</v>
          </cell>
          <cell r="BZ197">
            <v>688192</v>
          </cell>
          <cell r="CA197">
            <v>8.7054746349855847</v>
          </cell>
          <cell r="CB197">
            <v>44344000</v>
          </cell>
          <cell r="CC197">
            <v>276890</v>
          </cell>
          <cell r="CD197">
            <v>160.15024016757556</v>
          </cell>
          <cell r="CE197">
            <v>31956918</v>
          </cell>
          <cell r="CF197">
            <v>270377</v>
          </cell>
          <cell r="CG197">
            <v>118.19392182027318</v>
          </cell>
          <cell r="CH197">
            <v>102566420</v>
          </cell>
          <cell r="CI197">
            <v>688192</v>
          </cell>
          <cell r="CJ197">
            <v>149.03750697479774</v>
          </cell>
          <cell r="CK197">
            <v>199728330</v>
          </cell>
          <cell r="CL197">
            <v>688192</v>
          </cell>
          <cell r="CM197">
            <v>290.22181309867011</v>
          </cell>
          <cell r="CN197">
            <v>249.6432284354625</v>
          </cell>
          <cell r="CO197">
            <v>302.53743762798899</v>
          </cell>
          <cell r="CP197">
            <v>451.70511544274399</v>
          </cell>
          <cell r="CQ197">
            <v>374.28607191624951</v>
          </cell>
          <cell r="CR197">
            <v>2818.6</v>
          </cell>
          <cell r="CS197">
            <v>739621</v>
          </cell>
          <cell r="CT197">
            <v>14093</v>
          </cell>
          <cell r="CU197">
            <v>52.481444688852619</v>
          </cell>
          <cell r="CV197">
            <v>33.6</v>
          </cell>
          <cell r="CW197">
            <v>1580000</v>
          </cell>
          <cell r="CX197">
            <v>26746000</v>
          </cell>
          <cell r="CY197">
            <v>5.907425409407014E-2</v>
          </cell>
          <cell r="CZ197">
            <v>15025000</v>
          </cell>
          <cell r="DA197">
            <v>688192</v>
          </cell>
          <cell r="DB197">
            <v>21.832569980470566</v>
          </cell>
          <cell r="DC197">
            <v>50843000</v>
          </cell>
          <cell r="DD197">
            <v>688192</v>
          </cell>
          <cell r="DE197">
            <v>73.879091881335441</v>
          </cell>
          <cell r="DF197">
            <v>14569000</v>
          </cell>
          <cell r="DG197">
            <v>688192</v>
          </cell>
          <cell r="DH197">
            <v>21.169964196038315</v>
          </cell>
          <cell r="DI197">
            <v>2.2679999999999998</v>
          </cell>
          <cell r="DJ197">
            <v>6.74</v>
          </cell>
          <cell r="DK197">
            <v>0</v>
          </cell>
          <cell r="DL197">
            <v>0</v>
          </cell>
          <cell r="DM197">
            <v>0</v>
          </cell>
        </row>
        <row r="198">
          <cell r="B198" t="str">
            <v>Group 6 Average</v>
          </cell>
          <cell r="C198">
            <v>6</v>
          </cell>
          <cell r="D198">
            <v>35643000</v>
          </cell>
          <cell r="E198">
            <v>50348</v>
          </cell>
          <cell r="F198">
            <v>707.93278779693333</v>
          </cell>
          <cell r="G198">
            <v>2410000</v>
          </cell>
          <cell r="H198">
            <v>1549</v>
          </cell>
          <cell r="I198">
            <v>1555.8424790187219</v>
          </cell>
          <cell r="J198">
            <v>4481000</v>
          </cell>
          <cell r="K198">
            <v>2793</v>
          </cell>
          <cell r="L198">
            <v>1604.3680630146796</v>
          </cell>
          <cell r="M198">
            <v>3685000</v>
          </cell>
          <cell r="N198">
            <v>73774000</v>
          </cell>
          <cell r="O198">
            <v>4.9949846829506331E-2</v>
          </cell>
          <cell r="P198">
            <v>3662000</v>
          </cell>
          <cell r="Q198">
            <v>55299000</v>
          </cell>
          <cell r="R198">
            <v>6.6221812329336882E-2</v>
          </cell>
          <cell r="S198">
            <v>185000</v>
          </cell>
          <cell r="T198">
            <v>14628000</v>
          </cell>
          <cell r="U198">
            <v>1.2646978397593656E-2</v>
          </cell>
          <cell r="V198">
            <v>58961000</v>
          </cell>
          <cell r="W198">
            <v>112128000</v>
          </cell>
          <cell r="X198">
            <v>0.52583654394977164</v>
          </cell>
          <cell r="Y198">
            <v>14813000</v>
          </cell>
          <cell r="Z198">
            <v>112128000</v>
          </cell>
          <cell r="AA198">
            <v>0.13210794805936074</v>
          </cell>
          <cell r="AB198">
            <v>4610000</v>
          </cell>
          <cell r="AC198">
            <v>112128000</v>
          </cell>
          <cell r="AD198">
            <v>4.1113727168949774E-2</v>
          </cell>
          <cell r="AE198">
            <v>22007000</v>
          </cell>
          <cell r="AF198">
            <v>112128000</v>
          </cell>
          <cell r="AG198">
            <v>0.19626676655251141</v>
          </cell>
          <cell r="AH198">
            <v>8959000</v>
          </cell>
          <cell r="AI198">
            <v>112128000</v>
          </cell>
          <cell r="AJ198">
            <v>7.9899757420091325E-2</v>
          </cell>
          <cell r="AK198">
            <v>2778000</v>
          </cell>
          <cell r="AL198">
            <v>112128000</v>
          </cell>
          <cell r="AM198">
            <v>2.4775256849315069E-2</v>
          </cell>
          <cell r="AN198">
            <v>99726000</v>
          </cell>
          <cell r="AO198">
            <v>150056</v>
          </cell>
          <cell r="AP198">
            <v>664.59188569600678</v>
          </cell>
          <cell r="AQ198">
            <v>39675000</v>
          </cell>
          <cell r="AR198">
            <v>106274000</v>
          </cell>
          <cell r="AS198">
            <v>0.37332743662607976</v>
          </cell>
          <cell r="AT198">
            <v>35419000</v>
          </cell>
          <cell r="AU198">
            <v>106274000</v>
          </cell>
          <cell r="AV198">
            <v>0.33328001204433821</v>
          </cell>
          <cell r="AW198">
            <v>1194000</v>
          </cell>
          <cell r="AX198">
            <v>106274000</v>
          </cell>
          <cell r="AY198">
            <v>1.1235109245911512E-2</v>
          </cell>
          <cell r="AZ198">
            <v>17369000</v>
          </cell>
          <cell r="BA198">
            <v>106274000</v>
          </cell>
          <cell r="BB198">
            <v>0.16343602386284509</v>
          </cell>
          <cell r="BC198">
            <v>12617000</v>
          </cell>
          <cell r="BD198">
            <v>106274000</v>
          </cell>
          <cell r="BE198">
            <v>0.11872141822082541</v>
          </cell>
          <cell r="BF198">
            <v>103058000</v>
          </cell>
          <cell r="BG198">
            <v>150056</v>
          </cell>
          <cell r="BH198">
            <v>686.79692914645204</v>
          </cell>
          <cell r="BI198">
            <v>36449000</v>
          </cell>
          <cell r="BJ198">
            <v>14990000</v>
          </cell>
          <cell r="BK198">
            <v>2.4315543695797199</v>
          </cell>
          <cell r="BL198">
            <v>3129000</v>
          </cell>
          <cell r="BM198">
            <v>90788000</v>
          </cell>
          <cell r="BN198">
            <v>3.4464907256465616E-2</v>
          </cell>
          <cell r="BO198">
            <v>1241000</v>
          </cell>
          <cell r="BP198">
            <v>16445000</v>
          </cell>
          <cell r="BQ198">
            <v>7.5463666768014595E-2</v>
          </cell>
          <cell r="BR198">
            <v>242</v>
          </cell>
          <cell r="BS198" t="str">
            <v>N/A</v>
          </cell>
          <cell r="BT198" t="str">
            <v>N/A</v>
          </cell>
          <cell r="BU198" t="str">
            <v>N/A</v>
          </cell>
          <cell r="BV198">
            <v>3462000</v>
          </cell>
          <cell r="BW198">
            <v>150056</v>
          </cell>
          <cell r="BX198">
            <v>23.071386682305274</v>
          </cell>
          <cell r="BY198">
            <v>614881</v>
          </cell>
          <cell r="BZ198">
            <v>150056</v>
          </cell>
          <cell r="CA198">
            <v>4.0976768673028738</v>
          </cell>
          <cell r="CB198">
            <v>10706000</v>
          </cell>
          <cell r="CC198">
            <v>48506</v>
          </cell>
          <cell r="CD198">
            <v>220.71496309734877</v>
          </cell>
          <cell r="CE198">
            <v>6274278</v>
          </cell>
          <cell r="CF198">
            <v>46560</v>
          </cell>
          <cell r="CG198">
            <v>134.75682989690722</v>
          </cell>
          <cell r="CH198">
            <v>22660540</v>
          </cell>
          <cell r="CI198">
            <v>150056</v>
          </cell>
          <cell r="CJ198">
            <v>151.0138881484246</v>
          </cell>
          <cell r="CK198">
            <v>31968000</v>
          </cell>
          <cell r="CL198">
            <v>150056</v>
          </cell>
          <cell r="CM198">
            <v>213.04046489310656</v>
          </cell>
          <cell r="CN198" t="str">
            <v>N/A</v>
          </cell>
          <cell r="CO198" t="str">
            <v>N/A</v>
          </cell>
          <cell r="CP198">
            <v>357</v>
          </cell>
          <cell r="CQ198">
            <v>476</v>
          </cell>
          <cell r="CR198">
            <v>1530.6666666666667</v>
          </cell>
          <cell r="CS198">
            <v>191801</v>
          </cell>
          <cell r="CT198">
            <v>4592</v>
          </cell>
          <cell r="CU198">
            <v>41.768510452961671</v>
          </cell>
          <cell r="CV198">
            <v>27.333333333333332</v>
          </cell>
          <cell r="CW198">
            <v>486000</v>
          </cell>
          <cell r="CX198">
            <v>8824000</v>
          </cell>
          <cell r="CY198">
            <v>5.5077062556663642E-2</v>
          </cell>
          <cell r="CZ198">
            <v>2050000</v>
          </cell>
          <cell r="DA198">
            <v>150056</v>
          </cell>
          <cell r="DB198">
            <v>13.661566348563204</v>
          </cell>
          <cell r="DC198">
            <v>9142000</v>
          </cell>
          <cell r="DD198">
            <v>150056</v>
          </cell>
          <cell r="DE198">
            <v>60.923921735885273</v>
          </cell>
          <cell r="DF198">
            <v>4728000</v>
          </cell>
          <cell r="DG198">
            <v>150056</v>
          </cell>
          <cell r="DH198">
            <v>31.508236924881377</v>
          </cell>
          <cell r="DI198">
            <v>1.4966666666666668</v>
          </cell>
          <cell r="DJ198">
            <v>6.1333333333333329</v>
          </cell>
          <cell r="DK198">
            <v>0</v>
          </cell>
          <cell r="DL198">
            <v>0</v>
          </cell>
          <cell r="DM198">
            <v>0</v>
          </cell>
        </row>
        <row r="199">
          <cell r="B199" t="str">
            <v>Group 7 Average</v>
          </cell>
          <cell r="C199">
            <v>7</v>
          </cell>
          <cell r="D199">
            <v>254324000</v>
          </cell>
          <cell r="E199">
            <v>411640</v>
          </cell>
          <cell r="F199">
            <v>617.83111456612573</v>
          </cell>
          <cell r="G199">
            <v>3169000</v>
          </cell>
          <cell r="H199">
            <v>2118</v>
          </cell>
          <cell r="I199">
            <v>1496.2228517469312</v>
          </cell>
          <cell r="J199">
            <v>48924000</v>
          </cell>
          <cell r="K199">
            <v>18605</v>
          </cell>
          <cell r="L199">
            <v>2629.6156947057243</v>
          </cell>
          <cell r="M199">
            <v>35321000</v>
          </cell>
          <cell r="N199">
            <v>600758000</v>
          </cell>
          <cell r="O199">
            <v>5.8794056841523543E-2</v>
          </cell>
          <cell r="P199">
            <v>22464000</v>
          </cell>
          <cell r="Q199">
            <v>445989000</v>
          </cell>
          <cell r="R199">
            <v>5.0368955288134912E-2</v>
          </cell>
          <cell r="S199">
            <v>2636000</v>
          </cell>
          <cell r="T199">
            <v>129669000</v>
          </cell>
          <cell r="U199">
            <v>2.0328683031410746E-2</v>
          </cell>
          <cell r="V199">
            <v>468453000</v>
          </cell>
          <cell r="W199">
            <v>926998000</v>
          </cell>
          <cell r="X199">
            <v>0.50534413234980013</v>
          </cell>
          <cell r="Y199">
            <v>132305000</v>
          </cell>
          <cell r="Z199">
            <v>926998000</v>
          </cell>
          <cell r="AA199">
            <v>0.14272414827216456</v>
          </cell>
          <cell r="AB199">
            <v>31927000</v>
          </cell>
          <cell r="AC199">
            <v>926998000</v>
          </cell>
          <cell r="AD199">
            <v>3.4441282505463876E-2</v>
          </cell>
          <cell r="AE199">
            <v>126511000</v>
          </cell>
          <cell r="AF199">
            <v>926998000</v>
          </cell>
          <cell r="AG199">
            <v>0.13647386510003257</v>
          </cell>
          <cell r="AH199">
            <v>141882000</v>
          </cell>
          <cell r="AI199">
            <v>926998000</v>
          </cell>
          <cell r="AJ199">
            <v>0.15305534639772686</v>
          </cell>
          <cell r="AK199">
            <v>25920000</v>
          </cell>
          <cell r="AL199">
            <v>926998000</v>
          </cell>
          <cell r="AM199">
            <v>2.7961225374812028E-2</v>
          </cell>
          <cell r="AN199">
            <v>708898000</v>
          </cell>
          <cell r="AO199">
            <v>1174454</v>
          </cell>
          <cell r="AP199">
            <v>603.59792720702558</v>
          </cell>
          <cell r="AQ199">
            <v>301291000</v>
          </cell>
          <cell r="AR199">
            <v>770437000</v>
          </cell>
          <cell r="AS199">
            <v>0.39106507086238068</v>
          </cell>
          <cell r="AT199">
            <v>182502000</v>
          </cell>
          <cell r="AU199">
            <v>770437000</v>
          </cell>
          <cell r="AV199">
            <v>0.23688114667390064</v>
          </cell>
          <cell r="AW199">
            <v>18391000</v>
          </cell>
          <cell r="AX199">
            <v>770437000</v>
          </cell>
          <cell r="AY199">
            <v>2.3870868091745334E-2</v>
          </cell>
          <cell r="AZ199">
            <v>138011000</v>
          </cell>
          <cell r="BA199">
            <v>770437000</v>
          </cell>
          <cell r="BB199">
            <v>0.17913340091402671</v>
          </cell>
          <cell r="BC199">
            <v>130242000</v>
          </cell>
          <cell r="BD199">
            <v>770437000</v>
          </cell>
          <cell r="BE199">
            <v>0.16904951345794658</v>
          </cell>
          <cell r="BF199">
            <v>681369000</v>
          </cell>
          <cell r="BG199">
            <v>1174454</v>
          </cell>
          <cell r="BH199">
            <v>580.15809899749161</v>
          </cell>
          <cell r="BI199">
            <v>266118000</v>
          </cell>
          <cell r="BJ199">
            <v>141319000</v>
          </cell>
          <cell r="BK199">
            <v>1.883101352259781</v>
          </cell>
          <cell r="BL199">
            <v>65312000</v>
          </cell>
          <cell r="BM199">
            <v>734932000</v>
          </cell>
          <cell r="BN199">
            <v>8.8868085754872553E-2</v>
          </cell>
          <cell r="BO199">
            <v>180736000</v>
          </cell>
          <cell r="BP199">
            <v>116549000</v>
          </cell>
          <cell r="BQ199">
            <v>1.5507297359908707</v>
          </cell>
          <cell r="BR199">
            <v>703.875</v>
          </cell>
          <cell r="BS199" t="str">
            <v>N/A</v>
          </cell>
          <cell r="BT199" t="str">
            <v>N/A</v>
          </cell>
          <cell r="BU199" t="str">
            <v>N/A</v>
          </cell>
          <cell r="BV199">
            <v>27008000</v>
          </cell>
          <cell r="BW199">
            <v>1174454</v>
          </cell>
          <cell r="BX199">
            <v>22.996217816960051</v>
          </cell>
          <cell r="BY199">
            <v>6692172</v>
          </cell>
          <cell r="BZ199">
            <v>1174454</v>
          </cell>
          <cell r="CA199">
            <v>5.6981133360693565</v>
          </cell>
          <cell r="CB199">
            <v>91419000</v>
          </cell>
          <cell r="CC199">
            <v>404678</v>
          </cell>
          <cell r="CD199">
            <v>225.90553477085484</v>
          </cell>
          <cell r="CE199">
            <v>56125860</v>
          </cell>
          <cell r="CF199">
            <v>405757</v>
          </cell>
          <cell r="CG199">
            <v>138.32382435792852</v>
          </cell>
          <cell r="CH199">
            <v>163309831</v>
          </cell>
          <cell r="CI199">
            <v>1174454</v>
          </cell>
          <cell r="CJ199">
            <v>139.05170487733022</v>
          </cell>
          <cell r="CK199">
            <v>323529650</v>
          </cell>
          <cell r="CL199">
            <v>1174454</v>
          </cell>
          <cell r="CM199">
            <v>275.47238972322458</v>
          </cell>
          <cell r="CN199">
            <v>204.19563516405401</v>
          </cell>
          <cell r="CO199">
            <v>295.5</v>
          </cell>
          <cell r="CP199">
            <v>323.6749875358185</v>
          </cell>
          <cell r="CQ199">
            <v>365.324020511708</v>
          </cell>
          <cell r="CR199">
            <v>3039.125</v>
          </cell>
          <cell r="CS199">
            <v>1058410</v>
          </cell>
          <cell r="CT199">
            <v>24313</v>
          </cell>
          <cell r="CU199">
            <v>43.532677991198128</v>
          </cell>
          <cell r="CV199">
            <v>32.6</v>
          </cell>
          <cell r="CW199">
            <v>4029000</v>
          </cell>
          <cell r="CX199">
            <v>50594000</v>
          </cell>
          <cell r="CY199">
            <v>7.9633948689567927E-2</v>
          </cell>
          <cell r="CZ199">
            <v>20459000</v>
          </cell>
          <cell r="DA199">
            <v>1174454</v>
          </cell>
          <cell r="DB199">
            <v>17.420009638521389</v>
          </cell>
          <cell r="DC199">
            <v>48738000</v>
          </cell>
          <cell r="DD199">
            <v>1174454</v>
          </cell>
          <cell r="DE199">
            <v>41.498432463084974</v>
          </cell>
          <cell r="DF199">
            <v>53777000</v>
          </cell>
          <cell r="DG199">
            <v>1174454</v>
          </cell>
          <cell r="DH199">
            <v>45.788936816597328</v>
          </cell>
          <cell r="DI199">
            <v>1.35625</v>
          </cell>
          <cell r="DJ199">
            <v>13.81625</v>
          </cell>
          <cell r="DK199">
            <v>0</v>
          </cell>
          <cell r="DL199">
            <v>0</v>
          </cell>
          <cell r="DM199">
            <v>0</v>
          </cell>
        </row>
        <row r="200">
          <cell r="B200" t="str">
            <v>Group 8 Average</v>
          </cell>
          <cell r="C200">
            <v>8</v>
          </cell>
          <cell r="D200">
            <v>297000</v>
          </cell>
          <cell r="E200">
            <v>1697</v>
          </cell>
          <cell r="F200">
            <v>175.01473187978786</v>
          </cell>
          <cell r="G200">
            <v>4065000</v>
          </cell>
          <cell r="H200">
            <v>2199</v>
          </cell>
          <cell r="I200">
            <v>1848.5675306957708</v>
          </cell>
          <cell r="J200">
            <v>66000</v>
          </cell>
          <cell r="K200">
            <v>356</v>
          </cell>
          <cell r="L200">
            <v>185.3932584269663</v>
          </cell>
          <cell r="M200">
            <v>643000</v>
          </cell>
          <cell r="N200">
            <v>7416000</v>
          </cell>
          <cell r="O200">
            <v>8.6704422869471415E-2</v>
          </cell>
          <cell r="P200">
            <v>229000</v>
          </cell>
          <cell r="Q200">
            <v>4936000</v>
          </cell>
          <cell r="R200">
            <v>4.6393841166936789E-2</v>
          </cell>
          <cell r="S200">
            <v>-275000</v>
          </cell>
          <cell r="T200">
            <v>2526000</v>
          </cell>
          <cell r="U200">
            <v>-0.10886777513855898</v>
          </cell>
          <cell r="V200">
            <v>5165000</v>
          </cell>
          <cell r="W200">
            <v>19030000</v>
          </cell>
          <cell r="X200">
            <v>0.27141355754072516</v>
          </cell>
          <cell r="Y200">
            <v>2251000</v>
          </cell>
          <cell r="Z200">
            <v>19030000</v>
          </cell>
          <cell r="AA200">
            <v>0.11828691539674199</v>
          </cell>
          <cell r="AB200">
            <v>451000</v>
          </cell>
          <cell r="AC200">
            <v>19030000</v>
          </cell>
          <cell r="AD200">
            <v>2.3699421965317918E-2</v>
          </cell>
          <cell r="AE200">
            <v>8329000</v>
          </cell>
          <cell r="AF200">
            <v>19030000</v>
          </cell>
          <cell r="AG200">
            <v>0.43767735155018395</v>
          </cell>
          <cell r="AH200">
            <v>2333000</v>
          </cell>
          <cell r="AI200">
            <v>19030000</v>
          </cell>
          <cell r="AJ200">
            <v>0.12259590120861798</v>
          </cell>
          <cell r="AK200">
            <v>501000</v>
          </cell>
          <cell r="AL200">
            <v>19030000</v>
          </cell>
          <cell r="AM200">
            <v>2.6326852338413032E-2</v>
          </cell>
          <cell r="AN200">
            <v>16185000</v>
          </cell>
          <cell r="AO200">
            <v>6489</v>
          </cell>
          <cell r="AP200">
            <v>2494.2209893666204</v>
          </cell>
          <cell r="AQ200">
            <v>5465000</v>
          </cell>
          <cell r="AR200">
            <v>17551000</v>
          </cell>
          <cell r="AS200">
            <v>0.31137826904449889</v>
          </cell>
          <cell r="AT200">
            <v>5570000</v>
          </cell>
          <cell r="AU200">
            <v>17551000</v>
          </cell>
          <cell r="AV200">
            <v>0.31736083414050481</v>
          </cell>
          <cell r="AW200">
            <v>165000</v>
          </cell>
          <cell r="AX200">
            <v>17551000</v>
          </cell>
          <cell r="AY200">
            <v>9.4011737222950264E-3</v>
          </cell>
          <cell r="AZ200">
            <v>4444000</v>
          </cell>
          <cell r="BA200">
            <v>17551000</v>
          </cell>
          <cell r="BB200">
            <v>0.25320494558714601</v>
          </cell>
          <cell r="BC200">
            <v>1907000</v>
          </cell>
          <cell r="BD200">
            <v>17551000</v>
          </cell>
          <cell r="BE200">
            <v>0.10865477750555524</v>
          </cell>
          <cell r="BF200">
            <v>16822000</v>
          </cell>
          <cell r="BG200">
            <v>6489</v>
          </cell>
          <cell r="BH200">
            <v>2592.3871166589615</v>
          </cell>
          <cell r="BI200">
            <v>9814000</v>
          </cell>
          <cell r="BJ200">
            <v>2157000</v>
          </cell>
          <cell r="BK200">
            <v>4.5498377375985166</v>
          </cell>
          <cell r="BL200">
            <v>383000</v>
          </cell>
          <cell r="BM200">
            <v>13581000</v>
          </cell>
          <cell r="BN200">
            <v>2.820116339003019E-2</v>
          </cell>
          <cell r="BO200">
            <v>3212000</v>
          </cell>
          <cell r="BP200">
            <v>4271000</v>
          </cell>
          <cell r="BQ200">
            <v>0.75204870053851558</v>
          </cell>
          <cell r="BR200">
            <v>31.75</v>
          </cell>
          <cell r="BS200" t="str">
            <v>N/A</v>
          </cell>
          <cell r="BT200" t="str">
            <v>N/A</v>
          </cell>
          <cell r="BU200" t="str">
            <v>N/A</v>
          </cell>
          <cell r="BV200">
            <v>193000</v>
          </cell>
          <cell r="BW200">
            <v>6489</v>
          </cell>
          <cell r="BX200">
            <v>29.742641393126831</v>
          </cell>
          <cell r="BY200">
            <v>36123</v>
          </cell>
          <cell r="BZ200">
            <v>6489</v>
          </cell>
          <cell r="CA200">
            <v>5.5668053629218681</v>
          </cell>
          <cell r="CB200">
            <v>79000</v>
          </cell>
          <cell r="CC200">
            <v>855</v>
          </cell>
          <cell r="CD200">
            <v>92.397660818713447</v>
          </cell>
          <cell r="CE200">
            <v>93414</v>
          </cell>
          <cell r="CF200">
            <v>783</v>
          </cell>
          <cell r="CG200">
            <v>119.30268199233717</v>
          </cell>
          <cell r="CH200">
            <v>114480</v>
          </cell>
          <cell r="CI200">
            <v>6489</v>
          </cell>
          <cell r="CJ200">
            <v>17.642163661581137</v>
          </cell>
          <cell r="CK200">
            <v>1852640</v>
          </cell>
          <cell r="CL200">
            <v>6489</v>
          </cell>
          <cell r="CM200">
            <v>285.50470026198184</v>
          </cell>
          <cell r="CN200">
            <v>542.21002059025398</v>
          </cell>
          <cell r="CO200">
            <v>445</v>
          </cell>
          <cell r="CP200">
            <v>414.55225777248467</v>
          </cell>
          <cell r="CQ200">
            <v>375.3127646702963</v>
          </cell>
          <cell r="CR200">
            <v>20.5</v>
          </cell>
          <cell r="CS200">
            <v>1432</v>
          </cell>
          <cell r="CT200">
            <v>82</v>
          </cell>
          <cell r="CU200">
            <v>17.463414634146343</v>
          </cell>
          <cell r="CV200">
            <v>17.625</v>
          </cell>
          <cell r="CW200">
            <v>0</v>
          </cell>
          <cell r="CX200">
            <v>196000</v>
          </cell>
          <cell r="CY200" t="str">
            <v>N/A</v>
          </cell>
          <cell r="CZ200">
            <v>398000</v>
          </cell>
          <cell r="DA200">
            <v>6489</v>
          </cell>
          <cell r="DB200">
            <v>61.334566188935121</v>
          </cell>
          <cell r="DC200">
            <v>521000</v>
          </cell>
          <cell r="DD200">
            <v>6489</v>
          </cell>
          <cell r="DE200">
            <v>80.2897210664201</v>
          </cell>
          <cell r="DF200">
            <v>191000</v>
          </cell>
          <cell r="DG200">
            <v>6489</v>
          </cell>
          <cell r="DH200">
            <v>29.434427492679919</v>
          </cell>
          <cell r="DI200">
            <v>2.4300000000000002</v>
          </cell>
          <cell r="DJ200">
            <v>2.68</v>
          </cell>
          <cell r="DK200">
            <v>0</v>
          </cell>
          <cell r="DL200">
            <v>0</v>
          </cell>
          <cell r="DM200">
            <v>0</v>
          </cell>
        </row>
        <row r="201">
          <cell r="B201" t="str">
            <v>Group 9 Average</v>
          </cell>
          <cell r="C201">
            <v>9</v>
          </cell>
          <cell r="D201">
            <v>10610000</v>
          </cell>
          <cell r="E201">
            <v>42217</v>
          </cell>
          <cell r="F201">
            <v>251.32055806902432</v>
          </cell>
          <cell r="G201">
            <v>46777000</v>
          </cell>
          <cell r="H201">
            <v>29096</v>
          </cell>
          <cell r="I201">
            <v>1607.6780313445147</v>
          </cell>
          <cell r="J201">
            <v>2480000</v>
          </cell>
          <cell r="K201">
            <v>5667</v>
          </cell>
          <cell r="L201">
            <v>437.62131639315334</v>
          </cell>
          <cell r="M201">
            <v>14844000</v>
          </cell>
          <cell r="N201">
            <v>144558000</v>
          </cell>
          <cell r="O201">
            <v>0.10268542730253601</v>
          </cell>
          <cell r="P201">
            <v>3215000</v>
          </cell>
          <cell r="Q201">
            <v>83707000</v>
          </cell>
          <cell r="R201">
            <v>3.8407779516647353E-2</v>
          </cell>
          <cell r="S201">
            <v>2793000</v>
          </cell>
          <cell r="T201">
            <v>54843000</v>
          </cell>
          <cell r="U201">
            <v>5.0927192166730487E-2</v>
          </cell>
          <cell r="V201">
            <v>86922000</v>
          </cell>
          <cell r="W201">
            <v>316459000</v>
          </cell>
          <cell r="X201">
            <v>0.27467065243838856</v>
          </cell>
          <cell r="Y201">
            <v>57636000</v>
          </cell>
          <cell r="Z201">
            <v>316459000</v>
          </cell>
          <cell r="AA201">
            <v>0.18212785858515637</v>
          </cell>
          <cell r="AB201">
            <v>7833000</v>
          </cell>
          <cell r="AC201">
            <v>316459000</v>
          </cell>
          <cell r="AD201">
            <v>2.4752021588894613E-2</v>
          </cell>
          <cell r="AE201">
            <v>115768000</v>
          </cell>
          <cell r="AF201">
            <v>316459000</v>
          </cell>
          <cell r="AG201">
            <v>0.36582306080724519</v>
          </cell>
          <cell r="AH201">
            <v>39845000</v>
          </cell>
          <cell r="AI201">
            <v>316459000</v>
          </cell>
          <cell r="AJ201">
            <v>0.12590888551123527</v>
          </cell>
          <cell r="AK201">
            <v>8455000</v>
          </cell>
          <cell r="AL201">
            <v>316459000</v>
          </cell>
          <cell r="AM201">
            <v>2.6717521069080038E-2</v>
          </cell>
          <cell r="AN201">
            <v>254774000</v>
          </cell>
          <cell r="AO201">
            <v>134100</v>
          </cell>
          <cell r="AP201">
            <v>1899.8806860551827</v>
          </cell>
          <cell r="AQ201">
            <v>106700000</v>
          </cell>
          <cell r="AR201">
            <v>301748000</v>
          </cell>
          <cell r="AS201">
            <v>0.35360632050585256</v>
          </cell>
          <cell r="AT201">
            <v>84802000</v>
          </cell>
          <cell r="AU201">
            <v>301748000</v>
          </cell>
          <cell r="AV201">
            <v>0.28103583122340497</v>
          </cell>
          <cell r="AW201">
            <v>2767000</v>
          </cell>
          <cell r="AX201">
            <v>301748000</v>
          </cell>
          <cell r="AY201">
            <v>9.1699033630711722E-3</v>
          </cell>
          <cell r="AZ201">
            <v>75580000</v>
          </cell>
          <cell r="BA201">
            <v>301748000</v>
          </cell>
          <cell r="BB201">
            <v>0.25047390537799752</v>
          </cell>
          <cell r="BC201">
            <v>31899000</v>
          </cell>
          <cell r="BD201">
            <v>301748000</v>
          </cell>
          <cell r="BE201">
            <v>0.10571403952967377</v>
          </cell>
          <cell r="BF201">
            <v>274046000</v>
          </cell>
          <cell r="BG201">
            <v>134100</v>
          </cell>
          <cell r="BH201">
            <v>2043.5943325876212</v>
          </cell>
          <cell r="BI201">
            <v>114440000</v>
          </cell>
          <cell r="BJ201">
            <v>36020000</v>
          </cell>
          <cell r="BK201">
            <v>3.1771238200999443</v>
          </cell>
          <cell r="BL201">
            <v>10708000</v>
          </cell>
          <cell r="BM201">
            <v>227047000</v>
          </cell>
          <cell r="BN201">
            <v>4.7162041339458352E-2</v>
          </cell>
          <cell r="BO201">
            <v>-4044000</v>
          </cell>
          <cell r="BP201">
            <v>67355000</v>
          </cell>
          <cell r="BQ201">
            <v>-6.004008611090491E-2</v>
          </cell>
          <cell r="BR201">
            <v>60.119487179487173</v>
          </cell>
          <cell r="BS201" t="str">
            <v>N/A</v>
          </cell>
          <cell r="BT201" t="str">
            <v>N/A</v>
          </cell>
          <cell r="BU201" t="str">
            <v>N/A</v>
          </cell>
          <cell r="BV201">
            <v>4139000</v>
          </cell>
          <cell r="BW201">
            <v>134100</v>
          </cell>
          <cell r="BX201">
            <v>30.86502609992543</v>
          </cell>
          <cell r="BY201">
            <v>725771</v>
          </cell>
          <cell r="BZ201">
            <v>134100</v>
          </cell>
          <cell r="CA201">
            <v>5.4121625652498135</v>
          </cell>
          <cell r="CB201">
            <v>4732000</v>
          </cell>
          <cell r="CC201">
            <v>33556</v>
          </cell>
          <cell r="CD201">
            <v>141.01799976159256</v>
          </cell>
          <cell r="CE201">
            <v>3609457</v>
          </cell>
          <cell r="CF201">
            <v>33027</v>
          </cell>
          <cell r="CG201">
            <v>109.28806733884397</v>
          </cell>
          <cell r="CH201">
            <v>9967632</v>
          </cell>
          <cell r="CI201">
            <v>134100</v>
          </cell>
          <cell r="CJ201">
            <v>74.32984340044743</v>
          </cell>
          <cell r="CK201">
            <v>39083630</v>
          </cell>
          <cell r="CL201">
            <v>134100</v>
          </cell>
          <cell r="CM201">
            <v>291.45137956748692</v>
          </cell>
          <cell r="CN201">
            <v>407.22919694354403</v>
          </cell>
          <cell r="CO201">
            <v>444.14076242878076</v>
          </cell>
          <cell r="CP201">
            <v>326.2105722219402</v>
          </cell>
          <cell r="CQ201">
            <v>363.00990774083607</v>
          </cell>
          <cell r="CR201">
            <v>66.641025641025635</v>
          </cell>
          <cell r="CS201">
            <v>60880</v>
          </cell>
          <cell r="CT201">
            <v>2599</v>
          </cell>
          <cell r="CU201">
            <v>23.424393997691421</v>
          </cell>
          <cell r="CV201">
            <v>17.236564102564103</v>
          </cell>
          <cell r="CW201">
            <v>96000</v>
          </cell>
          <cell r="CX201">
            <v>2855000</v>
          </cell>
          <cell r="CY201">
            <v>3.3625218914185642E-2</v>
          </cell>
          <cell r="CZ201">
            <v>8845000</v>
          </cell>
          <cell r="DA201">
            <v>134100</v>
          </cell>
          <cell r="DB201">
            <v>65.958240119313942</v>
          </cell>
          <cell r="DC201">
            <v>10977000</v>
          </cell>
          <cell r="DD201">
            <v>134100</v>
          </cell>
          <cell r="DE201">
            <v>81.856823266219237</v>
          </cell>
          <cell r="DF201">
            <v>14659000</v>
          </cell>
          <cell r="DG201">
            <v>134100</v>
          </cell>
          <cell r="DH201">
            <v>109.31394481730052</v>
          </cell>
          <cell r="DI201">
            <v>6.6907692307692308</v>
          </cell>
          <cell r="DJ201">
            <v>2.1453846153846152</v>
          </cell>
          <cell r="DK201">
            <v>0</v>
          </cell>
          <cell r="DL201">
            <v>0</v>
          </cell>
          <cell r="DM201">
            <v>0</v>
          </cell>
        </row>
        <row r="202">
          <cell r="B202" t="str">
            <v>Group 10 Average</v>
          </cell>
          <cell r="C202">
            <v>10</v>
          </cell>
          <cell r="D202">
            <v>23576000</v>
          </cell>
          <cell r="E202">
            <v>66117</v>
          </cell>
          <cell r="F202">
            <v>356.58000211745843</v>
          </cell>
          <cell r="G202">
            <v>39585000</v>
          </cell>
          <cell r="H202">
            <v>29181</v>
          </cell>
          <cell r="I202">
            <v>1356.5333607484322</v>
          </cell>
          <cell r="J202">
            <v>6230000</v>
          </cell>
          <cell r="K202">
            <v>7503</v>
          </cell>
          <cell r="L202">
            <v>830.33453285352527</v>
          </cell>
          <cell r="M202">
            <v>18102000</v>
          </cell>
          <cell r="N202">
            <v>176226000</v>
          </cell>
          <cell r="O202">
            <v>0.10272037043342072</v>
          </cell>
          <cell r="P202">
            <v>5440000</v>
          </cell>
          <cell r="Q202">
            <v>103648000</v>
          </cell>
          <cell r="R202">
            <v>5.2485334979932075E-2</v>
          </cell>
          <cell r="S202">
            <v>5553000</v>
          </cell>
          <cell r="T202">
            <v>61585000</v>
          </cell>
          <cell r="U202">
            <v>9.0168060404319239E-2</v>
          </cell>
          <cell r="V202">
            <v>109088000</v>
          </cell>
          <cell r="W202">
            <v>347135000</v>
          </cell>
          <cell r="X202">
            <v>0.31425238019790569</v>
          </cell>
          <cell r="Y202">
            <v>67138000</v>
          </cell>
          <cell r="Z202">
            <v>347135000</v>
          </cell>
          <cell r="AA202">
            <v>0.19340602359312659</v>
          </cell>
          <cell r="AB202">
            <v>10978000</v>
          </cell>
          <cell r="AC202">
            <v>347135000</v>
          </cell>
          <cell r="AD202">
            <v>3.1624584095524794E-2</v>
          </cell>
          <cell r="AE202">
            <v>116846000</v>
          </cell>
          <cell r="AF202">
            <v>347135000</v>
          </cell>
          <cell r="AG202">
            <v>0.33660103417978599</v>
          </cell>
          <cell r="AH202">
            <v>35868000</v>
          </cell>
          <cell r="AI202">
            <v>347135000</v>
          </cell>
          <cell r="AJ202">
            <v>0.10332579543981447</v>
          </cell>
          <cell r="AK202">
            <v>7217000</v>
          </cell>
          <cell r="AL202">
            <v>347135000</v>
          </cell>
          <cell r="AM202">
            <v>2.0790182493842454E-2</v>
          </cell>
          <cell r="AN202">
            <v>269198000</v>
          </cell>
          <cell r="AO202">
            <v>196988</v>
          </cell>
          <cell r="AP202">
            <v>1366.5705525209657</v>
          </cell>
          <cell r="AQ202">
            <v>112141000</v>
          </cell>
          <cell r="AR202">
            <v>317810000</v>
          </cell>
          <cell r="AS202">
            <v>0.35285547968912245</v>
          </cell>
          <cell r="AT202">
            <v>94757000</v>
          </cell>
          <cell r="AU202">
            <v>317810000</v>
          </cell>
          <cell r="AV202">
            <v>0.29815613102167959</v>
          </cell>
          <cell r="AW202">
            <v>3229000</v>
          </cell>
          <cell r="AX202">
            <v>317810000</v>
          </cell>
          <cell r="AY202">
            <v>1.0160158585318272E-2</v>
          </cell>
          <cell r="AZ202">
            <v>78871000</v>
          </cell>
          <cell r="BA202">
            <v>317810000</v>
          </cell>
          <cell r="BB202">
            <v>0.24817029042509675</v>
          </cell>
          <cell r="BC202">
            <v>28812000</v>
          </cell>
          <cell r="BD202">
            <v>317810000</v>
          </cell>
          <cell r="BE202">
            <v>9.065794027878292E-2</v>
          </cell>
          <cell r="BF202">
            <v>275531000</v>
          </cell>
          <cell r="BG202">
            <v>196988</v>
          </cell>
          <cell r="BH202">
            <v>1398.7197189676529</v>
          </cell>
          <cell r="BI202">
            <v>138215000</v>
          </cell>
          <cell r="BJ202">
            <v>42088627.280000001</v>
          </cell>
          <cell r="BK202">
            <v>3.2839037272588376</v>
          </cell>
          <cell r="BL202">
            <v>12484000</v>
          </cell>
          <cell r="BM202">
            <v>260671000</v>
          </cell>
          <cell r="BN202">
            <v>4.7891786965178325E-2</v>
          </cell>
          <cell r="BO202">
            <v>52367000</v>
          </cell>
          <cell r="BP202">
            <v>67535000</v>
          </cell>
          <cell r="BQ202">
            <v>0.77540534537647143</v>
          </cell>
          <cell r="BR202">
            <v>90.589259259259265</v>
          </cell>
          <cell r="BS202" t="str">
            <v>N/A</v>
          </cell>
          <cell r="BT202" t="str">
            <v>N/A</v>
          </cell>
          <cell r="BU202" t="str">
            <v>N/A</v>
          </cell>
          <cell r="BV202">
            <v>5226000</v>
          </cell>
          <cell r="BW202">
            <v>196988</v>
          </cell>
          <cell r="BX202">
            <v>26.529534793997605</v>
          </cell>
          <cell r="BY202">
            <v>950986</v>
          </cell>
          <cell r="BZ202">
            <v>196988</v>
          </cell>
          <cell r="CA202">
            <v>4.8276341706093771</v>
          </cell>
          <cell r="CB202">
            <v>8274000</v>
          </cell>
          <cell r="CC202">
            <v>52293</v>
          </cell>
          <cell r="CD202">
            <v>158.22385405312374</v>
          </cell>
          <cell r="CE202">
            <v>5658228</v>
          </cell>
          <cell r="CF202">
            <v>52768</v>
          </cell>
          <cell r="CG202">
            <v>107.22839599757428</v>
          </cell>
          <cell r="CH202">
            <v>21760875</v>
          </cell>
          <cell r="CI202">
            <v>196988</v>
          </cell>
          <cell r="CJ202">
            <v>110.46802343289947</v>
          </cell>
          <cell r="CK202">
            <v>72958720</v>
          </cell>
          <cell r="CL202">
            <v>196988</v>
          </cell>
          <cell r="CM202">
            <v>370.37139318131051</v>
          </cell>
          <cell r="CN202">
            <v>427.58965678054136</v>
          </cell>
          <cell r="CO202">
            <v>456.08831658851255</v>
          </cell>
          <cell r="CP202">
            <v>334.80535376451928</v>
          </cell>
          <cell r="CQ202">
            <v>366.04372905950464</v>
          </cell>
          <cell r="CR202">
            <v>178.62962962962962</v>
          </cell>
          <cell r="CS202">
            <v>136033</v>
          </cell>
          <cell r="CT202">
            <v>4823</v>
          </cell>
          <cell r="CU202">
            <v>28.205059091851545</v>
          </cell>
          <cell r="CV202">
            <v>18.416666666666668</v>
          </cell>
          <cell r="CW202">
            <v>382000</v>
          </cell>
          <cell r="CX202">
            <v>7037000</v>
          </cell>
          <cell r="CY202">
            <v>5.4284496234190703E-2</v>
          </cell>
          <cell r="CZ202">
            <v>6510000</v>
          </cell>
          <cell r="DA202">
            <v>196988</v>
          </cell>
          <cell r="DB202">
            <v>33.047698336954532</v>
          </cell>
          <cell r="DC202">
            <v>15237000</v>
          </cell>
          <cell r="DD202">
            <v>196988</v>
          </cell>
          <cell r="DE202">
            <v>77.349889333360409</v>
          </cell>
          <cell r="DF202">
            <v>23848000</v>
          </cell>
          <cell r="DG202">
            <v>196988</v>
          </cell>
          <cell r="DH202">
            <v>121.06321197230288</v>
          </cell>
          <cell r="DI202">
            <v>5.1403703703703698</v>
          </cell>
          <cell r="DJ202">
            <v>2.6981481481481473</v>
          </cell>
          <cell r="DK202">
            <v>0</v>
          </cell>
          <cell r="DL202">
            <v>0</v>
          </cell>
          <cell r="DM202">
            <v>0</v>
          </cell>
        </row>
        <row r="203">
          <cell r="B203" t="str">
            <v>Group 11 Average</v>
          </cell>
          <cell r="C203">
            <v>11</v>
          </cell>
          <cell r="D203">
            <v>42579000</v>
          </cell>
          <cell r="E203">
            <v>94540</v>
          </cell>
          <cell r="F203">
            <v>450.38079119949225</v>
          </cell>
          <cell r="G203">
            <v>39534000</v>
          </cell>
          <cell r="H203">
            <v>23693</v>
          </cell>
          <cell r="I203">
            <v>1668.5940995230658</v>
          </cell>
          <cell r="J203">
            <v>11154000</v>
          </cell>
          <cell r="K203">
            <v>8418</v>
          </cell>
          <cell r="L203">
            <v>1325.0178189593728</v>
          </cell>
          <cell r="M203">
            <v>28546000</v>
          </cell>
          <cell r="N203">
            <v>235324000</v>
          </cell>
          <cell r="O203">
            <v>0.12130509425302986</v>
          </cell>
          <cell r="P203">
            <v>7703000</v>
          </cell>
          <cell r="Q203">
            <v>145687000</v>
          </cell>
          <cell r="R203">
            <v>5.2873626335911923E-2</v>
          </cell>
          <cell r="S203">
            <v>7904000</v>
          </cell>
          <cell r="T203">
            <v>74030000</v>
          </cell>
          <cell r="U203">
            <v>0.10676752667837364</v>
          </cell>
          <cell r="V203">
            <v>153390000</v>
          </cell>
          <cell r="W203">
            <v>399593000</v>
          </cell>
          <cell r="X203">
            <v>0.3838655832309375</v>
          </cell>
          <cell r="Y203">
            <v>81934000</v>
          </cell>
          <cell r="Z203">
            <v>399593000</v>
          </cell>
          <cell r="AA203">
            <v>0.20504363189545363</v>
          </cell>
          <cell r="AB203">
            <v>13273000</v>
          </cell>
          <cell r="AC203">
            <v>399593000</v>
          </cell>
          <cell r="AD203">
            <v>3.3216297582790488E-2</v>
          </cell>
          <cell r="AE203">
            <v>103182000</v>
          </cell>
          <cell r="AF203">
            <v>399593000</v>
          </cell>
          <cell r="AG203">
            <v>0.25821773654693653</v>
          </cell>
          <cell r="AH203">
            <v>40563000</v>
          </cell>
          <cell r="AI203">
            <v>399593000</v>
          </cell>
          <cell r="AJ203">
            <v>0.10151078722600246</v>
          </cell>
          <cell r="AK203">
            <v>7251000</v>
          </cell>
          <cell r="AL203">
            <v>399593000</v>
          </cell>
          <cell r="AM203">
            <v>1.8145963517879442E-2</v>
          </cell>
          <cell r="AN203">
            <v>297453000</v>
          </cell>
          <cell r="AO203">
            <v>272586</v>
          </cell>
          <cell r="AP203">
            <v>1091.2262552001937</v>
          </cell>
          <cell r="AQ203">
            <v>119855000</v>
          </cell>
          <cell r="AR203">
            <v>368478000</v>
          </cell>
          <cell r="AS203">
            <v>0.32527043676963074</v>
          </cell>
          <cell r="AT203">
            <v>106499000</v>
          </cell>
          <cell r="AU203">
            <v>368478000</v>
          </cell>
          <cell r="AV203">
            <v>0.28902403942704857</v>
          </cell>
          <cell r="AW203">
            <v>6158000</v>
          </cell>
          <cell r="AX203">
            <v>368478000</v>
          </cell>
          <cell r="AY203">
            <v>1.6711988232676035E-2</v>
          </cell>
          <cell r="AZ203">
            <v>100629000</v>
          </cell>
          <cell r="BA203">
            <v>368478000</v>
          </cell>
          <cell r="BB203">
            <v>0.27309364466806701</v>
          </cell>
          <cell r="BC203">
            <v>35337000</v>
          </cell>
          <cell r="BD203">
            <v>368478000</v>
          </cell>
          <cell r="BE203">
            <v>9.5899890902577625E-2</v>
          </cell>
          <cell r="BF203">
            <v>314588000</v>
          </cell>
          <cell r="BG203">
            <v>272586</v>
          </cell>
          <cell r="BH203">
            <v>1154.0871504772806</v>
          </cell>
          <cell r="BI203">
            <v>144164000</v>
          </cell>
          <cell r="BJ203">
            <v>49151000</v>
          </cell>
          <cell r="BK203">
            <v>2.9330837622835753</v>
          </cell>
          <cell r="BL203">
            <v>16940000</v>
          </cell>
          <cell r="BM203">
            <v>314485000</v>
          </cell>
          <cell r="BN203">
            <v>5.386584415790896E-2</v>
          </cell>
          <cell r="BO203">
            <v>246447000</v>
          </cell>
          <cell r="BP203">
            <v>85706000</v>
          </cell>
          <cell r="BQ203">
            <v>2.8754929643198843</v>
          </cell>
          <cell r="BR203">
            <v>123.84</v>
          </cell>
          <cell r="BS203" t="str">
            <v>N/A</v>
          </cell>
          <cell r="BT203" t="str">
            <v>N/A</v>
          </cell>
          <cell r="BU203" t="str">
            <v>N/A</v>
          </cell>
          <cell r="BV203">
            <v>5903000</v>
          </cell>
          <cell r="BW203">
            <v>272586</v>
          </cell>
          <cell r="BX203">
            <v>21.655550908704043</v>
          </cell>
          <cell r="BY203">
            <v>1528000</v>
          </cell>
          <cell r="BZ203">
            <v>272586</v>
          </cell>
          <cell r="CA203">
            <v>5.6055703521090594</v>
          </cell>
          <cell r="CB203">
            <v>12562000</v>
          </cell>
          <cell r="CC203">
            <v>75155</v>
          </cell>
          <cell r="CD203">
            <v>167.14789435167322</v>
          </cell>
          <cell r="CE203">
            <v>8301559</v>
          </cell>
          <cell r="CF203">
            <v>76664</v>
          </cell>
          <cell r="CG203">
            <v>108.28497078159241</v>
          </cell>
          <cell r="CH203">
            <v>26523591</v>
          </cell>
          <cell r="CI203">
            <v>272586</v>
          </cell>
          <cell r="CJ203">
            <v>97.303570249389182</v>
          </cell>
          <cell r="CK203">
            <v>83418655</v>
          </cell>
          <cell r="CL203">
            <v>272586</v>
          </cell>
          <cell r="CM203">
            <v>306.02692361309823</v>
          </cell>
          <cell r="CN203">
            <v>433.48964892601282</v>
          </cell>
          <cell r="CO203">
            <v>413.50368360046468</v>
          </cell>
          <cell r="CP203">
            <v>383.18956847598099</v>
          </cell>
          <cell r="CQ203">
            <v>373.74316945509293</v>
          </cell>
          <cell r="CR203">
            <v>346.45</v>
          </cell>
          <cell r="CS203">
            <v>208713</v>
          </cell>
          <cell r="CT203">
            <v>6929</v>
          </cell>
          <cell r="CU203">
            <v>30.121662577572522</v>
          </cell>
          <cell r="CV203">
            <v>24.035</v>
          </cell>
          <cell r="CW203">
            <v>358000</v>
          </cell>
          <cell r="CX203">
            <v>9443000</v>
          </cell>
          <cell r="CY203">
            <v>3.7911680609975643E-2</v>
          </cell>
          <cell r="CZ203">
            <v>8624000</v>
          </cell>
          <cell r="DA203">
            <v>272586</v>
          </cell>
          <cell r="DB203">
            <v>31.63772167316003</v>
          </cell>
          <cell r="DC203">
            <v>16995000</v>
          </cell>
          <cell r="DD203">
            <v>272586</v>
          </cell>
          <cell r="DE203">
            <v>62.347295899275828</v>
          </cell>
          <cell r="DF203">
            <v>14049000</v>
          </cell>
          <cell r="DG203">
            <v>272586</v>
          </cell>
          <cell r="DH203">
            <v>51.53969756333781</v>
          </cell>
          <cell r="DI203">
            <v>4.7044999999999995</v>
          </cell>
          <cell r="DJ203">
            <v>2.6154999999999999</v>
          </cell>
          <cell r="DK203">
            <v>0</v>
          </cell>
          <cell r="DL203">
            <v>0</v>
          </cell>
          <cell r="DM203">
            <v>0</v>
          </cell>
        </row>
        <row r="204">
          <cell r="B204" t="str">
            <v>NSW Mean</v>
          </cell>
          <cell r="D204">
            <v>1421318000</v>
          </cell>
          <cell r="E204">
            <v>2408497</v>
          </cell>
          <cell r="F204">
            <v>590.12653949745425</v>
          </cell>
          <cell r="G204">
            <v>174026000</v>
          </cell>
          <cell r="H204">
            <v>122067</v>
          </cell>
          <cell r="I204">
            <v>1425.6596787010412</v>
          </cell>
          <cell r="J204">
            <v>548485000</v>
          </cell>
          <cell r="K204">
            <v>165394</v>
          </cell>
          <cell r="L204">
            <v>3316.2327533042312</v>
          </cell>
          <cell r="M204">
            <v>260223000</v>
          </cell>
          <cell r="N204">
            <v>4104216000</v>
          </cell>
          <cell r="O204">
            <v>6.3403826699179572E-2</v>
          </cell>
          <cell r="P204">
            <v>141984000</v>
          </cell>
          <cell r="Q204">
            <v>2891802000</v>
          </cell>
          <cell r="R204">
            <v>4.9098797220556593E-2</v>
          </cell>
          <cell r="S204">
            <v>81532000</v>
          </cell>
          <cell r="T204">
            <v>988898000</v>
          </cell>
          <cell r="U204">
            <v>8.2447330260552662E-2</v>
          </cell>
          <cell r="V204">
            <v>3033786000</v>
          </cell>
          <cell r="W204">
            <v>6417005000</v>
          </cell>
          <cell r="X204">
            <v>0.47277289015670082</v>
          </cell>
          <cell r="Y204">
            <v>1070430000</v>
          </cell>
          <cell r="Z204">
            <v>6417005000</v>
          </cell>
          <cell r="AA204">
            <v>0.16681146422669144</v>
          </cell>
          <cell r="AB204">
            <v>216205000</v>
          </cell>
          <cell r="AC204">
            <v>6417005000</v>
          </cell>
          <cell r="AD204">
            <v>3.3692509200164249E-2</v>
          </cell>
          <cell r="AE204">
            <v>1039947000</v>
          </cell>
          <cell r="AF204">
            <v>6417005000</v>
          </cell>
          <cell r="AG204">
            <v>0.16206111729693212</v>
          </cell>
          <cell r="AH204">
            <v>815799000</v>
          </cell>
          <cell r="AI204">
            <v>6417005000</v>
          </cell>
          <cell r="AJ204">
            <v>0.12713080323297238</v>
          </cell>
          <cell r="AK204">
            <v>240838000</v>
          </cell>
          <cell r="AL204">
            <v>6417005000</v>
          </cell>
          <cell r="AM204">
            <v>3.7531215886538967E-2</v>
          </cell>
          <cell r="AN204">
            <v>5134822000</v>
          </cell>
          <cell r="AO204">
            <v>6632903</v>
          </cell>
          <cell r="AP204">
            <v>774.14399094936255</v>
          </cell>
          <cell r="AQ204">
            <v>2161365000</v>
          </cell>
          <cell r="AR204">
            <v>5610019000</v>
          </cell>
          <cell r="AS204">
            <v>0.38526874864416683</v>
          </cell>
          <cell r="AT204">
            <v>1407514000</v>
          </cell>
          <cell r="AU204">
            <v>5610019000</v>
          </cell>
          <cell r="AV204">
            <v>0.25089291141438202</v>
          </cell>
          <cell r="AW204">
            <v>84417000</v>
          </cell>
          <cell r="AX204">
            <v>5610019000</v>
          </cell>
          <cell r="AY204">
            <v>1.5047542619730878E-2</v>
          </cell>
          <cell r="AZ204">
            <v>1125366000</v>
          </cell>
          <cell r="BA204">
            <v>5610019000</v>
          </cell>
          <cell r="BB204">
            <v>0.20059932060836158</v>
          </cell>
          <cell r="BC204">
            <v>831357000</v>
          </cell>
          <cell r="BD204">
            <v>5610019000</v>
          </cell>
          <cell r="BE204">
            <v>0.14819147671335872</v>
          </cell>
          <cell r="BF204">
            <v>5128729000</v>
          </cell>
          <cell r="BG204">
            <v>6632903</v>
          </cell>
          <cell r="BH204">
            <v>773.22538864204705</v>
          </cell>
          <cell r="BI204">
            <v>2255909000</v>
          </cell>
          <cell r="BJ204">
            <v>916300627.27999997</v>
          </cell>
          <cell r="BK204">
            <v>2.4619747415174991</v>
          </cell>
          <cell r="BL204">
            <v>293641000</v>
          </cell>
          <cell r="BM204">
            <v>5191639000</v>
          </cell>
          <cell r="BN204">
            <v>5.656036561864182E-2</v>
          </cell>
          <cell r="BO204">
            <v>1542352000</v>
          </cell>
          <cell r="BP204">
            <v>994120000</v>
          </cell>
          <cell r="BQ204">
            <v>1.5514746710658673</v>
          </cell>
          <cell r="BR204">
            <v>238.13738372093027</v>
          </cell>
          <cell r="BV204">
            <v>175874000</v>
          </cell>
          <cell r="BW204">
            <v>6632903</v>
          </cell>
          <cell r="BX204">
            <v>26.51538851088279</v>
          </cell>
          <cell r="BY204">
            <v>45057010</v>
          </cell>
          <cell r="BZ204">
            <v>6632903</v>
          </cell>
          <cell r="CA204">
            <v>6.7929547590248189</v>
          </cell>
          <cell r="CB204">
            <v>471737000</v>
          </cell>
          <cell r="CC204">
            <v>2372301</v>
          </cell>
          <cell r="CD204">
            <v>198.85208495886482</v>
          </cell>
          <cell r="CE204">
            <v>308157441</v>
          </cell>
          <cell r="CF204">
            <v>2659357</v>
          </cell>
          <cell r="CG204">
            <v>115.87667281978312</v>
          </cell>
          <cell r="CH204">
            <v>940705549</v>
          </cell>
          <cell r="CI204">
            <v>6632903</v>
          </cell>
          <cell r="CJ204">
            <v>141.8241076343194</v>
          </cell>
          <cell r="CK204">
            <v>1818447326</v>
          </cell>
          <cell r="CL204">
            <v>6632903</v>
          </cell>
          <cell r="CM204">
            <v>274.15557350981913</v>
          </cell>
          <cell r="CN204">
            <v>375.89212377296923</v>
          </cell>
          <cell r="CO204">
            <v>394.10177118400048</v>
          </cell>
          <cell r="CP204">
            <v>371.72746167044869</v>
          </cell>
          <cell r="CQ204">
            <v>387.84588711958975</v>
          </cell>
          <cell r="CR204">
            <v>742.14534883720933</v>
          </cell>
          <cell r="CS204">
            <v>6448420</v>
          </cell>
          <cell r="CT204">
            <v>127649</v>
          </cell>
          <cell r="CU204">
            <v>50.516807808913505</v>
          </cell>
          <cell r="CV204">
            <v>29.139395348837208</v>
          </cell>
          <cell r="CW204">
            <v>26300000</v>
          </cell>
          <cell r="CX204">
            <v>268359000</v>
          </cell>
          <cell r="CY204">
            <v>9.8003048155642258E-2</v>
          </cell>
          <cell r="CZ204">
            <v>127922000</v>
          </cell>
          <cell r="DA204">
            <v>6632903</v>
          </cell>
          <cell r="DB204">
            <v>19.28597478359023</v>
          </cell>
          <cell r="DC204">
            <v>360974000</v>
          </cell>
          <cell r="DD204">
            <v>6632903</v>
          </cell>
          <cell r="DE204">
            <v>54.421721529773613</v>
          </cell>
          <cell r="DF204">
            <v>312447000</v>
          </cell>
          <cell r="DG204">
            <v>6632903</v>
          </cell>
          <cell r="DH204">
            <v>47.105618761498548</v>
          </cell>
          <cell r="DI204">
            <v>4072.8437500000014</v>
          </cell>
          <cell r="DJ204">
            <v>624.23070779358056</v>
          </cell>
          <cell r="DK204">
            <v>6.4356098415771787E-3</v>
          </cell>
          <cell r="DL204">
            <v>3.8102840909090943</v>
          </cell>
          <cell r="DM204">
            <v>8.0466477272727293</v>
          </cell>
        </row>
        <row r="205">
          <cell r="B205" t="str">
            <v>NSW High</v>
          </cell>
          <cell r="F205">
            <v>1043.6792234804714</v>
          </cell>
          <cell r="I205">
            <v>4025.5164034021873</v>
          </cell>
          <cell r="L205">
            <v>10221.65820642978</v>
          </cell>
          <cell r="O205">
            <v>0.28954504368785777</v>
          </cell>
          <cell r="R205">
            <v>0.20307034589972794</v>
          </cell>
          <cell r="U205">
            <v>7.8488664987405539</v>
          </cell>
          <cell r="X205">
            <v>0.74188136608747757</v>
          </cell>
          <cell r="AA205">
            <v>0.46971520256718813</v>
          </cell>
          <cell r="AD205">
            <v>8.0459100442787229E-2</v>
          </cell>
          <cell r="AG205">
            <v>0.56976522237068139</v>
          </cell>
          <cell r="AJ205">
            <v>0.54722938580564151</v>
          </cell>
          <cell r="AM205">
            <v>0.18905814723622411</v>
          </cell>
          <cell r="AP205">
            <v>6260.7150111720493</v>
          </cell>
          <cell r="AS205">
            <v>0.53700899104729405</v>
          </cell>
          <cell r="AV205">
            <v>0.43768545994065283</v>
          </cell>
          <cell r="AY205">
            <v>0.125625125025005</v>
          </cell>
          <cell r="BB205">
            <v>0.39855541181543769</v>
          </cell>
          <cell r="BE205">
            <v>0.33191180819905169</v>
          </cell>
          <cell r="BH205">
            <v>4744.4986119574787</v>
          </cell>
          <cell r="BK205">
            <v>13.012658227848101</v>
          </cell>
          <cell r="BN205">
            <v>0.99854744996772116</v>
          </cell>
          <cell r="BQ205">
            <v>54.67442592010066</v>
          </cell>
          <cell r="BR205">
            <v>1252</v>
          </cell>
          <cell r="BX205">
            <v>108.18888224745966</v>
          </cell>
          <cell r="CA205">
            <v>26.546076240774596</v>
          </cell>
          <cell r="CD205">
            <v>408.04175842100972</v>
          </cell>
          <cell r="CG205">
            <v>259.3990876199465</v>
          </cell>
          <cell r="CJ205">
            <v>716.45671598066497</v>
          </cell>
          <cell r="CM205">
            <v>1535.7545045045044</v>
          </cell>
          <cell r="CN205">
            <v>997.42690058479502</v>
          </cell>
          <cell r="CO205">
            <v>1174.4505494505499</v>
          </cell>
          <cell r="CP205">
            <v>801.47737765466297</v>
          </cell>
          <cell r="CQ205">
            <v>807.01754385964898</v>
          </cell>
          <cell r="CR205">
            <v>4602</v>
          </cell>
          <cell r="CU205">
            <v>139.48130841121494</v>
          </cell>
          <cell r="CV205">
            <v>111</v>
          </cell>
          <cell r="CY205">
            <v>0.9</v>
          </cell>
          <cell r="DB205">
            <v>654.39484583525075</v>
          </cell>
          <cell r="DE205">
            <v>192.27578085271526</v>
          </cell>
          <cell r="DH205">
            <v>906.97674418604652</v>
          </cell>
          <cell r="DI205">
            <v>53510.8</v>
          </cell>
          <cell r="DJ205">
            <v>6782.1739130434789</v>
          </cell>
          <cell r="DK205">
            <v>0.12350281361989968</v>
          </cell>
          <cell r="DL205">
            <v>54.16</v>
          </cell>
          <cell r="DM205">
            <v>48.91</v>
          </cell>
        </row>
        <row r="206">
          <cell r="B206" t="str">
            <v>NSW Low</v>
          </cell>
          <cell r="F206">
            <v>84.362139917695472</v>
          </cell>
          <cell r="I206">
            <v>393.25842696629212</v>
          </cell>
          <cell r="L206">
            <v>92.307692307692307</v>
          </cell>
          <cell r="O206">
            <v>-2.8121700739034456E-3</v>
          </cell>
          <cell r="R206">
            <v>-5.3622725821895943E-2</v>
          </cell>
          <cell r="U206">
            <v>-0.58422939068100355</v>
          </cell>
          <cell r="X206">
            <v>9.5771878072763023E-2</v>
          </cell>
          <cell r="AA206">
            <v>3.7984348158045425E-2</v>
          </cell>
          <cell r="AD206">
            <v>3.9267015706806281E-3</v>
          </cell>
          <cell r="AG206">
            <v>1.5976460000707817E-2</v>
          </cell>
          <cell r="AJ206">
            <v>4.5839210155148094E-3</v>
          </cell>
          <cell r="AM206">
            <v>4.9875311720698251E-4</v>
          </cell>
          <cell r="AP206">
            <v>463.53005302016749</v>
          </cell>
          <cell r="AS206">
            <v>0.18944225124000405</v>
          </cell>
          <cell r="AV206">
            <v>8.9047003018542473E-2</v>
          </cell>
          <cell r="AY206">
            <v>0</v>
          </cell>
          <cell r="BB206">
            <v>0.10692798780968395</v>
          </cell>
          <cell r="BE206">
            <v>3.4887512226931858E-2</v>
          </cell>
          <cell r="BH206">
            <v>470.36092184153023</v>
          </cell>
          <cell r="BK206">
            <v>0.76239669421487599</v>
          </cell>
          <cell r="BN206">
            <v>0</v>
          </cell>
          <cell r="BQ206">
            <v>-48.232856066314994</v>
          </cell>
          <cell r="BR206">
            <v>24</v>
          </cell>
          <cell r="BX206">
            <v>11.053315994798439</v>
          </cell>
          <cell r="CA206">
            <v>0.86424298205246208</v>
          </cell>
          <cell r="CD206">
            <v>70.063694267515928</v>
          </cell>
          <cell r="CG206">
            <v>11.706015588568382</v>
          </cell>
          <cell r="CJ206">
            <v>0</v>
          </cell>
          <cell r="CM206">
            <v>0</v>
          </cell>
          <cell r="CN206">
            <v>0</v>
          </cell>
          <cell r="CO206">
            <v>0</v>
          </cell>
          <cell r="CP206">
            <v>119.409492273731</v>
          </cell>
          <cell r="CQ206">
            <v>158</v>
          </cell>
          <cell r="CR206">
            <v>8</v>
          </cell>
          <cell r="CU206">
            <v>0.56603773584905659</v>
          </cell>
          <cell r="CV206">
            <v>2</v>
          </cell>
          <cell r="CY206">
            <v>0</v>
          </cell>
          <cell r="DB206">
            <v>3.2457804853690204</v>
          </cell>
          <cell r="DE206">
            <v>1.5268170519397093</v>
          </cell>
          <cell r="DH206">
            <v>0</v>
          </cell>
          <cell r="DI206">
            <v>5.8</v>
          </cell>
          <cell r="DJ206">
            <v>0</v>
          </cell>
          <cell r="DK206">
            <v>-2.5829915119459534E-2</v>
          </cell>
          <cell r="DL206">
            <v>7.0000000000000007E-2</v>
          </cell>
          <cell r="DM206">
            <v>0.78</v>
          </cell>
        </row>
        <row r="207">
          <cell r="B207" t="str">
            <v>NSW Median</v>
          </cell>
          <cell r="F207">
            <v>454.56087951511353</v>
          </cell>
          <cell r="I207">
            <v>1408.1646702464545</v>
          </cell>
          <cell r="L207">
            <v>1224.3346007604562</v>
          </cell>
          <cell r="O207">
            <v>7.6263654005227277E-2</v>
          </cell>
          <cell r="R207">
            <v>4.6486971675480049E-2</v>
          </cell>
          <cell r="U207">
            <v>8.6242905163320116E-2</v>
          </cell>
          <cell r="X207">
            <v>0.39390269805054767</v>
          </cell>
          <cell r="AA207">
            <v>0.16894642443302677</v>
          </cell>
          <cell r="AD207">
            <v>2.9445745274702513E-2</v>
          </cell>
          <cell r="AG207">
            <v>0.23364998583302385</v>
          </cell>
          <cell r="AJ207">
            <v>0.10122091696151836</v>
          </cell>
          <cell r="AM207">
            <v>2.1864469293559695E-2</v>
          </cell>
          <cell r="AP207">
            <v>1047.9138259810629</v>
          </cell>
          <cell r="AS207">
            <v>0.36760892028282388</v>
          </cell>
          <cell r="AV207">
            <v>0.26812801376213324</v>
          </cell>
          <cell r="AY207">
            <v>1.1246114633931797E-2</v>
          </cell>
          <cell r="BB207">
            <v>0.21459433631473268</v>
          </cell>
          <cell r="BE207">
            <v>0.11119177482242443</v>
          </cell>
          <cell r="BH207">
            <v>1055.4199110214618</v>
          </cell>
          <cell r="BK207">
            <v>2.5511175987449914</v>
          </cell>
          <cell r="BN207">
            <v>4.0808181572505348E-2</v>
          </cell>
          <cell r="BQ207">
            <v>1.0963956407349591</v>
          </cell>
          <cell r="BR207">
            <v>141.5</v>
          </cell>
          <cell r="BX207">
            <v>25.687834137436433</v>
          </cell>
          <cell r="CA207">
            <v>6.0510715001001403</v>
          </cell>
          <cell r="CD207">
            <v>177.97277534030826</v>
          </cell>
          <cell r="CG207">
            <v>109.76669563473494</v>
          </cell>
          <cell r="CJ207">
            <v>115.27525303645756</v>
          </cell>
          <cell r="CM207">
            <v>249.56607788481116</v>
          </cell>
          <cell r="CN207">
            <v>425.91867554113799</v>
          </cell>
          <cell r="CO207">
            <v>426</v>
          </cell>
          <cell r="CP207">
            <v>353.48502201557397</v>
          </cell>
          <cell r="CQ207">
            <v>373</v>
          </cell>
          <cell r="CR207">
            <v>351</v>
          </cell>
          <cell r="CU207">
            <v>31.026505376344083</v>
          </cell>
          <cell r="CV207">
            <v>24</v>
          </cell>
          <cell r="CY207">
            <v>2.4115956516306384E-2</v>
          </cell>
          <cell r="DB207">
            <v>26.077232003124131</v>
          </cell>
          <cell r="DE207">
            <v>62.619879922128035</v>
          </cell>
          <cell r="DH207">
            <v>38.246624266391635</v>
          </cell>
          <cell r="DI207">
            <v>2567.6</v>
          </cell>
          <cell r="DJ207">
            <v>4.5037585153864228</v>
          </cell>
          <cell r="DK207">
            <v>4.8257267466430553E-3</v>
          </cell>
          <cell r="DL207">
            <v>2.1799999999999997</v>
          </cell>
          <cell r="DM207">
            <v>2.97</v>
          </cell>
        </row>
        <row r="208">
          <cell r="B208" t="str">
            <v>Urban Average (Groups 1-7)</v>
          </cell>
          <cell r="D208">
            <v>1344256000</v>
          </cell>
          <cell r="E208">
            <v>2203926</v>
          </cell>
          <cell r="F208">
            <v>609.93699425479804</v>
          </cell>
          <cell r="G208">
            <v>44065000</v>
          </cell>
          <cell r="H208">
            <v>37898</v>
          </cell>
          <cell r="I208">
            <v>1162.7262652382713</v>
          </cell>
          <cell r="J208">
            <v>528555000</v>
          </cell>
          <cell r="K208">
            <v>143450</v>
          </cell>
          <cell r="L208">
            <v>3684.5939351690486</v>
          </cell>
          <cell r="M208">
            <v>198088000</v>
          </cell>
          <cell r="N208">
            <v>3540692000</v>
          </cell>
          <cell r="O208">
            <v>5.5946125785580898E-2</v>
          </cell>
          <cell r="P208">
            <v>125397000</v>
          </cell>
          <cell r="Q208">
            <v>2553824000</v>
          </cell>
          <cell r="R208">
            <v>4.9101660881877528E-2</v>
          </cell>
          <cell r="S208">
            <v>65557000</v>
          </cell>
          <cell r="T208">
            <v>795914000</v>
          </cell>
          <cell r="U208">
            <v>8.2366939141666054E-2</v>
          </cell>
          <cell r="V208">
            <v>2679221000</v>
          </cell>
          <cell r="W208">
            <v>5334788000</v>
          </cell>
          <cell r="X208">
            <v>0.50221695782475329</v>
          </cell>
          <cell r="Y208">
            <v>861471000</v>
          </cell>
          <cell r="Z208">
            <v>5334788000</v>
          </cell>
          <cell r="AA208">
            <v>0.16148176834768316</v>
          </cell>
          <cell r="AB208">
            <v>183670000</v>
          </cell>
          <cell r="AC208">
            <v>5334788000</v>
          </cell>
          <cell r="AD208">
            <v>3.4428734562648035E-2</v>
          </cell>
          <cell r="AE208">
            <v>695822000</v>
          </cell>
          <cell r="AF208">
            <v>5334788000</v>
          </cell>
          <cell r="AG208">
            <v>0.13043104993113128</v>
          </cell>
          <cell r="AH208">
            <v>697190000</v>
          </cell>
          <cell r="AI208">
            <v>5334788000</v>
          </cell>
          <cell r="AJ208">
            <v>0.13068747998983277</v>
          </cell>
          <cell r="AK208">
            <v>217414000</v>
          </cell>
          <cell r="AL208">
            <v>5334788000</v>
          </cell>
          <cell r="AM208">
            <v>4.0754009343951438E-2</v>
          </cell>
          <cell r="AN208">
            <v>4297212000</v>
          </cell>
          <cell r="AO208">
            <v>6022740</v>
          </cell>
          <cell r="AP208">
            <v>713.49784317436911</v>
          </cell>
          <cell r="AQ208">
            <v>1817204000</v>
          </cell>
          <cell r="AR208">
            <v>4604432000</v>
          </cell>
          <cell r="AS208">
            <v>0.394664097547754</v>
          </cell>
          <cell r="AT208">
            <v>1115886000</v>
          </cell>
          <cell r="AU208">
            <v>4604432000</v>
          </cell>
          <cell r="AV208">
            <v>0.24235041368837676</v>
          </cell>
          <cell r="AW208">
            <v>72098000</v>
          </cell>
          <cell r="AX208">
            <v>4604432000</v>
          </cell>
          <cell r="AY208">
            <v>1.5658391740827098E-2</v>
          </cell>
          <cell r="AZ208">
            <v>865842000</v>
          </cell>
          <cell r="BA208">
            <v>4604432000</v>
          </cell>
          <cell r="BB208">
            <v>0.18804534413799573</v>
          </cell>
          <cell r="BC208">
            <v>733402000</v>
          </cell>
          <cell r="BD208">
            <v>4604432000</v>
          </cell>
          <cell r="BE208">
            <v>0.1592817528850464</v>
          </cell>
          <cell r="BF208">
            <v>4247742000</v>
          </cell>
          <cell r="BG208">
            <v>6022740</v>
          </cell>
          <cell r="BH208">
            <v>705.28397373952714</v>
          </cell>
          <cell r="BI208">
            <v>1849276000</v>
          </cell>
          <cell r="BJ208">
            <v>786884000</v>
          </cell>
          <cell r="BK208">
            <v>2.3501253043650654</v>
          </cell>
          <cell r="BL208">
            <v>253126000</v>
          </cell>
          <cell r="BM208">
            <v>4375855000</v>
          </cell>
          <cell r="BN208">
            <v>5.7846066654402395E-2</v>
          </cell>
          <cell r="BO208">
            <v>1244370000</v>
          </cell>
          <cell r="BP208">
            <v>769253000</v>
          </cell>
          <cell r="BQ208">
            <v>1.6176342503701644</v>
          </cell>
          <cell r="BV208">
            <v>160413000</v>
          </cell>
          <cell r="BW208">
            <v>6022740</v>
          </cell>
          <cell r="BX208">
            <v>26.634555036411999</v>
          </cell>
          <cell r="BY208">
            <v>41816130</v>
          </cell>
          <cell r="BZ208">
            <v>6022740</v>
          </cell>
          <cell r="CA208">
            <v>6.943040875083434</v>
          </cell>
          <cell r="CB208">
            <v>446090000</v>
          </cell>
          <cell r="CC208">
            <v>2210442</v>
          </cell>
          <cell r="CD208">
            <v>201.81031666969773</v>
          </cell>
          <cell r="CE208">
            <v>290494783</v>
          </cell>
          <cell r="CF208">
            <v>2496115</v>
          </cell>
          <cell r="CG208">
            <v>116.37876580205639</v>
          </cell>
          <cell r="CH208">
            <v>882338971</v>
          </cell>
          <cell r="CI208">
            <v>6022740</v>
          </cell>
          <cell r="CJ208">
            <v>146.50125540866782</v>
          </cell>
          <cell r="CK208">
            <v>1621133681</v>
          </cell>
          <cell r="CL208">
            <v>6022740</v>
          </cell>
          <cell r="CM208">
            <v>269.16879709235332</v>
          </cell>
          <cell r="CS208">
            <v>6041362</v>
          </cell>
          <cell r="CT208">
            <v>113216</v>
          </cell>
          <cell r="CU208">
            <v>53.361380016958734</v>
          </cell>
          <cell r="CW208">
            <v>25464000</v>
          </cell>
          <cell r="CX208">
            <v>248828000</v>
          </cell>
          <cell r="CY208">
            <v>0.10233574999598116</v>
          </cell>
          <cell r="CZ208">
            <v>103545000</v>
          </cell>
          <cell r="DA208">
            <v>6022740</v>
          </cell>
          <cell r="DB208">
            <v>17.192341027505755</v>
          </cell>
          <cell r="DC208">
            <v>317244000</v>
          </cell>
          <cell r="DD208">
            <v>6022740</v>
          </cell>
          <cell r="DE208">
            <v>52.674364159834226</v>
          </cell>
          <cell r="DF208">
            <v>259700000</v>
          </cell>
          <cell r="DG208">
            <v>6022740</v>
          </cell>
          <cell r="DH208">
            <v>43.119908878683127</v>
          </cell>
        </row>
        <row r="209">
          <cell r="B209" t="str">
            <v>Rural Average (Groups 8-11)</v>
          </cell>
          <cell r="D209">
            <v>77062000</v>
          </cell>
          <cell r="E209">
            <v>204571</v>
          </cell>
          <cell r="F209">
            <v>376.70050984743682</v>
          </cell>
          <cell r="G209">
            <v>129961000</v>
          </cell>
          <cell r="H209">
            <v>84169</v>
          </cell>
          <cell r="I209">
            <v>1544.0482838099538</v>
          </cell>
          <cell r="J209">
            <v>19930000</v>
          </cell>
          <cell r="K209">
            <v>21944</v>
          </cell>
          <cell r="L209">
            <v>908.22092599343785</v>
          </cell>
          <cell r="M209">
            <v>62135000</v>
          </cell>
          <cell r="N209">
            <v>563524000</v>
          </cell>
          <cell r="O209">
            <v>0.11026149729204079</v>
          </cell>
          <cell r="P209">
            <v>16587000</v>
          </cell>
          <cell r="Q209">
            <v>337978000</v>
          </cell>
          <cell r="R209">
            <v>4.907715886832871E-2</v>
          </cell>
          <cell r="S209">
            <v>15975000</v>
          </cell>
          <cell r="T209">
            <v>192984000</v>
          </cell>
          <cell r="U209">
            <v>8.2778883223479663E-2</v>
          </cell>
          <cell r="V209">
            <v>354565000</v>
          </cell>
          <cell r="W209">
            <v>1082217000</v>
          </cell>
          <cell r="X209">
            <v>0.32762837767286968</v>
          </cell>
          <cell r="Y209">
            <v>208959000</v>
          </cell>
          <cell r="Z209">
            <v>1082217000</v>
          </cell>
          <cell r="AA209">
            <v>0.19308419660751958</v>
          </cell>
          <cell r="AB209">
            <v>32535000</v>
          </cell>
          <cell r="AC209">
            <v>1082217000</v>
          </cell>
          <cell r="AD209">
            <v>3.0063286753026428E-2</v>
          </cell>
          <cell r="AE209">
            <v>344125000</v>
          </cell>
          <cell r="AF209">
            <v>1082217000</v>
          </cell>
          <cell r="AG209">
            <v>0.31798151387383494</v>
          </cell>
          <cell r="AH209">
            <v>118609000</v>
          </cell>
          <cell r="AI209">
            <v>1082217000</v>
          </cell>
          <cell r="AJ209">
            <v>0.10959816746548982</v>
          </cell>
          <cell r="AK209">
            <v>23424000</v>
          </cell>
          <cell r="AL209">
            <v>1082217000</v>
          </cell>
          <cell r="AM209">
            <v>2.1644457627259597E-2</v>
          </cell>
          <cell r="AN209">
            <v>837610000</v>
          </cell>
          <cell r="AO209">
            <v>610163</v>
          </cell>
          <cell r="AP209">
            <v>1372.7643269093669</v>
          </cell>
          <cell r="AQ209">
            <v>344161000</v>
          </cell>
          <cell r="AR209">
            <v>1005587000</v>
          </cell>
          <cell r="AS209">
            <v>0.34224885564351964</v>
          </cell>
          <cell r="AT209">
            <v>291628000</v>
          </cell>
          <cell r="AU209">
            <v>1005587000</v>
          </cell>
          <cell r="AV209">
            <v>0.29000772683019965</v>
          </cell>
          <cell r="AW209">
            <v>12319000</v>
          </cell>
          <cell r="AX209">
            <v>1005587000</v>
          </cell>
          <cell r="AY209">
            <v>1.2250556142830009E-2</v>
          </cell>
          <cell r="AZ209">
            <v>259524000</v>
          </cell>
          <cell r="BA209">
            <v>1005587000</v>
          </cell>
          <cell r="BB209">
            <v>0.25808209533337245</v>
          </cell>
          <cell r="BC209">
            <v>97955000</v>
          </cell>
          <cell r="BD209">
            <v>1005587000</v>
          </cell>
          <cell r="BE209">
            <v>9.7410766050078215E-2</v>
          </cell>
          <cell r="BF209">
            <v>880987000</v>
          </cell>
          <cell r="BG209">
            <v>610163</v>
          </cell>
          <cell r="BH209">
            <v>1443.8551665702444</v>
          </cell>
          <cell r="BI209">
            <v>406633000</v>
          </cell>
          <cell r="BJ209">
            <v>129416627.28</v>
          </cell>
          <cell r="BK209">
            <v>3.1420460303004738</v>
          </cell>
          <cell r="BL209">
            <v>40515000</v>
          </cell>
          <cell r="BM209">
            <v>815784000</v>
          </cell>
          <cell r="BN209">
            <v>4.9663881615721807E-2</v>
          </cell>
          <cell r="BO209">
            <v>297982000</v>
          </cell>
          <cell r="BP209">
            <v>224867000</v>
          </cell>
          <cell r="BQ209">
            <v>1.3251477540057011</v>
          </cell>
          <cell r="BV209">
            <v>15461000</v>
          </cell>
          <cell r="BW209">
            <v>610163</v>
          </cell>
          <cell r="BX209">
            <v>25.339130691307076</v>
          </cell>
          <cell r="BY209">
            <v>3240880</v>
          </cell>
          <cell r="BZ209">
            <v>610163</v>
          </cell>
          <cell r="CA209">
            <v>5.3114987306670516</v>
          </cell>
          <cell r="CB209">
            <v>25647000</v>
          </cell>
          <cell r="CC209">
            <v>161859</v>
          </cell>
          <cell r="CD209">
            <v>158.45272737382535</v>
          </cell>
          <cell r="CE209">
            <v>17662658</v>
          </cell>
          <cell r="CF209">
            <v>163242</v>
          </cell>
          <cell r="CG209">
            <v>108.19922568946717</v>
          </cell>
          <cell r="CH209">
            <v>58366578</v>
          </cell>
          <cell r="CI209">
            <v>610163</v>
          </cell>
          <cell r="CJ209">
            <v>95.657353854625725</v>
          </cell>
          <cell r="CK209">
            <v>197313645</v>
          </cell>
          <cell r="CL209">
            <v>610163</v>
          </cell>
          <cell r="CM209">
            <v>323.37858080545692</v>
          </cell>
          <cell r="CS209">
            <v>407058</v>
          </cell>
          <cell r="CT209">
            <v>14433</v>
          </cell>
          <cell r="CU209">
            <v>28.203284140511329</v>
          </cell>
          <cell r="CW209">
            <v>836000</v>
          </cell>
          <cell r="CX209">
            <v>19531000</v>
          </cell>
          <cell r="CY209">
            <v>4.2803747887972969E-2</v>
          </cell>
          <cell r="CZ209">
            <v>24377000</v>
          </cell>
          <cell r="DA209">
            <v>610163</v>
          </cell>
          <cell r="DB209">
            <v>39.951619485285079</v>
          </cell>
          <cell r="DC209">
            <v>43730000</v>
          </cell>
          <cell r="DD209">
            <v>610163</v>
          </cell>
          <cell r="DE209">
            <v>71.669373593613514</v>
          </cell>
          <cell r="DF209">
            <v>52747000</v>
          </cell>
          <cell r="DG209">
            <v>610163</v>
          </cell>
          <cell r="DH209">
            <v>86.447391926419655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143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C9" sqref="C9"/>
    </sheetView>
  </sheetViews>
  <sheetFormatPr defaultRowHeight="14.5"/>
  <cols>
    <col min="1" max="1" width="44.54296875" style="35" customWidth="1"/>
    <col min="2" max="2" width="13.453125" style="35" customWidth="1"/>
    <col min="3" max="3" width="15.1796875" style="36" bestFit="1" customWidth="1"/>
    <col min="4" max="5" width="21.26953125" style="33" customWidth="1"/>
    <col min="6" max="6" width="21" style="33" bestFit="1" customWidth="1"/>
    <col min="7" max="7" width="18" style="37" customWidth="1"/>
    <col min="8" max="8" width="18" style="38" customWidth="1"/>
    <col min="9" max="9" width="18" style="39" customWidth="1"/>
    <col min="10" max="10" width="18" style="40" customWidth="1"/>
    <col min="11" max="11" width="18" style="41" customWidth="1"/>
    <col min="12" max="12" width="18" style="40" customWidth="1"/>
    <col min="13" max="13" width="18" style="41" customWidth="1"/>
    <col min="14" max="16" width="18" style="35" customWidth="1"/>
    <col min="17" max="19" width="18" style="42" customWidth="1"/>
    <col min="20" max="22" width="18" style="35" customWidth="1"/>
    <col min="23" max="23" width="18" style="39" customWidth="1"/>
    <col min="24" max="24" width="18.81640625" style="35" customWidth="1"/>
    <col min="25" max="25" width="18.54296875" style="35" customWidth="1"/>
    <col min="26" max="26" width="38.1796875" style="35" bestFit="1" customWidth="1"/>
    <col min="27" max="27" width="18" style="35" customWidth="1"/>
    <col min="28" max="28" width="18" style="40" customWidth="1"/>
    <col min="29" max="29" width="18" style="43" customWidth="1"/>
    <col min="30" max="30" width="18" style="35" customWidth="1"/>
    <col min="31" max="31" width="18" style="43" customWidth="1"/>
    <col min="32" max="39" width="18" style="40" customWidth="1"/>
    <col min="40" max="40" width="23.453125" style="35" customWidth="1"/>
    <col min="41" max="41" width="23.26953125" style="35" customWidth="1"/>
    <col min="42" max="42" width="18" style="35" customWidth="1"/>
    <col min="43" max="43" width="18" style="44" customWidth="1"/>
    <col min="44" max="44" width="18" style="37" customWidth="1"/>
    <col min="45" max="51" width="18" style="40" customWidth="1"/>
    <col min="52" max="52" width="18" style="45" customWidth="1"/>
    <col min="53" max="53" width="18" style="40" customWidth="1"/>
    <col min="54" max="54" width="18" style="45" customWidth="1"/>
    <col min="55" max="56" width="18" style="35" customWidth="1"/>
    <col min="57" max="57" width="18" style="46" customWidth="1"/>
    <col min="58" max="58" width="18" style="35" customWidth="1"/>
    <col min="59" max="59" width="18" style="46" customWidth="1"/>
    <col min="60" max="60" width="18" style="35" customWidth="1"/>
    <col min="61" max="61" width="18" style="46" customWidth="1"/>
    <col min="62" max="62" width="18" style="35" customWidth="1"/>
    <col min="63" max="63" width="18" style="46" customWidth="1"/>
    <col min="64" max="64" width="18" style="35" customWidth="1"/>
    <col min="65" max="65" width="18" style="46" customWidth="1"/>
    <col min="66" max="66" width="18" style="35" customWidth="1"/>
    <col min="67" max="67" width="18" style="46" customWidth="1"/>
    <col min="68" max="68" width="18" style="35" customWidth="1"/>
    <col min="69" max="69" width="18" style="46" customWidth="1"/>
    <col min="70" max="76" width="18" style="40" customWidth="1"/>
    <col min="77" max="77" width="18" style="43" customWidth="1"/>
    <col min="78" max="78" width="18" style="40" customWidth="1"/>
    <col min="79" max="79" width="18" style="47" customWidth="1"/>
    <col min="80" max="80" width="18" style="40" customWidth="1"/>
    <col min="81" max="81" width="18" style="48" customWidth="1"/>
    <col min="82" max="82" width="18" style="49" customWidth="1"/>
    <col min="83" max="83" width="18" style="35" customWidth="1"/>
    <col min="84" max="85" width="18" style="49" customWidth="1"/>
    <col min="86" max="87" width="18" style="35" customWidth="1"/>
    <col min="88" max="89" width="18" style="43" customWidth="1"/>
    <col min="90" max="90" width="18" style="35" customWidth="1"/>
    <col min="91" max="91" width="18" style="40" customWidth="1"/>
    <col min="92" max="95" width="18" style="35" customWidth="1"/>
    <col min="96" max="96" width="18" style="43" customWidth="1"/>
    <col min="97" max="98" width="18" style="35" customWidth="1"/>
    <col min="99" max="101" width="18" style="47" customWidth="1"/>
    <col min="102" max="102" width="18" style="50" customWidth="1"/>
    <col min="103" max="107" width="18" style="33" customWidth="1"/>
    <col min="108" max="108" width="18" style="40" customWidth="1"/>
    <col min="109" max="109" width="18" style="51" customWidth="1"/>
    <col min="110" max="111" width="18" style="50" customWidth="1"/>
    <col min="112" max="112" width="18" style="35" customWidth="1"/>
    <col min="113" max="113" width="17.453125" style="52" customWidth="1"/>
    <col min="114" max="117" width="18" style="41" customWidth="1"/>
    <col min="118" max="120" width="18" style="40" customWidth="1"/>
    <col min="121" max="121" width="18" style="53" customWidth="1"/>
    <col min="122" max="122" width="20.26953125" style="50" customWidth="1"/>
    <col min="123" max="123" width="5.54296875" style="34" customWidth="1"/>
    <col min="124" max="245" width="9.1796875" style="34"/>
    <col min="246" max="246" width="42.7265625" style="34" bestFit="1" customWidth="1"/>
    <col min="247" max="247" width="15.1796875" style="34" bestFit="1" customWidth="1"/>
    <col min="248" max="248" width="21.26953125" style="34" customWidth="1"/>
    <col min="249" max="249" width="21" style="34" bestFit="1" customWidth="1"/>
    <col min="250" max="268" width="18" style="34" customWidth="1"/>
    <col min="269" max="269" width="30.26953125" style="34" customWidth="1"/>
    <col min="270" max="378" width="18" style="34" customWidth="1"/>
    <col min="379" max="501" width="9.1796875" style="34"/>
    <col min="502" max="502" width="42.7265625" style="34" bestFit="1" customWidth="1"/>
    <col min="503" max="503" width="15.1796875" style="34" bestFit="1" customWidth="1"/>
    <col min="504" max="504" width="21.26953125" style="34" customWidth="1"/>
    <col min="505" max="505" width="21" style="34" bestFit="1" customWidth="1"/>
    <col min="506" max="524" width="18" style="34" customWidth="1"/>
    <col min="525" max="525" width="30.26953125" style="34" customWidth="1"/>
    <col min="526" max="634" width="18" style="34" customWidth="1"/>
    <col min="635" max="757" width="9.1796875" style="34"/>
    <col min="758" max="758" width="42.7265625" style="34" bestFit="1" customWidth="1"/>
    <col min="759" max="759" width="15.1796875" style="34" bestFit="1" customWidth="1"/>
    <col min="760" max="760" width="21.26953125" style="34" customWidth="1"/>
    <col min="761" max="761" width="21" style="34" bestFit="1" customWidth="1"/>
    <col min="762" max="780" width="18" style="34" customWidth="1"/>
    <col min="781" max="781" width="30.26953125" style="34" customWidth="1"/>
    <col min="782" max="890" width="18" style="34" customWidth="1"/>
    <col min="891" max="1013" width="9.1796875" style="34"/>
    <col min="1014" max="1014" width="42.7265625" style="34" bestFit="1" customWidth="1"/>
    <col min="1015" max="1015" width="15.1796875" style="34" bestFit="1" customWidth="1"/>
    <col min="1016" max="1016" width="21.26953125" style="34" customWidth="1"/>
    <col min="1017" max="1017" width="21" style="34" bestFit="1" customWidth="1"/>
    <col min="1018" max="1036" width="18" style="34" customWidth="1"/>
    <col min="1037" max="1037" width="30.26953125" style="34" customWidth="1"/>
    <col min="1038" max="1146" width="18" style="34" customWidth="1"/>
    <col min="1147" max="1269" width="9.1796875" style="34"/>
    <col min="1270" max="1270" width="42.7265625" style="34" bestFit="1" customWidth="1"/>
    <col min="1271" max="1271" width="15.1796875" style="34" bestFit="1" customWidth="1"/>
    <col min="1272" max="1272" width="21.26953125" style="34" customWidth="1"/>
    <col min="1273" max="1273" width="21" style="34" bestFit="1" customWidth="1"/>
    <col min="1274" max="1292" width="18" style="34" customWidth="1"/>
    <col min="1293" max="1293" width="30.26953125" style="34" customWidth="1"/>
    <col min="1294" max="1402" width="18" style="34" customWidth="1"/>
    <col min="1403" max="1525" width="9.1796875" style="34"/>
    <col min="1526" max="1526" width="42.7265625" style="34" bestFit="1" customWidth="1"/>
    <col min="1527" max="1527" width="15.1796875" style="34" bestFit="1" customWidth="1"/>
    <col min="1528" max="1528" width="21.26953125" style="34" customWidth="1"/>
    <col min="1529" max="1529" width="21" style="34" bestFit="1" customWidth="1"/>
    <col min="1530" max="1548" width="18" style="34" customWidth="1"/>
    <col min="1549" max="1549" width="30.26953125" style="34" customWidth="1"/>
    <col min="1550" max="1658" width="18" style="34" customWidth="1"/>
    <col min="1659" max="1781" width="9.1796875" style="34"/>
    <col min="1782" max="1782" width="42.7265625" style="34" bestFit="1" customWidth="1"/>
    <col min="1783" max="1783" width="15.1796875" style="34" bestFit="1" customWidth="1"/>
    <col min="1784" max="1784" width="21.26953125" style="34" customWidth="1"/>
    <col min="1785" max="1785" width="21" style="34" bestFit="1" customWidth="1"/>
    <col min="1786" max="1804" width="18" style="34" customWidth="1"/>
    <col min="1805" max="1805" width="30.26953125" style="34" customWidth="1"/>
    <col min="1806" max="1914" width="18" style="34" customWidth="1"/>
    <col min="1915" max="2037" width="9.1796875" style="34"/>
    <col min="2038" max="2038" width="42.7265625" style="34" bestFit="1" customWidth="1"/>
    <col min="2039" max="2039" width="15.1796875" style="34" bestFit="1" customWidth="1"/>
    <col min="2040" max="2040" width="21.26953125" style="34" customWidth="1"/>
    <col min="2041" max="2041" width="21" style="34" bestFit="1" customWidth="1"/>
    <col min="2042" max="2060" width="18" style="34" customWidth="1"/>
    <col min="2061" max="2061" width="30.26953125" style="34" customWidth="1"/>
    <col min="2062" max="2170" width="18" style="34" customWidth="1"/>
    <col min="2171" max="2293" width="9.1796875" style="34"/>
    <col min="2294" max="2294" width="42.7265625" style="34" bestFit="1" customWidth="1"/>
    <col min="2295" max="2295" width="15.1796875" style="34" bestFit="1" customWidth="1"/>
    <col min="2296" max="2296" width="21.26953125" style="34" customWidth="1"/>
    <col min="2297" max="2297" width="21" style="34" bestFit="1" customWidth="1"/>
    <col min="2298" max="2316" width="18" style="34" customWidth="1"/>
    <col min="2317" max="2317" width="30.26953125" style="34" customWidth="1"/>
    <col min="2318" max="2426" width="18" style="34" customWidth="1"/>
    <col min="2427" max="2549" width="9.1796875" style="34"/>
    <col min="2550" max="2550" width="42.7265625" style="34" bestFit="1" customWidth="1"/>
    <col min="2551" max="2551" width="15.1796875" style="34" bestFit="1" customWidth="1"/>
    <col min="2552" max="2552" width="21.26953125" style="34" customWidth="1"/>
    <col min="2553" max="2553" width="21" style="34" bestFit="1" customWidth="1"/>
    <col min="2554" max="2572" width="18" style="34" customWidth="1"/>
    <col min="2573" max="2573" width="30.26953125" style="34" customWidth="1"/>
    <col min="2574" max="2682" width="18" style="34" customWidth="1"/>
    <col min="2683" max="2805" width="9.1796875" style="34"/>
    <col min="2806" max="2806" width="42.7265625" style="34" bestFit="1" customWidth="1"/>
    <col min="2807" max="2807" width="15.1796875" style="34" bestFit="1" customWidth="1"/>
    <col min="2808" max="2808" width="21.26953125" style="34" customWidth="1"/>
    <col min="2809" max="2809" width="21" style="34" bestFit="1" customWidth="1"/>
    <col min="2810" max="2828" width="18" style="34" customWidth="1"/>
    <col min="2829" max="2829" width="30.26953125" style="34" customWidth="1"/>
    <col min="2830" max="2938" width="18" style="34" customWidth="1"/>
    <col min="2939" max="3061" width="9.1796875" style="34"/>
    <col min="3062" max="3062" width="42.7265625" style="34" bestFit="1" customWidth="1"/>
    <col min="3063" max="3063" width="15.1796875" style="34" bestFit="1" customWidth="1"/>
    <col min="3064" max="3064" width="21.26953125" style="34" customWidth="1"/>
    <col min="3065" max="3065" width="21" style="34" bestFit="1" customWidth="1"/>
    <col min="3066" max="3084" width="18" style="34" customWidth="1"/>
    <col min="3085" max="3085" width="30.26953125" style="34" customWidth="1"/>
    <col min="3086" max="3194" width="18" style="34" customWidth="1"/>
    <col min="3195" max="3317" width="9.1796875" style="34"/>
    <col min="3318" max="3318" width="42.7265625" style="34" bestFit="1" customWidth="1"/>
    <col min="3319" max="3319" width="15.1796875" style="34" bestFit="1" customWidth="1"/>
    <col min="3320" max="3320" width="21.26953125" style="34" customWidth="1"/>
    <col min="3321" max="3321" width="21" style="34" bestFit="1" customWidth="1"/>
    <col min="3322" max="3340" width="18" style="34" customWidth="1"/>
    <col min="3341" max="3341" width="30.26953125" style="34" customWidth="1"/>
    <col min="3342" max="3450" width="18" style="34" customWidth="1"/>
    <col min="3451" max="3573" width="9.1796875" style="34"/>
    <col min="3574" max="3574" width="42.7265625" style="34" bestFit="1" customWidth="1"/>
    <col min="3575" max="3575" width="15.1796875" style="34" bestFit="1" customWidth="1"/>
    <col min="3576" max="3576" width="21.26953125" style="34" customWidth="1"/>
    <col min="3577" max="3577" width="21" style="34" bestFit="1" customWidth="1"/>
    <col min="3578" max="3596" width="18" style="34" customWidth="1"/>
    <col min="3597" max="3597" width="30.26953125" style="34" customWidth="1"/>
    <col min="3598" max="3706" width="18" style="34" customWidth="1"/>
    <col min="3707" max="3829" width="9.1796875" style="34"/>
    <col min="3830" max="3830" width="42.7265625" style="34" bestFit="1" customWidth="1"/>
    <col min="3831" max="3831" width="15.1796875" style="34" bestFit="1" customWidth="1"/>
    <col min="3832" max="3832" width="21.26953125" style="34" customWidth="1"/>
    <col min="3833" max="3833" width="21" style="34" bestFit="1" customWidth="1"/>
    <col min="3834" max="3852" width="18" style="34" customWidth="1"/>
    <col min="3853" max="3853" width="30.26953125" style="34" customWidth="1"/>
    <col min="3854" max="3962" width="18" style="34" customWidth="1"/>
    <col min="3963" max="4085" width="9.1796875" style="34"/>
    <col min="4086" max="4086" width="42.7265625" style="34" bestFit="1" customWidth="1"/>
    <col min="4087" max="4087" width="15.1796875" style="34" bestFit="1" customWidth="1"/>
    <col min="4088" max="4088" width="21.26953125" style="34" customWidth="1"/>
    <col min="4089" max="4089" width="21" style="34" bestFit="1" customWidth="1"/>
    <col min="4090" max="4108" width="18" style="34" customWidth="1"/>
    <col min="4109" max="4109" width="30.26953125" style="34" customWidth="1"/>
    <col min="4110" max="4218" width="18" style="34" customWidth="1"/>
    <col min="4219" max="4341" width="9.1796875" style="34"/>
    <col min="4342" max="4342" width="42.7265625" style="34" bestFit="1" customWidth="1"/>
    <col min="4343" max="4343" width="15.1796875" style="34" bestFit="1" customWidth="1"/>
    <col min="4344" max="4344" width="21.26953125" style="34" customWidth="1"/>
    <col min="4345" max="4345" width="21" style="34" bestFit="1" customWidth="1"/>
    <col min="4346" max="4364" width="18" style="34" customWidth="1"/>
    <col min="4365" max="4365" width="30.26953125" style="34" customWidth="1"/>
    <col min="4366" max="4474" width="18" style="34" customWidth="1"/>
    <col min="4475" max="4597" width="9.1796875" style="34"/>
    <col min="4598" max="4598" width="42.7265625" style="34" bestFit="1" customWidth="1"/>
    <col min="4599" max="4599" width="15.1796875" style="34" bestFit="1" customWidth="1"/>
    <col min="4600" max="4600" width="21.26953125" style="34" customWidth="1"/>
    <col min="4601" max="4601" width="21" style="34" bestFit="1" customWidth="1"/>
    <col min="4602" max="4620" width="18" style="34" customWidth="1"/>
    <col min="4621" max="4621" width="30.26953125" style="34" customWidth="1"/>
    <col min="4622" max="4730" width="18" style="34" customWidth="1"/>
    <col min="4731" max="4853" width="9.1796875" style="34"/>
    <col min="4854" max="4854" width="42.7265625" style="34" bestFit="1" customWidth="1"/>
    <col min="4855" max="4855" width="15.1796875" style="34" bestFit="1" customWidth="1"/>
    <col min="4856" max="4856" width="21.26953125" style="34" customWidth="1"/>
    <col min="4857" max="4857" width="21" style="34" bestFit="1" customWidth="1"/>
    <col min="4858" max="4876" width="18" style="34" customWidth="1"/>
    <col min="4877" max="4877" width="30.26953125" style="34" customWidth="1"/>
    <col min="4878" max="4986" width="18" style="34" customWidth="1"/>
    <col min="4987" max="5109" width="9.1796875" style="34"/>
    <col min="5110" max="5110" width="42.7265625" style="34" bestFit="1" customWidth="1"/>
    <col min="5111" max="5111" width="15.1796875" style="34" bestFit="1" customWidth="1"/>
    <col min="5112" max="5112" width="21.26953125" style="34" customWidth="1"/>
    <col min="5113" max="5113" width="21" style="34" bestFit="1" customWidth="1"/>
    <col min="5114" max="5132" width="18" style="34" customWidth="1"/>
    <col min="5133" max="5133" width="30.26953125" style="34" customWidth="1"/>
    <col min="5134" max="5242" width="18" style="34" customWidth="1"/>
    <col min="5243" max="5365" width="9.1796875" style="34"/>
    <col min="5366" max="5366" width="42.7265625" style="34" bestFit="1" customWidth="1"/>
    <col min="5367" max="5367" width="15.1796875" style="34" bestFit="1" customWidth="1"/>
    <col min="5368" max="5368" width="21.26953125" style="34" customWidth="1"/>
    <col min="5369" max="5369" width="21" style="34" bestFit="1" customWidth="1"/>
    <col min="5370" max="5388" width="18" style="34" customWidth="1"/>
    <col min="5389" max="5389" width="30.26953125" style="34" customWidth="1"/>
    <col min="5390" max="5498" width="18" style="34" customWidth="1"/>
    <col min="5499" max="5621" width="9.1796875" style="34"/>
    <col min="5622" max="5622" width="42.7265625" style="34" bestFit="1" customWidth="1"/>
    <col min="5623" max="5623" width="15.1796875" style="34" bestFit="1" customWidth="1"/>
    <col min="5624" max="5624" width="21.26953125" style="34" customWidth="1"/>
    <col min="5625" max="5625" width="21" style="34" bestFit="1" customWidth="1"/>
    <col min="5626" max="5644" width="18" style="34" customWidth="1"/>
    <col min="5645" max="5645" width="30.26953125" style="34" customWidth="1"/>
    <col min="5646" max="5754" width="18" style="34" customWidth="1"/>
    <col min="5755" max="5877" width="9.1796875" style="34"/>
    <col min="5878" max="5878" width="42.7265625" style="34" bestFit="1" customWidth="1"/>
    <col min="5879" max="5879" width="15.1796875" style="34" bestFit="1" customWidth="1"/>
    <col min="5880" max="5880" width="21.26953125" style="34" customWidth="1"/>
    <col min="5881" max="5881" width="21" style="34" bestFit="1" customWidth="1"/>
    <col min="5882" max="5900" width="18" style="34" customWidth="1"/>
    <col min="5901" max="5901" width="30.26953125" style="34" customWidth="1"/>
    <col min="5902" max="6010" width="18" style="34" customWidth="1"/>
    <col min="6011" max="6133" width="9.1796875" style="34"/>
    <col min="6134" max="6134" width="42.7265625" style="34" bestFit="1" customWidth="1"/>
    <col min="6135" max="6135" width="15.1796875" style="34" bestFit="1" customWidth="1"/>
    <col min="6136" max="6136" width="21.26953125" style="34" customWidth="1"/>
    <col min="6137" max="6137" width="21" style="34" bestFit="1" customWidth="1"/>
    <col min="6138" max="6156" width="18" style="34" customWidth="1"/>
    <col min="6157" max="6157" width="30.26953125" style="34" customWidth="1"/>
    <col min="6158" max="6266" width="18" style="34" customWidth="1"/>
    <col min="6267" max="6389" width="9.1796875" style="34"/>
    <col min="6390" max="6390" width="42.7265625" style="34" bestFit="1" customWidth="1"/>
    <col min="6391" max="6391" width="15.1796875" style="34" bestFit="1" customWidth="1"/>
    <col min="6392" max="6392" width="21.26953125" style="34" customWidth="1"/>
    <col min="6393" max="6393" width="21" style="34" bestFit="1" customWidth="1"/>
    <col min="6394" max="6412" width="18" style="34" customWidth="1"/>
    <col min="6413" max="6413" width="30.26953125" style="34" customWidth="1"/>
    <col min="6414" max="6522" width="18" style="34" customWidth="1"/>
    <col min="6523" max="6645" width="9.1796875" style="34"/>
    <col min="6646" max="6646" width="42.7265625" style="34" bestFit="1" customWidth="1"/>
    <col min="6647" max="6647" width="15.1796875" style="34" bestFit="1" customWidth="1"/>
    <col min="6648" max="6648" width="21.26953125" style="34" customWidth="1"/>
    <col min="6649" max="6649" width="21" style="34" bestFit="1" customWidth="1"/>
    <col min="6650" max="6668" width="18" style="34" customWidth="1"/>
    <col min="6669" max="6669" width="30.26953125" style="34" customWidth="1"/>
    <col min="6670" max="6778" width="18" style="34" customWidth="1"/>
    <col min="6779" max="6901" width="9.1796875" style="34"/>
    <col min="6902" max="6902" width="42.7265625" style="34" bestFit="1" customWidth="1"/>
    <col min="6903" max="6903" width="15.1796875" style="34" bestFit="1" customWidth="1"/>
    <col min="6904" max="6904" width="21.26953125" style="34" customWidth="1"/>
    <col min="6905" max="6905" width="21" style="34" bestFit="1" customWidth="1"/>
    <col min="6906" max="6924" width="18" style="34" customWidth="1"/>
    <col min="6925" max="6925" width="30.26953125" style="34" customWidth="1"/>
    <col min="6926" max="7034" width="18" style="34" customWidth="1"/>
    <col min="7035" max="7157" width="9.1796875" style="34"/>
    <col min="7158" max="7158" width="42.7265625" style="34" bestFit="1" customWidth="1"/>
    <col min="7159" max="7159" width="15.1796875" style="34" bestFit="1" customWidth="1"/>
    <col min="7160" max="7160" width="21.26953125" style="34" customWidth="1"/>
    <col min="7161" max="7161" width="21" style="34" bestFit="1" customWidth="1"/>
    <col min="7162" max="7180" width="18" style="34" customWidth="1"/>
    <col min="7181" max="7181" width="30.26953125" style="34" customWidth="1"/>
    <col min="7182" max="7290" width="18" style="34" customWidth="1"/>
    <col min="7291" max="7413" width="9.1796875" style="34"/>
    <col min="7414" max="7414" width="42.7265625" style="34" bestFit="1" customWidth="1"/>
    <col min="7415" max="7415" width="15.1796875" style="34" bestFit="1" customWidth="1"/>
    <col min="7416" max="7416" width="21.26953125" style="34" customWidth="1"/>
    <col min="7417" max="7417" width="21" style="34" bestFit="1" customWidth="1"/>
    <col min="7418" max="7436" width="18" style="34" customWidth="1"/>
    <col min="7437" max="7437" width="30.26953125" style="34" customWidth="1"/>
    <col min="7438" max="7546" width="18" style="34" customWidth="1"/>
    <col min="7547" max="7669" width="9.1796875" style="34"/>
    <col min="7670" max="7670" width="42.7265625" style="34" bestFit="1" customWidth="1"/>
    <col min="7671" max="7671" width="15.1796875" style="34" bestFit="1" customWidth="1"/>
    <col min="7672" max="7672" width="21.26953125" style="34" customWidth="1"/>
    <col min="7673" max="7673" width="21" style="34" bestFit="1" customWidth="1"/>
    <col min="7674" max="7692" width="18" style="34" customWidth="1"/>
    <col min="7693" max="7693" width="30.26953125" style="34" customWidth="1"/>
    <col min="7694" max="7802" width="18" style="34" customWidth="1"/>
    <col min="7803" max="7925" width="9.1796875" style="34"/>
    <col min="7926" max="7926" width="42.7265625" style="34" bestFit="1" customWidth="1"/>
    <col min="7927" max="7927" width="15.1796875" style="34" bestFit="1" customWidth="1"/>
    <col min="7928" max="7928" width="21.26953125" style="34" customWidth="1"/>
    <col min="7929" max="7929" width="21" style="34" bestFit="1" customWidth="1"/>
    <col min="7930" max="7948" width="18" style="34" customWidth="1"/>
    <col min="7949" max="7949" width="30.26953125" style="34" customWidth="1"/>
    <col min="7950" max="8058" width="18" style="34" customWidth="1"/>
    <col min="8059" max="8181" width="9.1796875" style="34"/>
    <col min="8182" max="8182" width="42.7265625" style="34" bestFit="1" customWidth="1"/>
    <col min="8183" max="8183" width="15.1796875" style="34" bestFit="1" customWidth="1"/>
    <col min="8184" max="8184" width="21.26953125" style="34" customWidth="1"/>
    <col min="8185" max="8185" width="21" style="34" bestFit="1" customWidth="1"/>
    <col min="8186" max="8204" width="18" style="34" customWidth="1"/>
    <col min="8205" max="8205" width="30.26953125" style="34" customWidth="1"/>
    <col min="8206" max="8314" width="18" style="34" customWidth="1"/>
    <col min="8315" max="8437" width="9.1796875" style="34"/>
    <col min="8438" max="8438" width="42.7265625" style="34" bestFit="1" customWidth="1"/>
    <col min="8439" max="8439" width="15.1796875" style="34" bestFit="1" customWidth="1"/>
    <col min="8440" max="8440" width="21.26953125" style="34" customWidth="1"/>
    <col min="8441" max="8441" width="21" style="34" bestFit="1" customWidth="1"/>
    <col min="8442" max="8460" width="18" style="34" customWidth="1"/>
    <col min="8461" max="8461" width="30.26953125" style="34" customWidth="1"/>
    <col min="8462" max="8570" width="18" style="34" customWidth="1"/>
    <col min="8571" max="8693" width="9.1796875" style="34"/>
    <col min="8694" max="8694" width="42.7265625" style="34" bestFit="1" customWidth="1"/>
    <col min="8695" max="8695" width="15.1796875" style="34" bestFit="1" customWidth="1"/>
    <col min="8696" max="8696" width="21.26953125" style="34" customWidth="1"/>
    <col min="8697" max="8697" width="21" style="34" bestFit="1" customWidth="1"/>
    <col min="8698" max="8716" width="18" style="34" customWidth="1"/>
    <col min="8717" max="8717" width="30.26953125" style="34" customWidth="1"/>
    <col min="8718" max="8826" width="18" style="34" customWidth="1"/>
    <col min="8827" max="8949" width="9.1796875" style="34"/>
    <col min="8950" max="8950" width="42.7265625" style="34" bestFit="1" customWidth="1"/>
    <col min="8951" max="8951" width="15.1796875" style="34" bestFit="1" customWidth="1"/>
    <col min="8952" max="8952" width="21.26953125" style="34" customWidth="1"/>
    <col min="8953" max="8953" width="21" style="34" bestFit="1" customWidth="1"/>
    <col min="8954" max="8972" width="18" style="34" customWidth="1"/>
    <col min="8973" max="8973" width="30.26953125" style="34" customWidth="1"/>
    <col min="8974" max="9082" width="18" style="34" customWidth="1"/>
    <col min="9083" max="9205" width="9.1796875" style="34"/>
    <col min="9206" max="9206" width="42.7265625" style="34" bestFit="1" customWidth="1"/>
    <col min="9207" max="9207" width="15.1796875" style="34" bestFit="1" customWidth="1"/>
    <col min="9208" max="9208" width="21.26953125" style="34" customWidth="1"/>
    <col min="9209" max="9209" width="21" style="34" bestFit="1" customWidth="1"/>
    <col min="9210" max="9228" width="18" style="34" customWidth="1"/>
    <col min="9229" max="9229" width="30.26953125" style="34" customWidth="1"/>
    <col min="9230" max="9338" width="18" style="34" customWidth="1"/>
    <col min="9339" max="9461" width="9.1796875" style="34"/>
    <col min="9462" max="9462" width="42.7265625" style="34" bestFit="1" customWidth="1"/>
    <col min="9463" max="9463" width="15.1796875" style="34" bestFit="1" customWidth="1"/>
    <col min="9464" max="9464" width="21.26953125" style="34" customWidth="1"/>
    <col min="9465" max="9465" width="21" style="34" bestFit="1" customWidth="1"/>
    <col min="9466" max="9484" width="18" style="34" customWidth="1"/>
    <col min="9485" max="9485" width="30.26953125" style="34" customWidth="1"/>
    <col min="9486" max="9594" width="18" style="34" customWidth="1"/>
    <col min="9595" max="9717" width="9.1796875" style="34"/>
    <col min="9718" max="9718" width="42.7265625" style="34" bestFit="1" customWidth="1"/>
    <col min="9719" max="9719" width="15.1796875" style="34" bestFit="1" customWidth="1"/>
    <col min="9720" max="9720" width="21.26953125" style="34" customWidth="1"/>
    <col min="9721" max="9721" width="21" style="34" bestFit="1" customWidth="1"/>
    <col min="9722" max="9740" width="18" style="34" customWidth="1"/>
    <col min="9741" max="9741" width="30.26953125" style="34" customWidth="1"/>
    <col min="9742" max="9850" width="18" style="34" customWidth="1"/>
    <col min="9851" max="9973" width="9.1796875" style="34"/>
    <col min="9974" max="9974" width="42.7265625" style="34" bestFit="1" customWidth="1"/>
    <col min="9975" max="9975" width="15.1796875" style="34" bestFit="1" customWidth="1"/>
    <col min="9976" max="9976" width="21.26953125" style="34" customWidth="1"/>
    <col min="9977" max="9977" width="21" style="34" bestFit="1" customWidth="1"/>
    <col min="9978" max="9996" width="18" style="34" customWidth="1"/>
    <col min="9997" max="9997" width="30.26953125" style="34" customWidth="1"/>
    <col min="9998" max="10106" width="18" style="34" customWidth="1"/>
    <col min="10107" max="10229" width="9.1796875" style="34"/>
    <col min="10230" max="10230" width="42.7265625" style="34" bestFit="1" customWidth="1"/>
    <col min="10231" max="10231" width="15.1796875" style="34" bestFit="1" customWidth="1"/>
    <col min="10232" max="10232" width="21.26953125" style="34" customWidth="1"/>
    <col min="10233" max="10233" width="21" style="34" bestFit="1" customWidth="1"/>
    <col min="10234" max="10252" width="18" style="34" customWidth="1"/>
    <col min="10253" max="10253" width="30.26953125" style="34" customWidth="1"/>
    <col min="10254" max="10362" width="18" style="34" customWidth="1"/>
    <col min="10363" max="10485" width="9.1796875" style="34"/>
    <col min="10486" max="10486" width="42.7265625" style="34" bestFit="1" customWidth="1"/>
    <col min="10487" max="10487" width="15.1796875" style="34" bestFit="1" customWidth="1"/>
    <col min="10488" max="10488" width="21.26953125" style="34" customWidth="1"/>
    <col min="10489" max="10489" width="21" style="34" bestFit="1" customWidth="1"/>
    <col min="10490" max="10508" width="18" style="34" customWidth="1"/>
    <col min="10509" max="10509" width="30.26953125" style="34" customWidth="1"/>
    <col min="10510" max="10618" width="18" style="34" customWidth="1"/>
    <col min="10619" max="10741" width="9.1796875" style="34"/>
    <col min="10742" max="10742" width="42.7265625" style="34" bestFit="1" customWidth="1"/>
    <col min="10743" max="10743" width="15.1796875" style="34" bestFit="1" customWidth="1"/>
    <col min="10744" max="10744" width="21.26953125" style="34" customWidth="1"/>
    <col min="10745" max="10745" width="21" style="34" bestFit="1" customWidth="1"/>
    <col min="10746" max="10764" width="18" style="34" customWidth="1"/>
    <col min="10765" max="10765" width="30.26953125" style="34" customWidth="1"/>
    <col min="10766" max="10874" width="18" style="34" customWidth="1"/>
    <col min="10875" max="10997" width="9.1796875" style="34"/>
    <col min="10998" max="10998" width="42.7265625" style="34" bestFit="1" customWidth="1"/>
    <col min="10999" max="10999" width="15.1796875" style="34" bestFit="1" customWidth="1"/>
    <col min="11000" max="11000" width="21.26953125" style="34" customWidth="1"/>
    <col min="11001" max="11001" width="21" style="34" bestFit="1" customWidth="1"/>
    <col min="11002" max="11020" width="18" style="34" customWidth="1"/>
    <col min="11021" max="11021" width="30.26953125" style="34" customWidth="1"/>
    <col min="11022" max="11130" width="18" style="34" customWidth="1"/>
    <col min="11131" max="11253" width="9.1796875" style="34"/>
    <col min="11254" max="11254" width="42.7265625" style="34" bestFit="1" customWidth="1"/>
    <col min="11255" max="11255" width="15.1796875" style="34" bestFit="1" customWidth="1"/>
    <col min="11256" max="11256" width="21.26953125" style="34" customWidth="1"/>
    <col min="11257" max="11257" width="21" style="34" bestFit="1" customWidth="1"/>
    <col min="11258" max="11276" width="18" style="34" customWidth="1"/>
    <col min="11277" max="11277" width="30.26953125" style="34" customWidth="1"/>
    <col min="11278" max="11386" width="18" style="34" customWidth="1"/>
    <col min="11387" max="11509" width="9.1796875" style="34"/>
    <col min="11510" max="11510" width="42.7265625" style="34" bestFit="1" customWidth="1"/>
    <col min="11511" max="11511" width="15.1796875" style="34" bestFit="1" customWidth="1"/>
    <col min="11512" max="11512" width="21.26953125" style="34" customWidth="1"/>
    <col min="11513" max="11513" width="21" style="34" bestFit="1" customWidth="1"/>
    <col min="11514" max="11532" width="18" style="34" customWidth="1"/>
    <col min="11533" max="11533" width="30.26953125" style="34" customWidth="1"/>
    <col min="11534" max="11642" width="18" style="34" customWidth="1"/>
    <col min="11643" max="11765" width="9.1796875" style="34"/>
    <col min="11766" max="11766" width="42.7265625" style="34" bestFit="1" customWidth="1"/>
    <col min="11767" max="11767" width="15.1796875" style="34" bestFit="1" customWidth="1"/>
    <col min="11768" max="11768" width="21.26953125" style="34" customWidth="1"/>
    <col min="11769" max="11769" width="21" style="34" bestFit="1" customWidth="1"/>
    <col min="11770" max="11788" width="18" style="34" customWidth="1"/>
    <col min="11789" max="11789" width="30.26953125" style="34" customWidth="1"/>
    <col min="11790" max="11898" width="18" style="34" customWidth="1"/>
    <col min="11899" max="12021" width="9.1796875" style="34"/>
    <col min="12022" max="12022" width="42.7265625" style="34" bestFit="1" customWidth="1"/>
    <col min="12023" max="12023" width="15.1796875" style="34" bestFit="1" customWidth="1"/>
    <col min="12024" max="12024" width="21.26953125" style="34" customWidth="1"/>
    <col min="12025" max="12025" width="21" style="34" bestFit="1" customWidth="1"/>
    <col min="12026" max="12044" width="18" style="34" customWidth="1"/>
    <col min="12045" max="12045" width="30.26953125" style="34" customWidth="1"/>
    <col min="12046" max="12154" width="18" style="34" customWidth="1"/>
    <col min="12155" max="12277" width="9.1796875" style="34"/>
    <col min="12278" max="12278" width="42.7265625" style="34" bestFit="1" customWidth="1"/>
    <col min="12279" max="12279" width="15.1796875" style="34" bestFit="1" customWidth="1"/>
    <col min="12280" max="12280" width="21.26953125" style="34" customWidth="1"/>
    <col min="12281" max="12281" width="21" style="34" bestFit="1" customWidth="1"/>
    <col min="12282" max="12300" width="18" style="34" customWidth="1"/>
    <col min="12301" max="12301" width="30.26953125" style="34" customWidth="1"/>
    <col min="12302" max="12410" width="18" style="34" customWidth="1"/>
    <col min="12411" max="12533" width="9.1796875" style="34"/>
    <col min="12534" max="12534" width="42.7265625" style="34" bestFit="1" customWidth="1"/>
    <col min="12535" max="12535" width="15.1796875" style="34" bestFit="1" customWidth="1"/>
    <col min="12536" max="12536" width="21.26953125" style="34" customWidth="1"/>
    <col min="12537" max="12537" width="21" style="34" bestFit="1" customWidth="1"/>
    <col min="12538" max="12556" width="18" style="34" customWidth="1"/>
    <col min="12557" max="12557" width="30.26953125" style="34" customWidth="1"/>
    <col min="12558" max="12666" width="18" style="34" customWidth="1"/>
    <col min="12667" max="12789" width="9.1796875" style="34"/>
    <col min="12790" max="12790" width="42.7265625" style="34" bestFit="1" customWidth="1"/>
    <col min="12791" max="12791" width="15.1796875" style="34" bestFit="1" customWidth="1"/>
    <col min="12792" max="12792" width="21.26953125" style="34" customWidth="1"/>
    <col min="12793" max="12793" width="21" style="34" bestFit="1" customWidth="1"/>
    <col min="12794" max="12812" width="18" style="34" customWidth="1"/>
    <col min="12813" max="12813" width="30.26953125" style="34" customWidth="1"/>
    <col min="12814" max="12922" width="18" style="34" customWidth="1"/>
    <col min="12923" max="13045" width="9.1796875" style="34"/>
    <col min="13046" max="13046" width="42.7265625" style="34" bestFit="1" customWidth="1"/>
    <col min="13047" max="13047" width="15.1796875" style="34" bestFit="1" customWidth="1"/>
    <col min="13048" max="13048" width="21.26953125" style="34" customWidth="1"/>
    <col min="13049" max="13049" width="21" style="34" bestFit="1" customWidth="1"/>
    <col min="13050" max="13068" width="18" style="34" customWidth="1"/>
    <col min="13069" max="13069" width="30.26953125" style="34" customWidth="1"/>
    <col min="13070" max="13178" width="18" style="34" customWidth="1"/>
    <col min="13179" max="13301" width="9.1796875" style="34"/>
    <col min="13302" max="13302" width="42.7265625" style="34" bestFit="1" customWidth="1"/>
    <col min="13303" max="13303" width="15.1796875" style="34" bestFit="1" customWidth="1"/>
    <col min="13304" max="13304" width="21.26953125" style="34" customWidth="1"/>
    <col min="13305" max="13305" width="21" style="34" bestFit="1" customWidth="1"/>
    <col min="13306" max="13324" width="18" style="34" customWidth="1"/>
    <col min="13325" max="13325" width="30.26953125" style="34" customWidth="1"/>
    <col min="13326" max="13434" width="18" style="34" customWidth="1"/>
    <col min="13435" max="13557" width="9.1796875" style="34"/>
    <col min="13558" max="13558" width="42.7265625" style="34" bestFit="1" customWidth="1"/>
    <col min="13559" max="13559" width="15.1796875" style="34" bestFit="1" customWidth="1"/>
    <col min="13560" max="13560" width="21.26953125" style="34" customWidth="1"/>
    <col min="13561" max="13561" width="21" style="34" bestFit="1" customWidth="1"/>
    <col min="13562" max="13580" width="18" style="34" customWidth="1"/>
    <col min="13581" max="13581" width="30.26953125" style="34" customWidth="1"/>
    <col min="13582" max="13690" width="18" style="34" customWidth="1"/>
    <col min="13691" max="13813" width="9.1796875" style="34"/>
    <col min="13814" max="13814" width="42.7265625" style="34" bestFit="1" customWidth="1"/>
    <col min="13815" max="13815" width="15.1796875" style="34" bestFit="1" customWidth="1"/>
    <col min="13816" max="13816" width="21.26953125" style="34" customWidth="1"/>
    <col min="13817" max="13817" width="21" style="34" bestFit="1" customWidth="1"/>
    <col min="13818" max="13836" width="18" style="34" customWidth="1"/>
    <col min="13837" max="13837" width="30.26953125" style="34" customWidth="1"/>
    <col min="13838" max="13946" width="18" style="34" customWidth="1"/>
    <col min="13947" max="14069" width="9.1796875" style="34"/>
    <col min="14070" max="14070" width="42.7265625" style="34" bestFit="1" customWidth="1"/>
    <col min="14071" max="14071" width="15.1796875" style="34" bestFit="1" customWidth="1"/>
    <col min="14072" max="14072" width="21.26953125" style="34" customWidth="1"/>
    <col min="14073" max="14073" width="21" style="34" bestFit="1" customWidth="1"/>
    <col min="14074" max="14092" width="18" style="34" customWidth="1"/>
    <col min="14093" max="14093" width="30.26953125" style="34" customWidth="1"/>
    <col min="14094" max="14202" width="18" style="34" customWidth="1"/>
    <col min="14203" max="14325" width="9.1796875" style="34"/>
    <col min="14326" max="14326" width="42.7265625" style="34" bestFit="1" customWidth="1"/>
    <col min="14327" max="14327" width="15.1796875" style="34" bestFit="1" customWidth="1"/>
    <col min="14328" max="14328" width="21.26953125" style="34" customWidth="1"/>
    <col min="14329" max="14329" width="21" style="34" bestFit="1" customWidth="1"/>
    <col min="14330" max="14348" width="18" style="34" customWidth="1"/>
    <col min="14349" max="14349" width="30.26953125" style="34" customWidth="1"/>
    <col min="14350" max="14458" width="18" style="34" customWidth="1"/>
    <col min="14459" max="14581" width="9.1796875" style="34"/>
    <col min="14582" max="14582" width="42.7265625" style="34" bestFit="1" customWidth="1"/>
    <col min="14583" max="14583" width="15.1796875" style="34" bestFit="1" customWidth="1"/>
    <col min="14584" max="14584" width="21.26953125" style="34" customWidth="1"/>
    <col min="14585" max="14585" width="21" style="34" bestFit="1" customWidth="1"/>
    <col min="14586" max="14604" width="18" style="34" customWidth="1"/>
    <col min="14605" max="14605" width="30.26953125" style="34" customWidth="1"/>
    <col min="14606" max="14714" width="18" style="34" customWidth="1"/>
    <col min="14715" max="14837" width="9.1796875" style="34"/>
    <col min="14838" max="14838" width="42.7265625" style="34" bestFit="1" customWidth="1"/>
    <col min="14839" max="14839" width="15.1796875" style="34" bestFit="1" customWidth="1"/>
    <col min="14840" max="14840" width="21.26953125" style="34" customWidth="1"/>
    <col min="14841" max="14841" width="21" style="34" bestFit="1" customWidth="1"/>
    <col min="14842" max="14860" width="18" style="34" customWidth="1"/>
    <col min="14861" max="14861" width="30.26953125" style="34" customWidth="1"/>
    <col min="14862" max="14970" width="18" style="34" customWidth="1"/>
    <col min="14971" max="15093" width="9.1796875" style="34"/>
    <col min="15094" max="15094" width="42.7265625" style="34" bestFit="1" customWidth="1"/>
    <col min="15095" max="15095" width="15.1796875" style="34" bestFit="1" customWidth="1"/>
    <col min="15096" max="15096" width="21.26953125" style="34" customWidth="1"/>
    <col min="15097" max="15097" width="21" style="34" bestFit="1" customWidth="1"/>
    <col min="15098" max="15116" width="18" style="34" customWidth="1"/>
    <col min="15117" max="15117" width="30.26953125" style="34" customWidth="1"/>
    <col min="15118" max="15226" width="18" style="34" customWidth="1"/>
    <col min="15227" max="15349" width="9.1796875" style="34"/>
    <col min="15350" max="15350" width="42.7265625" style="34" bestFit="1" customWidth="1"/>
    <col min="15351" max="15351" width="15.1796875" style="34" bestFit="1" customWidth="1"/>
    <col min="15352" max="15352" width="21.26953125" style="34" customWidth="1"/>
    <col min="15353" max="15353" width="21" style="34" bestFit="1" customWidth="1"/>
    <col min="15354" max="15372" width="18" style="34" customWidth="1"/>
    <col min="15373" max="15373" width="30.26953125" style="34" customWidth="1"/>
    <col min="15374" max="15482" width="18" style="34" customWidth="1"/>
    <col min="15483" max="15605" width="9.1796875" style="34"/>
    <col min="15606" max="15606" width="42.7265625" style="34" bestFit="1" customWidth="1"/>
    <col min="15607" max="15607" width="15.1796875" style="34" bestFit="1" customWidth="1"/>
    <col min="15608" max="15608" width="21.26953125" style="34" customWidth="1"/>
    <col min="15609" max="15609" width="21" style="34" bestFit="1" customWidth="1"/>
    <col min="15610" max="15628" width="18" style="34" customWidth="1"/>
    <col min="15629" max="15629" width="30.26953125" style="34" customWidth="1"/>
    <col min="15630" max="15738" width="18" style="34" customWidth="1"/>
    <col min="15739" max="15861" width="9.1796875" style="34"/>
    <col min="15862" max="15862" width="42.7265625" style="34" bestFit="1" customWidth="1"/>
    <col min="15863" max="15863" width="15.1796875" style="34" bestFit="1" customWidth="1"/>
    <col min="15864" max="15864" width="21.26953125" style="34" customWidth="1"/>
    <col min="15865" max="15865" width="21" style="34" bestFit="1" customWidth="1"/>
    <col min="15866" max="15884" width="18" style="34" customWidth="1"/>
    <col min="15885" max="15885" width="30.26953125" style="34" customWidth="1"/>
    <col min="15886" max="15994" width="18" style="34" customWidth="1"/>
    <col min="15995" max="16117" width="9.1796875" style="34"/>
    <col min="16118" max="16118" width="42.7265625" style="34" bestFit="1" customWidth="1"/>
    <col min="16119" max="16119" width="15.1796875" style="34" bestFit="1" customWidth="1"/>
    <col min="16120" max="16120" width="21.26953125" style="34" customWidth="1"/>
    <col min="16121" max="16121" width="21" style="34" bestFit="1" customWidth="1"/>
    <col min="16122" max="16140" width="18" style="34" customWidth="1"/>
    <col min="16141" max="16141" width="30.26953125" style="34" customWidth="1"/>
    <col min="16142" max="16250" width="18" style="34" customWidth="1"/>
    <col min="16251" max="16384" width="9.1796875" style="34"/>
  </cols>
  <sheetData>
    <row r="1" spans="1:125" s="31" customFormat="1" ht="116.5" thickBot="1">
      <c r="A1" s="58" t="s">
        <v>381</v>
      </c>
      <c r="B1" s="183" t="s">
        <v>423</v>
      </c>
      <c r="C1" s="59" t="s">
        <v>201</v>
      </c>
      <c r="D1" s="57" t="s">
        <v>156</v>
      </c>
      <c r="E1" s="179" t="s">
        <v>404</v>
      </c>
      <c r="F1" s="65" t="s">
        <v>217</v>
      </c>
      <c r="G1" s="66" t="s">
        <v>157</v>
      </c>
      <c r="H1" s="66" t="s">
        <v>193</v>
      </c>
      <c r="I1" s="67" t="s">
        <v>110</v>
      </c>
      <c r="J1" s="68" t="s">
        <v>168</v>
      </c>
      <c r="K1" s="60" t="s">
        <v>194</v>
      </c>
      <c r="L1" s="68" t="s">
        <v>169</v>
      </c>
      <c r="M1" s="60" t="s">
        <v>195</v>
      </c>
      <c r="N1" s="60" t="s">
        <v>359</v>
      </c>
      <c r="O1" s="60" t="s">
        <v>360</v>
      </c>
      <c r="P1" s="60" t="s">
        <v>361</v>
      </c>
      <c r="Q1" s="69" t="s">
        <v>362</v>
      </c>
      <c r="R1" s="69" t="s">
        <v>363</v>
      </c>
      <c r="S1" s="60" t="s">
        <v>361</v>
      </c>
      <c r="T1" s="70" t="s">
        <v>364</v>
      </c>
      <c r="U1" s="70" t="s">
        <v>365</v>
      </c>
      <c r="V1" s="72" t="s">
        <v>420</v>
      </c>
      <c r="W1" s="72" t="s">
        <v>418</v>
      </c>
      <c r="X1" s="134" t="s">
        <v>419</v>
      </c>
      <c r="Y1" s="73" t="s">
        <v>203</v>
      </c>
      <c r="Z1" s="74" t="s">
        <v>131</v>
      </c>
      <c r="AA1" s="76" t="s">
        <v>167</v>
      </c>
      <c r="AB1" s="75" t="s">
        <v>391</v>
      </c>
      <c r="AC1" s="73" t="s">
        <v>392</v>
      </c>
      <c r="AD1" s="73" t="s">
        <v>393</v>
      </c>
      <c r="AE1" s="71" t="s">
        <v>394</v>
      </c>
      <c r="AF1" s="70" t="s">
        <v>174</v>
      </c>
      <c r="AG1" s="70" t="s">
        <v>171</v>
      </c>
      <c r="AH1" s="70" t="s">
        <v>170</v>
      </c>
      <c r="AI1" s="70" t="s">
        <v>358</v>
      </c>
      <c r="AJ1" s="70" t="s">
        <v>213</v>
      </c>
      <c r="AK1" s="70" t="s">
        <v>183</v>
      </c>
      <c r="AL1" s="70" t="s">
        <v>178</v>
      </c>
      <c r="AM1" s="70" t="s">
        <v>173</v>
      </c>
      <c r="AN1" s="71" t="s">
        <v>371</v>
      </c>
      <c r="AO1" s="71" t="s">
        <v>372</v>
      </c>
      <c r="AP1" s="70" t="s">
        <v>373</v>
      </c>
      <c r="AQ1" s="70" t="s">
        <v>374</v>
      </c>
      <c r="AR1" s="70" t="s">
        <v>375</v>
      </c>
      <c r="AS1" s="70" t="s">
        <v>383</v>
      </c>
      <c r="AT1" s="70" t="s">
        <v>382</v>
      </c>
      <c r="AU1" s="70" t="s">
        <v>421</v>
      </c>
      <c r="AV1" s="70" t="s">
        <v>384</v>
      </c>
      <c r="AW1" s="70" t="s">
        <v>385</v>
      </c>
      <c r="AX1" s="70" t="s">
        <v>386</v>
      </c>
      <c r="AY1" s="70" t="s">
        <v>387</v>
      </c>
      <c r="AZ1" s="70" t="s">
        <v>388</v>
      </c>
      <c r="BA1" s="70" t="s">
        <v>422</v>
      </c>
      <c r="BB1" s="70" t="s">
        <v>356</v>
      </c>
      <c r="BC1" s="70" t="s">
        <v>204</v>
      </c>
      <c r="BD1" s="71" t="s">
        <v>218</v>
      </c>
      <c r="BE1" s="71" t="s">
        <v>160</v>
      </c>
      <c r="BF1" s="71" t="s">
        <v>219</v>
      </c>
      <c r="BG1" s="71" t="s">
        <v>161</v>
      </c>
      <c r="BH1" s="71" t="s">
        <v>220</v>
      </c>
      <c r="BI1" s="71" t="s">
        <v>162</v>
      </c>
      <c r="BJ1" s="71" t="s">
        <v>221</v>
      </c>
      <c r="BK1" s="71" t="s">
        <v>163</v>
      </c>
      <c r="BL1" s="71" t="s">
        <v>222</v>
      </c>
      <c r="BM1" s="71" t="s">
        <v>164</v>
      </c>
      <c r="BN1" s="71" t="s">
        <v>223</v>
      </c>
      <c r="BO1" s="71" t="s">
        <v>165</v>
      </c>
      <c r="BP1" s="71" t="s">
        <v>224</v>
      </c>
      <c r="BQ1" s="71" t="s">
        <v>166</v>
      </c>
      <c r="BR1" s="71" t="s">
        <v>205</v>
      </c>
      <c r="BS1" s="71" t="s">
        <v>206</v>
      </c>
      <c r="BT1" s="71" t="s">
        <v>207</v>
      </c>
      <c r="BU1" s="71" t="s">
        <v>208</v>
      </c>
      <c r="BV1" s="71" t="s">
        <v>209</v>
      </c>
      <c r="BW1" s="71" t="s">
        <v>184</v>
      </c>
      <c r="BX1" s="71" t="s">
        <v>210</v>
      </c>
      <c r="BY1" s="71" t="s">
        <v>211</v>
      </c>
      <c r="BZ1" s="71" t="s">
        <v>185</v>
      </c>
      <c r="CA1" s="60" t="s">
        <v>395</v>
      </c>
      <c r="CB1" s="60" t="s">
        <v>212</v>
      </c>
      <c r="CC1" s="60" t="s">
        <v>396</v>
      </c>
      <c r="CD1" s="60" t="s">
        <v>397</v>
      </c>
      <c r="CE1" s="60" t="s">
        <v>398</v>
      </c>
      <c r="CF1" s="60" t="s">
        <v>399</v>
      </c>
      <c r="CG1" s="60" t="s">
        <v>400</v>
      </c>
      <c r="CH1" s="60" t="s">
        <v>401</v>
      </c>
      <c r="CI1" s="60" t="s">
        <v>402</v>
      </c>
      <c r="CJ1" s="61" t="s">
        <v>177</v>
      </c>
      <c r="CK1" s="61" t="s">
        <v>186</v>
      </c>
      <c r="CL1" s="61" t="s">
        <v>368</v>
      </c>
      <c r="CM1" s="61" t="s">
        <v>357</v>
      </c>
      <c r="CN1" s="61" t="s">
        <v>214</v>
      </c>
      <c r="CO1" s="61" t="s">
        <v>369</v>
      </c>
      <c r="CP1" s="61" t="s">
        <v>32</v>
      </c>
      <c r="CQ1" s="61" t="s">
        <v>111</v>
      </c>
      <c r="CR1" s="61" t="s">
        <v>228</v>
      </c>
      <c r="CS1" s="60" t="s">
        <v>376</v>
      </c>
      <c r="CT1" s="60" t="s">
        <v>377</v>
      </c>
      <c r="CU1" s="60" t="s">
        <v>226</v>
      </c>
      <c r="CV1" s="60" t="s">
        <v>227</v>
      </c>
      <c r="CW1" s="60" t="s">
        <v>172</v>
      </c>
      <c r="CX1" s="56" t="s">
        <v>175</v>
      </c>
      <c r="CY1" s="61" t="s">
        <v>187</v>
      </c>
      <c r="CZ1" s="61" t="s">
        <v>188</v>
      </c>
      <c r="DA1" s="61" t="s">
        <v>189</v>
      </c>
      <c r="DB1" s="61" t="s">
        <v>215</v>
      </c>
      <c r="DC1" s="61" t="s">
        <v>190</v>
      </c>
      <c r="DD1" s="61" t="s">
        <v>191</v>
      </c>
      <c r="DE1" s="61" t="s">
        <v>225</v>
      </c>
      <c r="DF1" s="61" t="s">
        <v>192</v>
      </c>
      <c r="DG1" s="61" t="s">
        <v>216</v>
      </c>
      <c r="DH1" s="60" t="s">
        <v>158</v>
      </c>
      <c r="DI1" s="60" t="s">
        <v>354</v>
      </c>
      <c r="DJ1" s="60" t="s">
        <v>196</v>
      </c>
      <c r="DK1" s="60" t="s">
        <v>197</v>
      </c>
      <c r="DL1" s="60" t="s">
        <v>198</v>
      </c>
      <c r="DM1" s="60" t="s">
        <v>199</v>
      </c>
      <c r="DN1" s="60" t="s">
        <v>366</v>
      </c>
      <c r="DO1" s="60" t="s">
        <v>200</v>
      </c>
      <c r="DP1" s="60" t="s">
        <v>367</v>
      </c>
      <c r="DQ1" s="60" t="s">
        <v>159</v>
      </c>
      <c r="DR1" s="62" t="s">
        <v>202</v>
      </c>
    </row>
    <row r="2" spans="1:125" s="32" customFormat="1" ht="15" customHeight="1" thickBot="1">
      <c r="A2" s="99" t="s">
        <v>229</v>
      </c>
      <c r="B2" s="184">
        <v>2017</v>
      </c>
      <c r="C2" s="102">
        <v>4</v>
      </c>
      <c r="D2" s="78" t="s">
        <v>347</v>
      </c>
      <c r="E2" s="78" t="s">
        <v>405</v>
      </c>
      <c r="F2" s="131">
        <v>305.89999999999998</v>
      </c>
      <c r="G2" s="80">
        <v>52949</v>
      </c>
      <c r="H2" s="79">
        <v>6.6337730339341539</v>
      </c>
      <c r="I2" s="131">
        <v>173.09251389342924</v>
      </c>
      <c r="J2" s="80">
        <v>25703</v>
      </c>
      <c r="K2" s="168">
        <v>48.5429375436741</v>
      </c>
      <c r="L2" s="80">
        <v>27246</v>
      </c>
      <c r="M2" s="169">
        <v>51.4570624563259</v>
      </c>
      <c r="N2" s="170">
        <v>25.679427373510361</v>
      </c>
      <c r="O2" s="170">
        <v>51.045345521161877</v>
      </c>
      <c r="P2" s="170">
        <v>23.275227105327765</v>
      </c>
      <c r="Q2" s="170">
        <v>39.579595459782055</v>
      </c>
      <c r="R2" s="171">
        <v>37.145177434890172</v>
      </c>
      <c r="S2" s="172">
        <v>23.275227105327765</v>
      </c>
      <c r="T2" s="79">
        <v>2.8</v>
      </c>
      <c r="U2" s="79">
        <v>6.7</v>
      </c>
      <c r="V2" s="89">
        <v>64</v>
      </c>
      <c r="W2" s="104">
        <v>10.3</v>
      </c>
      <c r="X2" s="145">
        <v>50857</v>
      </c>
      <c r="Y2" s="103">
        <v>2.2999999999999998</v>
      </c>
      <c r="Z2" s="103" t="s">
        <v>340</v>
      </c>
      <c r="AA2" s="80">
        <v>4557</v>
      </c>
      <c r="AB2" s="103" t="s">
        <v>355</v>
      </c>
      <c r="AC2" s="103" t="s">
        <v>355</v>
      </c>
      <c r="AD2" s="103" t="s">
        <v>355</v>
      </c>
      <c r="AE2" s="103" t="s">
        <v>355</v>
      </c>
      <c r="AF2" s="79">
        <v>15.17</v>
      </c>
      <c r="AG2" s="103">
        <v>2.62</v>
      </c>
      <c r="AH2" s="79">
        <v>79.47</v>
      </c>
      <c r="AI2" s="79">
        <v>20.525793920878669</v>
      </c>
      <c r="AJ2" s="79">
        <v>10.65</v>
      </c>
      <c r="AK2" s="103">
        <v>7.2</v>
      </c>
      <c r="AL2" s="79">
        <v>5.5245352951983833</v>
      </c>
      <c r="AM2" s="79">
        <v>18.61</v>
      </c>
      <c r="AN2" s="80">
        <v>106194</v>
      </c>
      <c r="AO2" s="80">
        <v>125187</v>
      </c>
      <c r="AP2" s="80">
        <v>27677</v>
      </c>
      <c r="AQ2" s="146">
        <v>1235.6355194428322</v>
      </c>
      <c r="AR2" s="80">
        <v>22399</v>
      </c>
      <c r="AS2" s="80">
        <v>621</v>
      </c>
      <c r="AT2" s="146">
        <v>3508.4745762711864</v>
      </c>
      <c r="AU2" s="80">
        <v>177</v>
      </c>
      <c r="AV2" s="80">
        <v>10831</v>
      </c>
      <c r="AW2" s="146">
        <v>6228.2921219091431</v>
      </c>
      <c r="AX2" s="80">
        <v>1739</v>
      </c>
      <c r="AY2" s="135" t="s">
        <v>379</v>
      </c>
      <c r="AZ2" s="146" t="s">
        <v>379</v>
      </c>
      <c r="BA2" s="103">
        <v>0</v>
      </c>
      <c r="BB2" s="81">
        <v>90.957345907127703</v>
      </c>
      <c r="BC2" s="105">
        <v>16.933791687128892</v>
      </c>
      <c r="BD2" s="80">
        <v>11718</v>
      </c>
      <c r="BE2" s="92">
        <v>11.005710421519273</v>
      </c>
      <c r="BF2" s="80">
        <v>24074</v>
      </c>
      <c r="BG2" s="92">
        <v>22.610639416935907</v>
      </c>
      <c r="BH2" s="80">
        <v>13699</v>
      </c>
      <c r="BI2" s="92">
        <v>12.866293485611241</v>
      </c>
      <c r="BJ2" s="80">
        <v>11592</v>
      </c>
      <c r="BK2" s="92">
        <v>10.887369449244872</v>
      </c>
      <c r="BL2" s="80">
        <v>19733</v>
      </c>
      <c r="BM2" s="92">
        <v>18.533511157863099</v>
      </c>
      <c r="BN2" s="80">
        <v>11381</v>
      </c>
      <c r="BO2" s="92">
        <v>10.689195281388535</v>
      </c>
      <c r="BP2" s="80">
        <v>14275</v>
      </c>
      <c r="BQ2" s="92">
        <v>13.407280787437074</v>
      </c>
      <c r="BR2" s="106">
        <v>221.30729569963549</v>
      </c>
      <c r="BS2" s="106">
        <v>258.72065572532057</v>
      </c>
      <c r="BT2" s="106">
        <v>409.65835048820566</v>
      </c>
      <c r="BU2" s="106">
        <v>218.92764735877921</v>
      </c>
      <c r="BV2" s="106">
        <v>328.50478762582861</v>
      </c>
      <c r="BW2" s="106">
        <v>45.005571398893274</v>
      </c>
      <c r="BX2" s="106">
        <v>269.59904814066368</v>
      </c>
      <c r="BY2" s="107">
        <v>44.174583089387902</v>
      </c>
      <c r="BZ2" s="106">
        <v>214.94268069274207</v>
      </c>
      <c r="CA2" s="103" t="s">
        <v>355</v>
      </c>
      <c r="CB2" s="112">
        <v>230.32278226706549</v>
      </c>
      <c r="CC2" s="103" t="s">
        <v>355</v>
      </c>
      <c r="CD2" s="103" t="s">
        <v>355</v>
      </c>
      <c r="CE2" s="103" t="s">
        <v>355</v>
      </c>
      <c r="CF2" s="103" t="s">
        <v>355</v>
      </c>
      <c r="CG2" s="103" t="s">
        <v>355</v>
      </c>
      <c r="CH2" s="103" t="s">
        <v>355</v>
      </c>
      <c r="CI2" s="103" t="s">
        <v>355</v>
      </c>
      <c r="CJ2" s="81">
        <v>35173</v>
      </c>
      <c r="CK2" s="127">
        <v>53.950473374463371</v>
      </c>
      <c r="CL2" s="136">
        <v>581.04999999999995</v>
      </c>
      <c r="CM2" s="139">
        <v>10.973767209956751</v>
      </c>
      <c r="CN2" s="136">
        <v>2029.7</v>
      </c>
      <c r="CO2" s="108">
        <v>2</v>
      </c>
      <c r="CP2" s="108">
        <v>13</v>
      </c>
      <c r="CQ2" s="103">
        <v>2</v>
      </c>
      <c r="CR2" s="79">
        <v>6.4284498733124078</v>
      </c>
      <c r="CS2" s="80">
        <v>29194</v>
      </c>
      <c r="CT2" s="80">
        <v>35160</v>
      </c>
      <c r="CU2" s="79">
        <v>83.03</v>
      </c>
      <c r="CV2" s="79">
        <v>59.52</v>
      </c>
      <c r="CW2" s="79">
        <v>3.08</v>
      </c>
      <c r="CX2" s="108" t="s">
        <v>339</v>
      </c>
      <c r="CY2" s="81">
        <v>28000</v>
      </c>
      <c r="CZ2" s="128">
        <v>216000</v>
      </c>
      <c r="DA2" s="128">
        <v>0</v>
      </c>
      <c r="DB2" s="128">
        <v>8110</v>
      </c>
      <c r="DC2" s="128">
        <v>0</v>
      </c>
      <c r="DD2" s="128">
        <v>336314</v>
      </c>
      <c r="DE2" s="81">
        <v>5</v>
      </c>
      <c r="DF2" s="81">
        <v>1600</v>
      </c>
      <c r="DG2" s="81">
        <v>0</v>
      </c>
      <c r="DH2" s="162">
        <v>9</v>
      </c>
      <c r="DI2" s="114">
        <v>5883.2222222222226</v>
      </c>
      <c r="DJ2" s="81">
        <v>22</v>
      </c>
      <c r="DK2" s="81">
        <v>78</v>
      </c>
      <c r="DL2" s="81">
        <v>0</v>
      </c>
      <c r="DM2" s="81">
        <v>11</v>
      </c>
      <c r="DN2" s="81">
        <v>11</v>
      </c>
      <c r="DO2" s="81">
        <v>55.555555555555557</v>
      </c>
      <c r="DP2" s="81">
        <v>33</v>
      </c>
      <c r="DQ2" s="82">
        <v>478</v>
      </c>
      <c r="DR2" s="147">
        <v>110.77196652719665</v>
      </c>
      <c r="DS2" s="54"/>
      <c r="DT2" s="55"/>
      <c r="DU2" s="55"/>
    </row>
    <row r="3" spans="1:125" s="32" customFormat="1" ht="15" customHeight="1" thickBot="1">
      <c r="A3" s="100" t="s">
        <v>230</v>
      </c>
      <c r="B3" s="184">
        <v>2017</v>
      </c>
      <c r="C3" s="109">
        <v>4</v>
      </c>
      <c r="D3" s="83" t="s">
        <v>347</v>
      </c>
      <c r="E3" s="83" t="s">
        <v>406</v>
      </c>
      <c r="F3" s="132">
        <v>8620.7000000000007</v>
      </c>
      <c r="G3" s="85">
        <v>30594</v>
      </c>
      <c r="H3" s="86">
        <v>2.5611800201139845</v>
      </c>
      <c r="I3" s="132">
        <v>3.5488997413203101</v>
      </c>
      <c r="J3" s="85">
        <v>14855</v>
      </c>
      <c r="K3" s="173">
        <v>48.555272275609596</v>
      </c>
      <c r="L3" s="85">
        <v>15739</v>
      </c>
      <c r="M3" s="173">
        <v>51.444727724390404</v>
      </c>
      <c r="N3" s="161">
        <v>27.077204680656337</v>
      </c>
      <c r="O3" s="161">
        <v>50.967509969275028</v>
      </c>
      <c r="P3" s="161">
        <v>21.955285350068639</v>
      </c>
      <c r="Q3" s="161">
        <v>43.534680002614891</v>
      </c>
      <c r="R3" s="159">
        <v>34.510034647316466</v>
      </c>
      <c r="S3" s="160">
        <v>21.955285350068639</v>
      </c>
      <c r="T3" s="84">
        <v>7.4</v>
      </c>
      <c r="U3" s="84">
        <v>7.9</v>
      </c>
      <c r="V3" s="89">
        <v>87</v>
      </c>
      <c r="W3" s="90">
        <v>6.6</v>
      </c>
      <c r="X3" s="148">
        <v>47386</v>
      </c>
      <c r="Y3" s="89">
        <v>2.4</v>
      </c>
      <c r="Z3" s="89" t="s">
        <v>341</v>
      </c>
      <c r="AA3" s="85">
        <v>2908</v>
      </c>
      <c r="AB3" s="110" t="s">
        <v>355</v>
      </c>
      <c r="AC3" s="110" t="s">
        <v>355</v>
      </c>
      <c r="AD3" s="110" t="s">
        <v>355</v>
      </c>
      <c r="AE3" s="110" t="s">
        <v>355</v>
      </c>
      <c r="AF3" s="84">
        <v>-8.73</v>
      </c>
      <c r="AG3" s="84">
        <v>1.53</v>
      </c>
      <c r="AH3" s="84">
        <v>71.27</v>
      </c>
      <c r="AI3" s="86">
        <v>28.725699450930087</v>
      </c>
      <c r="AJ3" s="84">
        <v>6.67</v>
      </c>
      <c r="AK3" s="84">
        <v>2.81</v>
      </c>
      <c r="AL3" s="84">
        <v>6.4852022409292234</v>
      </c>
      <c r="AM3" s="89">
        <v>13.37</v>
      </c>
      <c r="AN3" s="85">
        <v>74139</v>
      </c>
      <c r="AO3" s="85">
        <v>68186</v>
      </c>
      <c r="AP3" s="85">
        <v>10140</v>
      </c>
      <c r="AQ3" s="135">
        <v>898.61751152073737</v>
      </c>
      <c r="AR3" s="85">
        <v>11284</v>
      </c>
      <c r="AS3" s="85">
        <v>4634</v>
      </c>
      <c r="AT3" s="135">
        <v>2789.8856110776642</v>
      </c>
      <c r="AU3" s="85">
        <v>1661</v>
      </c>
      <c r="AV3" s="85">
        <v>2470</v>
      </c>
      <c r="AW3" s="135">
        <v>7623.4567901234568</v>
      </c>
      <c r="AX3" s="85">
        <v>324</v>
      </c>
      <c r="AY3" s="85">
        <v>63</v>
      </c>
      <c r="AZ3" s="135">
        <v>3705.8823529411766</v>
      </c>
      <c r="BA3" s="89">
        <v>17</v>
      </c>
      <c r="BB3" s="87">
        <v>180.21022164442132</v>
      </c>
      <c r="BC3" s="91">
        <v>17.095001772421128</v>
      </c>
      <c r="BD3" s="85">
        <v>3126</v>
      </c>
      <c r="BE3" s="92">
        <v>3.8956669117555425</v>
      </c>
      <c r="BF3" s="85">
        <v>22020</v>
      </c>
      <c r="BG3" s="92">
        <v>27.441646000274169</v>
      </c>
      <c r="BH3" s="85">
        <v>9192</v>
      </c>
      <c r="BI3" s="92">
        <v>11.455204815373303</v>
      </c>
      <c r="BJ3" s="85">
        <v>7502</v>
      </c>
      <c r="BK3" s="92">
        <v>9.3491021023640695</v>
      </c>
      <c r="BL3" s="85">
        <v>13272</v>
      </c>
      <c r="BM3" s="92">
        <v>16.539760477549443</v>
      </c>
      <c r="BN3" s="85">
        <v>11602</v>
      </c>
      <c r="BO3" s="92">
        <v>14.458582057001856</v>
      </c>
      <c r="BP3" s="85">
        <v>13529</v>
      </c>
      <c r="BQ3" s="92">
        <v>16.860037635681618</v>
      </c>
      <c r="BR3" s="165">
        <v>102.17689743086879</v>
      </c>
      <c r="BS3" s="165">
        <v>300.45106883702687</v>
      </c>
      <c r="BT3" s="111">
        <v>607.5047394914036</v>
      </c>
      <c r="BU3" s="165">
        <v>245.21147937504085</v>
      </c>
      <c r="BV3" s="165">
        <v>357.97868863175785</v>
      </c>
      <c r="BW3" s="165">
        <v>112.24423089494672</v>
      </c>
      <c r="BX3" s="165">
        <v>442.21089102438384</v>
      </c>
      <c r="BY3" s="112">
        <v>75.831862456690857</v>
      </c>
      <c r="BZ3" s="165">
        <v>379.22468457867558</v>
      </c>
      <c r="CA3" s="110" t="s">
        <v>355</v>
      </c>
      <c r="CB3" s="112">
        <v>306.89471818504074</v>
      </c>
      <c r="CC3" s="110" t="s">
        <v>355</v>
      </c>
      <c r="CD3" s="110" t="s">
        <v>355</v>
      </c>
      <c r="CE3" s="110" t="s">
        <v>355</v>
      </c>
      <c r="CF3" s="110" t="s">
        <v>355</v>
      </c>
      <c r="CG3" s="110" t="s">
        <v>355</v>
      </c>
      <c r="CH3" s="110" t="s">
        <v>355</v>
      </c>
      <c r="CI3" s="110" t="s">
        <v>355</v>
      </c>
      <c r="CJ3" s="87">
        <v>21015</v>
      </c>
      <c r="CK3" s="77">
        <v>52.367356650011899</v>
      </c>
      <c r="CL3" s="137">
        <v>2041.0800000000002</v>
      </c>
      <c r="CM3" s="139">
        <v>66.715042165130427</v>
      </c>
      <c r="CN3" s="141">
        <v>2597</v>
      </c>
      <c r="CO3" s="113">
        <v>2</v>
      </c>
      <c r="CP3" s="113">
        <v>8</v>
      </c>
      <c r="CQ3" s="110">
        <v>2</v>
      </c>
      <c r="CR3" s="86">
        <v>0</v>
      </c>
      <c r="CS3" s="85">
        <v>32355</v>
      </c>
      <c r="CT3" s="85">
        <v>33609</v>
      </c>
      <c r="CU3" s="84">
        <v>96.27</v>
      </c>
      <c r="CV3" s="84">
        <v>42.24</v>
      </c>
      <c r="CW3" s="84">
        <v>8.11</v>
      </c>
      <c r="CX3" s="115" t="s">
        <v>339</v>
      </c>
      <c r="CY3" s="114">
        <v>8000</v>
      </c>
      <c r="CZ3" s="129">
        <v>199000</v>
      </c>
      <c r="DA3" s="129">
        <v>0</v>
      </c>
      <c r="DB3" s="129">
        <v>6000</v>
      </c>
      <c r="DC3" s="129">
        <v>0</v>
      </c>
      <c r="DD3" s="129">
        <v>315486</v>
      </c>
      <c r="DE3" s="87">
        <v>3</v>
      </c>
      <c r="DF3" s="87">
        <v>15174</v>
      </c>
      <c r="DG3" s="114">
        <v>0</v>
      </c>
      <c r="DH3" s="162">
        <v>11</v>
      </c>
      <c r="DI3" s="114">
        <v>2781.2727272727275</v>
      </c>
      <c r="DJ3" s="114">
        <v>45</v>
      </c>
      <c r="DK3" s="114">
        <v>55</v>
      </c>
      <c r="DL3" s="114">
        <v>9</v>
      </c>
      <c r="DM3" s="114">
        <v>0</v>
      </c>
      <c r="DN3" s="114">
        <v>0</v>
      </c>
      <c r="DO3" s="114">
        <v>64</v>
      </c>
      <c r="DP3" s="114">
        <v>36</v>
      </c>
      <c r="DQ3" s="88">
        <v>275</v>
      </c>
      <c r="DR3" s="147">
        <v>111.25090909090909</v>
      </c>
      <c r="DS3" s="54"/>
      <c r="DT3" s="55"/>
      <c r="DU3" s="55"/>
    </row>
    <row r="4" spans="1:125" s="32" customFormat="1" ht="15" customHeight="1" thickBot="1">
      <c r="A4" s="100" t="s">
        <v>231</v>
      </c>
      <c r="B4" s="184">
        <v>2017</v>
      </c>
      <c r="C4" s="109">
        <v>4</v>
      </c>
      <c r="D4" s="83" t="s">
        <v>347</v>
      </c>
      <c r="E4" s="83" t="s">
        <v>407</v>
      </c>
      <c r="F4" s="132">
        <v>484.9</v>
      </c>
      <c r="G4" s="85">
        <v>43457</v>
      </c>
      <c r="H4" s="86">
        <v>5.9771740720870215</v>
      </c>
      <c r="I4" s="132">
        <v>89.620540317591264</v>
      </c>
      <c r="J4" s="85">
        <v>20952</v>
      </c>
      <c r="K4" s="173">
        <v>48.213176243182915</v>
      </c>
      <c r="L4" s="85">
        <v>22505</v>
      </c>
      <c r="M4" s="173">
        <v>51.786823756817078</v>
      </c>
      <c r="N4" s="161">
        <v>22.875486112709115</v>
      </c>
      <c r="O4" s="161">
        <v>44.908760383827691</v>
      </c>
      <c r="P4" s="161">
        <v>32.215753503463198</v>
      </c>
      <c r="Q4" s="161">
        <v>31.062889753089262</v>
      </c>
      <c r="R4" s="159">
        <v>36.721356743447551</v>
      </c>
      <c r="S4" s="160">
        <v>32.215753503463198</v>
      </c>
      <c r="T4" s="84">
        <v>3.3</v>
      </c>
      <c r="U4" s="84">
        <v>3.8</v>
      </c>
      <c r="V4" s="89">
        <v>92</v>
      </c>
      <c r="W4" s="90">
        <v>3.5</v>
      </c>
      <c r="X4" s="148">
        <v>48108</v>
      </c>
      <c r="Y4" s="89">
        <v>2.2999999999999998</v>
      </c>
      <c r="Z4" s="89" t="s">
        <v>340</v>
      </c>
      <c r="AA4" s="85">
        <v>4244</v>
      </c>
      <c r="AB4" s="110" t="s">
        <v>355</v>
      </c>
      <c r="AC4" s="110" t="s">
        <v>355</v>
      </c>
      <c r="AD4" s="110" t="s">
        <v>355</v>
      </c>
      <c r="AE4" s="110" t="s">
        <v>355</v>
      </c>
      <c r="AF4" s="84">
        <v>3.12</v>
      </c>
      <c r="AG4" s="84">
        <v>4.84</v>
      </c>
      <c r="AH4" s="84">
        <v>59.66</v>
      </c>
      <c r="AI4" s="86">
        <v>39.965599322345412</v>
      </c>
      <c r="AJ4" s="84">
        <v>3.38</v>
      </c>
      <c r="AK4" s="84">
        <v>2.38</v>
      </c>
      <c r="AL4" s="84">
        <v>26.705595300137396</v>
      </c>
      <c r="AM4" s="84">
        <v>10.01</v>
      </c>
      <c r="AN4" s="85">
        <v>81796</v>
      </c>
      <c r="AO4" s="85">
        <v>85613</v>
      </c>
      <c r="AP4" s="85">
        <v>15352</v>
      </c>
      <c r="AQ4" s="135">
        <v>953.8365952159055</v>
      </c>
      <c r="AR4" s="85">
        <v>16095</v>
      </c>
      <c r="AS4" s="85">
        <v>1537</v>
      </c>
      <c r="AT4" s="135">
        <v>1544.7236180904522</v>
      </c>
      <c r="AU4" s="85">
        <v>995</v>
      </c>
      <c r="AV4" s="85">
        <v>4008</v>
      </c>
      <c r="AW4" s="135">
        <v>3138.6061080657792</v>
      </c>
      <c r="AX4" s="85">
        <v>1277</v>
      </c>
      <c r="AY4" s="135" t="s">
        <v>379</v>
      </c>
      <c r="AZ4" s="135" t="s">
        <v>379</v>
      </c>
      <c r="BA4" s="89">
        <v>0</v>
      </c>
      <c r="BB4" s="87">
        <v>287.59044121165715</v>
      </c>
      <c r="BC4" s="91">
        <v>22.690276483379932</v>
      </c>
      <c r="BD4" s="85">
        <v>5345</v>
      </c>
      <c r="BE4" s="92">
        <v>6.534549366717199</v>
      </c>
      <c r="BF4" s="85">
        <v>30085</v>
      </c>
      <c r="BG4" s="92">
        <v>36.780527165142551</v>
      </c>
      <c r="BH4" s="85">
        <v>10611</v>
      </c>
      <c r="BI4" s="92">
        <v>12.972516993496013</v>
      </c>
      <c r="BJ4" s="85">
        <v>6302</v>
      </c>
      <c r="BK4" s="92">
        <v>7.7045332290087529</v>
      </c>
      <c r="BL4" s="85">
        <v>8010</v>
      </c>
      <c r="BM4" s="92">
        <v>9.792654897550003</v>
      </c>
      <c r="BN4" s="85">
        <v>11211</v>
      </c>
      <c r="BO4" s="92">
        <v>13.706049195559686</v>
      </c>
      <c r="BP4" s="85">
        <v>10232</v>
      </c>
      <c r="BQ4" s="92">
        <v>12.509169152525795</v>
      </c>
      <c r="BR4" s="165">
        <v>122.99514462572198</v>
      </c>
      <c r="BS4" s="165">
        <v>244.17240030374853</v>
      </c>
      <c r="BT4" s="111">
        <v>633.56881515060866</v>
      </c>
      <c r="BU4" s="165">
        <v>145.01691327058933</v>
      </c>
      <c r="BV4" s="165">
        <v>146.78877971327978</v>
      </c>
      <c r="BW4" s="165">
        <v>58.724716386312906</v>
      </c>
      <c r="BX4" s="165">
        <v>235.45113560531101</v>
      </c>
      <c r="BY4" s="112">
        <v>37.531352831534619</v>
      </c>
      <c r="BZ4" s="165">
        <v>257.97915180523273</v>
      </c>
      <c r="CA4" s="110" t="s">
        <v>355</v>
      </c>
      <c r="CB4" s="112">
        <v>380.73936004970489</v>
      </c>
      <c r="CC4" s="110" t="s">
        <v>355</v>
      </c>
      <c r="CD4" s="110" t="s">
        <v>355</v>
      </c>
      <c r="CE4" s="110" t="s">
        <v>355</v>
      </c>
      <c r="CF4" s="110" t="s">
        <v>355</v>
      </c>
      <c r="CG4" s="110" t="s">
        <v>355</v>
      </c>
      <c r="CH4" s="110" t="s">
        <v>355</v>
      </c>
      <c r="CI4" s="110" t="s">
        <v>355</v>
      </c>
      <c r="CJ4" s="87">
        <v>17887</v>
      </c>
      <c r="CK4" s="77">
        <v>66.238049980432706</v>
      </c>
      <c r="CL4" s="137">
        <v>693.09099999999989</v>
      </c>
      <c r="CM4" s="139">
        <v>15.948892008192002</v>
      </c>
      <c r="CN4" s="137">
        <v>391</v>
      </c>
      <c r="CO4" s="115">
        <v>3</v>
      </c>
      <c r="CP4" s="115">
        <v>12</v>
      </c>
      <c r="CQ4" s="110">
        <v>3</v>
      </c>
      <c r="CR4" s="86">
        <v>9.3384265279583882</v>
      </c>
      <c r="CS4" s="85">
        <v>6786.9730300000001</v>
      </c>
      <c r="CT4" s="85">
        <v>7004.3333329999996</v>
      </c>
      <c r="CU4" s="84">
        <v>96.9</v>
      </c>
      <c r="CV4" s="84">
        <v>19.739999999999998</v>
      </c>
      <c r="CW4" s="84">
        <v>1.92</v>
      </c>
      <c r="CX4" s="115" t="s">
        <v>339</v>
      </c>
      <c r="CY4" s="114">
        <v>46000</v>
      </c>
      <c r="CZ4" s="129">
        <v>235000</v>
      </c>
      <c r="DA4" s="129">
        <v>0</v>
      </c>
      <c r="DB4" s="129">
        <v>15000</v>
      </c>
      <c r="DC4" s="129">
        <v>1000</v>
      </c>
      <c r="DD4" s="129">
        <v>311090</v>
      </c>
      <c r="DE4" s="87">
        <v>4</v>
      </c>
      <c r="DF4" s="87">
        <v>13438</v>
      </c>
      <c r="DG4" s="114">
        <v>0</v>
      </c>
      <c r="DH4" s="162">
        <v>10</v>
      </c>
      <c r="DI4" s="114">
        <v>4345.7</v>
      </c>
      <c r="DJ4" s="114">
        <v>20</v>
      </c>
      <c r="DK4" s="114">
        <v>80</v>
      </c>
      <c r="DL4" s="114">
        <v>0</v>
      </c>
      <c r="DM4" s="114">
        <v>0</v>
      </c>
      <c r="DN4" s="114">
        <v>0</v>
      </c>
      <c r="DO4" s="114">
        <v>50</v>
      </c>
      <c r="DP4" s="114">
        <v>50</v>
      </c>
      <c r="DQ4" s="88">
        <v>306</v>
      </c>
      <c r="DR4" s="147">
        <v>142.01633986928104</v>
      </c>
      <c r="DT4" s="55"/>
      <c r="DU4" s="55"/>
    </row>
    <row r="5" spans="1:125" s="32" customFormat="1" ht="15" customHeight="1" thickBot="1">
      <c r="A5" s="100" t="s">
        <v>232</v>
      </c>
      <c r="B5" s="184">
        <v>2017</v>
      </c>
      <c r="C5" s="109">
        <v>9</v>
      </c>
      <c r="D5" s="83" t="s">
        <v>348</v>
      </c>
      <c r="E5" s="83" t="s">
        <v>416</v>
      </c>
      <c r="F5" s="132">
        <v>21690.7</v>
      </c>
      <c r="G5" s="85">
        <v>2341</v>
      </c>
      <c r="H5" s="86">
        <v>-8.5360648740928635E-2</v>
      </c>
      <c r="I5" s="132">
        <v>0.10792643851973426</v>
      </c>
      <c r="J5" s="85">
        <v>1200</v>
      </c>
      <c r="K5" s="173">
        <v>51.26014523707817</v>
      </c>
      <c r="L5" s="85">
        <v>1141</v>
      </c>
      <c r="M5" s="173">
        <v>48.73985476292183</v>
      </c>
      <c r="N5" s="161">
        <v>26.740709098675779</v>
      </c>
      <c r="O5" s="161">
        <v>48.697137975224265</v>
      </c>
      <c r="P5" s="161">
        <v>24.562152926099955</v>
      </c>
      <c r="Q5" s="161">
        <v>39.427595044852623</v>
      </c>
      <c r="R5" s="159">
        <v>36.010252029047422</v>
      </c>
      <c r="S5" s="160">
        <v>24.562152926099955</v>
      </c>
      <c r="T5" s="84">
        <v>8.8000000000000007</v>
      </c>
      <c r="U5" s="84">
        <v>6.7</v>
      </c>
      <c r="V5" s="89">
        <v>30</v>
      </c>
      <c r="W5" s="90">
        <v>4.4000000000000004</v>
      </c>
      <c r="X5" s="148">
        <v>42262</v>
      </c>
      <c r="Y5" s="89">
        <v>2.5</v>
      </c>
      <c r="Z5" s="89" t="s">
        <v>340</v>
      </c>
      <c r="AA5" s="85">
        <v>277</v>
      </c>
      <c r="AB5" s="110" t="s">
        <v>355</v>
      </c>
      <c r="AC5" s="110" t="s">
        <v>355</v>
      </c>
      <c r="AD5" s="110" t="s">
        <v>355</v>
      </c>
      <c r="AE5" s="110" t="s">
        <v>355</v>
      </c>
      <c r="AF5" s="84">
        <v>-5.95</v>
      </c>
      <c r="AG5" s="84">
        <v>4.6399999999999997</v>
      </c>
      <c r="AH5" s="84">
        <v>39.82</v>
      </c>
      <c r="AI5" s="86">
        <v>60.181327535831578</v>
      </c>
      <c r="AJ5" s="84">
        <v>4.5999999999999996</v>
      </c>
      <c r="AK5" s="84">
        <v>7.23</v>
      </c>
      <c r="AL5" s="84">
        <v>3.3306516492357199</v>
      </c>
      <c r="AM5" s="84">
        <v>11.03</v>
      </c>
      <c r="AN5" s="85">
        <v>13170</v>
      </c>
      <c r="AO5" s="85">
        <v>12430</v>
      </c>
      <c r="AP5" s="85">
        <v>237</v>
      </c>
      <c r="AQ5" s="135">
        <v>261.58940397350995</v>
      </c>
      <c r="AR5" s="85">
        <v>906</v>
      </c>
      <c r="AS5" s="85">
        <v>905</v>
      </c>
      <c r="AT5" s="135">
        <v>1917.3728813559321</v>
      </c>
      <c r="AU5" s="85">
        <v>472</v>
      </c>
      <c r="AV5" s="85">
        <v>140</v>
      </c>
      <c r="AW5" s="135">
        <v>823.52941176470586</v>
      </c>
      <c r="AX5" s="85">
        <v>170</v>
      </c>
      <c r="AY5" s="135" t="s">
        <v>379</v>
      </c>
      <c r="AZ5" s="135" t="s">
        <v>379</v>
      </c>
      <c r="BA5" s="89">
        <v>0</v>
      </c>
      <c r="BB5" s="87">
        <v>196.58284711388455</v>
      </c>
      <c r="BC5" s="91">
        <v>15.783664459161148</v>
      </c>
      <c r="BD5" s="85">
        <v>3566</v>
      </c>
      <c r="BE5" s="92">
        <v>27.076689445709945</v>
      </c>
      <c r="BF5" s="85">
        <v>1374</v>
      </c>
      <c r="BG5" s="92">
        <v>10.432801822323462</v>
      </c>
      <c r="BH5" s="85">
        <v>412</v>
      </c>
      <c r="BI5" s="92">
        <v>3.1283219438116934</v>
      </c>
      <c r="BJ5" s="85">
        <v>1606</v>
      </c>
      <c r="BK5" s="92">
        <v>12.194381169324222</v>
      </c>
      <c r="BL5" s="85">
        <v>891</v>
      </c>
      <c r="BM5" s="92">
        <v>6.7653758542141231</v>
      </c>
      <c r="BN5" s="85">
        <v>4179</v>
      </c>
      <c r="BO5" s="92">
        <v>31.731207289293849</v>
      </c>
      <c r="BP5" s="85">
        <v>1142</v>
      </c>
      <c r="BQ5" s="92">
        <v>8.6712224753227023</v>
      </c>
      <c r="BR5" s="165">
        <v>1523.2806492951729</v>
      </c>
      <c r="BS5" s="165">
        <v>175.99316531396838</v>
      </c>
      <c r="BT5" s="111">
        <v>466.89448953438699</v>
      </c>
      <c r="BU5" s="165">
        <v>686.03161042289616</v>
      </c>
      <c r="BV5" s="165">
        <v>351.13199487398549</v>
      </c>
      <c r="BW5" s="165">
        <v>120.03417343015805</v>
      </c>
      <c r="BX5" s="165">
        <v>487.82571550619394</v>
      </c>
      <c r="BY5" s="112">
        <v>29.474583511319949</v>
      </c>
      <c r="BZ5" s="165">
        <v>1785.1345578812472</v>
      </c>
      <c r="CA5" s="110" t="s">
        <v>355</v>
      </c>
      <c r="CB5" s="112">
        <v>225.16556291390728</v>
      </c>
      <c r="CC5" s="110" t="s">
        <v>355</v>
      </c>
      <c r="CD5" s="110" t="s">
        <v>355</v>
      </c>
      <c r="CE5" s="110" t="s">
        <v>355</v>
      </c>
      <c r="CF5" s="110" t="s">
        <v>355</v>
      </c>
      <c r="CG5" s="110" t="s">
        <v>355</v>
      </c>
      <c r="CH5" s="110" t="s">
        <v>355</v>
      </c>
      <c r="CI5" s="110" t="s">
        <v>355</v>
      </c>
      <c r="CJ5" s="87">
        <v>355</v>
      </c>
      <c r="CK5" s="77">
        <v>76.901408450704224</v>
      </c>
      <c r="CL5" s="137">
        <v>1586.95</v>
      </c>
      <c r="CM5" s="139">
        <v>677.89406236651007</v>
      </c>
      <c r="CN5" s="141">
        <v>58.18</v>
      </c>
      <c r="CO5" s="113">
        <v>1</v>
      </c>
      <c r="CP5" s="113">
        <v>4</v>
      </c>
      <c r="CQ5" s="110">
        <v>1</v>
      </c>
      <c r="CR5" s="86">
        <v>17.210526315789473</v>
      </c>
      <c r="CS5" s="85">
        <v>2877</v>
      </c>
      <c r="CT5" s="85">
        <v>2646</v>
      </c>
      <c r="CU5" s="84">
        <v>108.73</v>
      </c>
      <c r="CV5" s="84">
        <v>76.489999999999995</v>
      </c>
      <c r="CW5" s="84">
        <v>2.2400000000000002</v>
      </c>
      <c r="CX5" s="115" t="s">
        <v>378</v>
      </c>
      <c r="CY5" s="114">
        <v>29000</v>
      </c>
      <c r="CZ5" s="129">
        <v>119000</v>
      </c>
      <c r="DA5" s="129">
        <v>0</v>
      </c>
      <c r="DB5" s="129">
        <v>10000</v>
      </c>
      <c r="DC5" s="129">
        <v>0</v>
      </c>
      <c r="DD5" s="129">
        <v>276253</v>
      </c>
      <c r="DE5" s="87">
        <v>2</v>
      </c>
      <c r="DF5" s="87">
        <v>3000</v>
      </c>
      <c r="DG5" s="114">
        <v>0</v>
      </c>
      <c r="DH5" s="163">
        <v>8</v>
      </c>
      <c r="DI5" s="114">
        <v>292.625</v>
      </c>
      <c r="DJ5" s="114">
        <v>13</v>
      </c>
      <c r="DK5" s="114">
        <v>87</v>
      </c>
      <c r="DL5" s="114">
        <v>0</v>
      </c>
      <c r="DM5" s="114">
        <v>13</v>
      </c>
      <c r="DN5" s="114">
        <v>0</v>
      </c>
      <c r="DO5" s="114">
        <v>50</v>
      </c>
      <c r="DP5" s="114">
        <v>50</v>
      </c>
      <c r="DQ5" s="88">
        <v>50</v>
      </c>
      <c r="DR5" s="147">
        <v>46.82</v>
      </c>
      <c r="DT5" s="55"/>
      <c r="DU5" s="55"/>
    </row>
    <row r="6" spans="1:125" s="32" customFormat="1" ht="15" customHeight="1" thickBot="1">
      <c r="A6" s="100" t="s">
        <v>50</v>
      </c>
      <c r="B6" s="184">
        <v>2017</v>
      </c>
      <c r="C6" s="109">
        <v>4</v>
      </c>
      <c r="D6" s="83" t="s">
        <v>347</v>
      </c>
      <c r="E6" s="83" t="s">
        <v>408</v>
      </c>
      <c r="F6" s="132">
        <v>3817.9</v>
      </c>
      <c r="G6" s="85">
        <v>42779</v>
      </c>
      <c r="H6" s="86">
        <v>6.2753086726455187</v>
      </c>
      <c r="I6" s="132">
        <v>11.204850834228241</v>
      </c>
      <c r="J6" s="85">
        <v>21487</v>
      </c>
      <c r="K6" s="173">
        <v>50.227915566048765</v>
      </c>
      <c r="L6" s="85">
        <v>21292</v>
      </c>
      <c r="M6" s="173">
        <v>49.772084433951235</v>
      </c>
      <c r="N6" s="161">
        <v>27.195586619603073</v>
      </c>
      <c r="O6" s="161">
        <v>51.319572687533601</v>
      </c>
      <c r="P6" s="161">
        <v>21.484840692863322</v>
      </c>
      <c r="Q6" s="161">
        <v>42.160873325697189</v>
      </c>
      <c r="R6" s="159">
        <v>36.354285981439496</v>
      </c>
      <c r="S6" s="160">
        <v>21.484840692863322</v>
      </c>
      <c r="T6" s="84">
        <v>5.4</v>
      </c>
      <c r="U6" s="84">
        <v>4.0999999999999996</v>
      </c>
      <c r="V6" s="89">
        <v>84</v>
      </c>
      <c r="W6" s="90">
        <v>4.8</v>
      </c>
      <c r="X6" s="148">
        <v>54554</v>
      </c>
      <c r="Y6" s="89">
        <v>2.5</v>
      </c>
      <c r="Z6" s="89" t="s">
        <v>341</v>
      </c>
      <c r="AA6" s="85">
        <v>3376</v>
      </c>
      <c r="AB6" s="110" t="s">
        <v>355</v>
      </c>
      <c r="AC6" s="110" t="s">
        <v>355</v>
      </c>
      <c r="AD6" s="110" t="s">
        <v>355</v>
      </c>
      <c r="AE6" s="110" t="s">
        <v>355</v>
      </c>
      <c r="AF6" s="84">
        <v>-6.92</v>
      </c>
      <c r="AG6" s="84">
        <v>1.1399999999999999</v>
      </c>
      <c r="AH6" s="84">
        <v>69.3</v>
      </c>
      <c r="AI6" s="86">
        <v>30.69639875114029</v>
      </c>
      <c r="AJ6" s="84">
        <v>6.17</v>
      </c>
      <c r="AK6" s="84">
        <v>3.66</v>
      </c>
      <c r="AL6" s="84">
        <v>5.7156174124176209</v>
      </c>
      <c r="AM6" s="84">
        <v>10.47</v>
      </c>
      <c r="AN6" s="85">
        <v>98640</v>
      </c>
      <c r="AO6" s="85">
        <v>92256</v>
      </c>
      <c r="AP6" s="85">
        <v>16801</v>
      </c>
      <c r="AQ6" s="135">
        <v>1020.0352134053792</v>
      </c>
      <c r="AR6" s="85">
        <v>16471</v>
      </c>
      <c r="AS6" s="85">
        <v>2015</v>
      </c>
      <c r="AT6" s="135">
        <v>1389.655172413793</v>
      </c>
      <c r="AU6" s="85">
        <v>1450</v>
      </c>
      <c r="AV6" s="85">
        <v>5207</v>
      </c>
      <c r="AW6" s="135">
        <v>3923.8884702336095</v>
      </c>
      <c r="AX6" s="85">
        <v>1327</v>
      </c>
      <c r="AY6" s="85">
        <v>10</v>
      </c>
      <c r="AZ6" s="135">
        <v>454.54545454545456</v>
      </c>
      <c r="BA6" s="89">
        <v>22</v>
      </c>
      <c r="BB6" s="87">
        <v>135.97510972412931</v>
      </c>
      <c r="BC6" s="91">
        <v>16.987432457045717</v>
      </c>
      <c r="BD6" s="85">
        <v>15872</v>
      </c>
      <c r="BE6" s="92">
        <v>16.090835360908354</v>
      </c>
      <c r="BF6" s="85">
        <v>23506</v>
      </c>
      <c r="BG6" s="92">
        <v>23.830089213300891</v>
      </c>
      <c r="BH6" s="85">
        <v>9840</v>
      </c>
      <c r="BI6" s="92">
        <v>9.9756690997566917</v>
      </c>
      <c r="BJ6" s="85">
        <v>5636</v>
      </c>
      <c r="BK6" s="92">
        <v>5.7137064071370638</v>
      </c>
      <c r="BL6" s="85">
        <v>17565</v>
      </c>
      <c r="BM6" s="92">
        <v>17.807177615571774</v>
      </c>
      <c r="BN6" s="85">
        <v>15959</v>
      </c>
      <c r="BO6" s="92">
        <v>16.179034874290348</v>
      </c>
      <c r="BP6" s="85">
        <v>10262</v>
      </c>
      <c r="BQ6" s="92">
        <v>10.403487429034875</v>
      </c>
      <c r="BR6" s="165">
        <v>371.02316557189278</v>
      </c>
      <c r="BS6" s="165">
        <v>230.01940204305851</v>
      </c>
      <c r="BT6" s="111">
        <v>506.4400757380958</v>
      </c>
      <c r="BU6" s="165">
        <v>131.74688515393066</v>
      </c>
      <c r="BV6" s="165">
        <v>373.99191191939968</v>
      </c>
      <c r="BW6" s="165">
        <v>43.035134061104749</v>
      </c>
      <c r="BX6" s="165">
        <v>239.88405526075877</v>
      </c>
      <c r="BY6" s="112">
        <v>36.606746300755042</v>
      </c>
      <c r="BZ6" s="165">
        <v>373.05687369971247</v>
      </c>
      <c r="CA6" s="110" t="s">
        <v>355</v>
      </c>
      <c r="CB6" s="112">
        <v>323.7811911845061</v>
      </c>
      <c r="CC6" s="110" t="s">
        <v>355</v>
      </c>
      <c r="CD6" s="110" t="s">
        <v>355</v>
      </c>
      <c r="CE6" s="110" t="s">
        <v>355</v>
      </c>
      <c r="CF6" s="110" t="s">
        <v>355</v>
      </c>
      <c r="CG6" s="110" t="s">
        <v>355</v>
      </c>
      <c r="CH6" s="110" t="s">
        <v>355</v>
      </c>
      <c r="CI6" s="110" t="s">
        <v>355</v>
      </c>
      <c r="CJ6" s="87">
        <v>31123</v>
      </c>
      <c r="CK6" s="77">
        <v>37.612055393117636</v>
      </c>
      <c r="CL6" s="137">
        <v>1352.48</v>
      </c>
      <c r="CM6" s="139">
        <v>31.615512284064611</v>
      </c>
      <c r="CN6" s="137">
        <v>384.3</v>
      </c>
      <c r="CO6" s="115">
        <v>1</v>
      </c>
      <c r="CP6" s="115">
        <v>5</v>
      </c>
      <c r="CQ6" s="110">
        <v>1</v>
      </c>
      <c r="CR6" s="86">
        <v>5.7331468531468532</v>
      </c>
      <c r="CS6" s="85">
        <v>15995</v>
      </c>
      <c r="CT6" s="85">
        <v>19628</v>
      </c>
      <c r="CU6" s="84">
        <v>81.489999999999995</v>
      </c>
      <c r="CV6" s="84">
        <v>44.18</v>
      </c>
      <c r="CW6" s="84">
        <v>8.86</v>
      </c>
      <c r="CX6" s="115" t="s">
        <v>339</v>
      </c>
      <c r="CY6" s="114">
        <v>40000</v>
      </c>
      <c r="CZ6" s="129">
        <v>206000</v>
      </c>
      <c r="DA6" s="129">
        <v>0</v>
      </c>
      <c r="DB6" s="129">
        <v>13574</v>
      </c>
      <c r="DC6" s="129">
        <v>0</v>
      </c>
      <c r="DD6" s="129">
        <v>341282</v>
      </c>
      <c r="DE6" s="87">
        <v>16</v>
      </c>
      <c r="DF6" s="87">
        <v>2000</v>
      </c>
      <c r="DG6" s="114">
        <v>0</v>
      </c>
      <c r="DH6" s="162">
        <v>9</v>
      </c>
      <c r="DI6" s="114">
        <v>4753.2222222222226</v>
      </c>
      <c r="DJ6" s="114">
        <v>22</v>
      </c>
      <c r="DK6" s="114">
        <v>78</v>
      </c>
      <c r="DL6" s="114">
        <v>0</v>
      </c>
      <c r="DM6" s="114">
        <v>0</v>
      </c>
      <c r="DN6" s="114">
        <v>0</v>
      </c>
      <c r="DO6" s="114">
        <v>70</v>
      </c>
      <c r="DP6" s="114">
        <v>30</v>
      </c>
      <c r="DQ6" s="88">
        <v>378</v>
      </c>
      <c r="DR6" s="147">
        <v>113.17195767195767</v>
      </c>
      <c r="DT6" s="55"/>
      <c r="DU6" s="55"/>
    </row>
    <row r="7" spans="1:125" s="32" customFormat="1" ht="15" customHeight="1" thickBot="1">
      <c r="A7" s="100" t="s">
        <v>233</v>
      </c>
      <c r="B7" s="184">
        <v>2017</v>
      </c>
      <c r="C7" s="109">
        <v>3</v>
      </c>
      <c r="D7" s="83" t="s">
        <v>349</v>
      </c>
      <c r="E7" s="83"/>
      <c r="F7" s="132">
        <v>49.9</v>
      </c>
      <c r="G7" s="85">
        <v>170089</v>
      </c>
      <c r="H7" s="84">
        <v>15.280187605053408</v>
      </c>
      <c r="I7" s="132">
        <v>3408.5971943887776</v>
      </c>
      <c r="J7" s="85">
        <v>85037</v>
      </c>
      <c r="K7" s="173">
        <v>49.995590543774142</v>
      </c>
      <c r="L7" s="85">
        <v>85052</v>
      </c>
      <c r="M7" s="173">
        <v>50.004409456225865</v>
      </c>
      <c r="N7" s="161">
        <v>21.099542004480007</v>
      </c>
      <c r="O7" s="161">
        <v>60.207891162861792</v>
      </c>
      <c r="P7" s="161">
        <v>18.692566832658198</v>
      </c>
      <c r="Q7" s="161">
        <v>39.803867387073829</v>
      </c>
      <c r="R7" s="159">
        <v>41.503565780267976</v>
      </c>
      <c r="S7" s="160">
        <v>18.692566832658198</v>
      </c>
      <c r="T7" s="84">
        <v>2.4</v>
      </c>
      <c r="U7" s="84">
        <v>52.8</v>
      </c>
      <c r="V7" s="89">
        <v>101</v>
      </c>
      <c r="W7" s="84">
        <v>3.9</v>
      </c>
      <c r="X7" s="148">
        <v>59992</v>
      </c>
      <c r="Y7" s="84" t="s">
        <v>370</v>
      </c>
      <c r="Z7" s="89" t="s">
        <v>340</v>
      </c>
      <c r="AA7" s="85">
        <v>15172</v>
      </c>
      <c r="AB7" s="110" t="s">
        <v>355</v>
      </c>
      <c r="AC7" s="110" t="s">
        <v>355</v>
      </c>
      <c r="AD7" s="110" t="s">
        <v>355</v>
      </c>
      <c r="AE7" s="110" t="s">
        <v>355</v>
      </c>
      <c r="AF7" s="84" t="s">
        <v>403</v>
      </c>
      <c r="AG7" s="84" t="s">
        <v>403</v>
      </c>
      <c r="AH7" s="84" t="s">
        <v>403</v>
      </c>
      <c r="AI7" s="84" t="s">
        <v>403</v>
      </c>
      <c r="AJ7" s="84" t="s">
        <v>403</v>
      </c>
      <c r="AK7" s="84" t="s">
        <v>403</v>
      </c>
      <c r="AL7" s="84" t="s">
        <v>403</v>
      </c>
      <c r="AM7" s="84" t="s">
        <v>403</v>
      </c>
      <c r="AN7" s="84" t="s">
        <v>403</v>
      </c>
      <c r="AO7" s="84" t="s">
        <v>403</v>
      </c>
      <c r="AP7" s="84" t="s">
        <v>403</v>
      </c>
      <c r="AQ7" s="84" t="s">
        <v>403</v>
      </c>
      <c r="AR7" s="84" t="s">
        <v>403</v>
      </c>
      <c r="AS7" s="84" t="s">
        <v>403</v>
      </c>
      <c r="AT7" s="84" t="s">
        <v>403</v>
      </c>
      <c r="AU7" s="84" t="s">
        <v>403</v>
      </c>
      <c r="AV7" s="84" t="s">
        <v>403</v>
      </c>
      <c r="AW7" s="84" t="s">
        <v>403</v>
      </c>
      <c r="AX7" s="84" t="s">
        <v>403</v>
      </c>
      <c r="AY7" s="84" t="s">
        <v>403</v>
      </c>
      <c r="AZ7" s="84" t="s">
        <v>403</v>
      </c>
      <c r="BA7" s="84" t="s">
        <v>403</v>
      </c>
      <c r="BB7" s="84" t="s">
        <v>403</v>
      </c>
      <c r="BC7" s="84" t="s">
        <v>403</v>
      </c>
      <c r="BD7" s="84" t="s">
        <v>403</v>
      </c>
      <c r="BE7" s="84" t="s">
        <v>403</v>
      </c>
      <c r="BF7" s="84" t="s">
        <v>403</v>
      </c>
      <c r="BG7" s="84" t="s">
        <v>403</v>
      </c>
      <c r="BH7" s="84" t="s">
        <v>403</v>
      </c>
      <c r="BI7" s="84" t="s">
        <v>403</v>
      </c>
      <c r="BJ7" s="84" t="s">
        <v>403</v>
      </c>
      <c r="BK7" s="84" t="s">
        <v>403</v>
      </c>
      <c r="BL7" s="84" t="s">
        <v>403</v>
      </c>
      <c r="BM7" s="84" t="s">
        <v>403</v>
      </c>
      <c r="BN7" s="84" t="s">
        <v>403</v>
      </c>
      <c r="BO7" s="84" t="s">
        <v>403</v>
      </c>
      <c r="BP7" s="84" t="s">
        <v>403</v>
      </c>
      <c r="BQ7" s="84" t="s">
        <v>403</v>
      </c>
      <c r="BR7" s="84" t="s">
        <v>403</v>
      </c>
      <c r="BS7" s="84" t="s">
        <v>403</v>
      </c>
      <c r="BT7" s="84" t="s">
        <v>403</v>
      </c>
      <c r="BU7" s="84" t="s">
        <v>403</v>
      </c>
      <c r="BV7" s="84" t="s">
        <v>403</v>
      </c>
      <c r="BW7" s="84" t="s">
        <v>403</v>
      </c>
      <c r="BX7" s="84" t="s">
        <v>403</v>
      </c>
      <c r="BY7" s="84" t="s">
        <v>403</v>
      </c>
      <c r="BZ7" s="84" t="s">
        <v>403</v>
      </c>
      <c r="CA7" s="110" t="s">
        <v>355</v>
      </c>
      <c r="CB7" s="112" t="s">
        <v>403</v>
      </c>
      <c r="CC7" s="110" t="s">
        <v>355</v>
      </c>
      <c r="CD7" s="110" t="s">
        <v>355</v>
      </c>
      <c r="CE7" s="110" t="s">
        <v>355</v>
      </c>
      <c r="CF7" s="110" t="s">
        <v>355</v>
      </c>
      <c r="CG7" s="110" t="s">
        <v>355</v>
      </c>
      <c r="CH7" s="110" t="s">
        <v>355</v>
      </c>
      <c r="CI7" s="110" t="s">
        <v>355</v>
      </c>
      <c r="CJ7" s="87">
        <v>31708</v>
      </c>
      <c r="CK7" s="77">
        <v>57.099154787435346</v>
      </c>
      <c r="CL7" s="137">
        <v>364.79</v>
      </c>
      <c r="CM7" s="139">
        <v>2.1447007155077635</v>
      </c>
      <c r="CN7" s="141">
        <v>382.61</v>
      </c>
      <c r="CO7" s="113">
        <v>7</v>
      </c>
      <c r="CP7" s="113">
        <v>6</v>
      </c>
      <c r="CQ7" s="110">
        <v>8</v>
      </c>
      <c r="CR7" s="86">
        <v>4.1597319692974475</v>
      </c>
      <c r="CS7" s="89" t="s">
        <v>403</v>
      </c>
      <c r="CT7" s="89" t="s">
        <v>403</v>
      </c>
      <c r="CU7" s="84" t="s">
        <v>403</v>
      </c>
      <c r="CV7" s="84" t="s">
        <v>403</v>
      </c>
      <c r="CW7" s="84" t="s">
        <v>403</v>
      </c>
      <c r="CX7" s="115" t="s">
        <v>378</v>
      </c>
      <c r="CY7" s="114" t="s">
        <v>403</v>
      </c>
      <c r="CZ7" s="129" t="s">
        <v>403</v>
      </c>
      <c r="DA7" s="129" t="s">
        <v>403</v>
      </c>
      <c r="DB7" s="129" t="s">
        <v>403</v>
      </c>
      <c r="DC7" s="129" t="s">
        <v>403</v>
      </c>
      <c r="DD7" s="129" t="s">
        <v>403</v>
      </c>
      <c r="DE7" s="87">
        <v>1</v>
      </c>
      <c r="DF7" s="87">
        <v>0</v>
      </c>
      <c r="DG7" s="114">
        <v>0</v>
      </c>
      <c r="DH7" s="162">
        <v>15</v>
      </c>
      <c r="DI7" s="114">
        <v>11339.266666666666</v>
      </c>
      <c r="DJ7" s="114">
        <v>30</v>
      </c>
      <c r="DK7" s="114">
        <v>70</v>
      </c>
      <c r="DL7" s="114">
        <v>0</v>
      </c>
      <c r="DM7" s="114">
        <v>80</v>
      </c>
      <c r="DN7" s="114">
        <v>13</v>
      </c>
      <c r="DO7" s="114">
        <v>80</v>
      </c>
      <c r="DP7" s="114">
        <v>7</v>
      </c>
      <c r="DQ7" s="88" t="s">
        <v>403</v>
      </c>
      <c r="DR7" s="147" t="s">
        <v>403</v>
      </c>
      <c r="DT7" s="55"/>
      <c r="DU7" s="55"/>
    </row>
    <row r="8" spans="1:125" s="32" customFormat="1" ht="15" customHeight="1" thickBot="1">
      <c r="A8" s="100" t="s">
        <v>234</v>
      </c>
      <c r="B8" s="184">
        <v>2017</v>
      </c>
      <c r="C8" s="109">
        <v>4</v>
      </c>
      <c r="D8" s="83" t="s">
        <v>347</v>
      </c>
      <c r="E8" s="83" t="s">
        <v>409</v>
      </c>
      <c r="F8" s="132">
        <v>6278.9</v>
      </c>
      <c r="G8" s="85">
        <v>34102</v>
      </c>
      <c r="H8" s="86">
        <v>2.5346522745723021</v>
      </c>
      <c r="I8" s="132">
        <v>5.4312061029798215</v>
      </c>
      <c r="J8" s="85">
        <v>16731</v>
      </c>
      <c r="K8" s="173">
        <v>49.061638613571048</v>
      </c>
      <c r="L8" s="85">
        <v>17371</v>
      </c>
      <c r="M8" s="173">
        <v>50.938361386428944</v>
      </c>
      <c r="N8" s="161">
        <v>21.453287197231834</v>
      </c>
      <c r="O8" s="161">
        <v>43.513576916309894</v>
      </c>
      <c r="P8" s="161">
        <v>35.033135886458275</v>
      </c>
      <c r="Q8" s="161">
        <v>29.139053427951438</v>
      </c>
      <c r="R8" s="159">
        <v>35.827810685590286</v>
      </c>
      <c r="S8" s="160">
        <v>35.033135886458275</v>
      </c>
      <c r="T8" s="84">
        <v>3.1</v>
      </c>
      <c r="U8" s="84">
        <v>3</v>
      </c>
      <c r="V8" s="89">
        <v>57</v>
      </c>
      <c r="W8" s="90">
        <v>6.7</v>
      </c>
      <c r="X8" s="148">
        <v>44685</v>
      </c>
      <c r="Y8" s="89">
        <v>2.2000000000000002</v>
      </c>
      <c r="Z8" s="89" t="s">
        <v>340</v>
      </c>
      <c r="AA8" s="85">
        <v>2942</v>
      </c>
      <c r="AB8" s="110" t="s">
        <v>355</v>
      </c>
      <c r="AC8" s="110" t="s">
        <v>355</v>
      </c>
      <c r="AD8" s="110" t="s">
        <v>355</v>
      </c>
      <c r="AE8" s="110" t="s">
        <v>355</v>
      </c>
      <c r="AF8" s="84">
        <v>1.1399999999999999</v>
      </c>
      <c r="AG8" s="84">
        <v>2</v>
      </c>
      <c r="AH8" s="84">
        <v>69.680000000000007</v>
      </c>
      <c r="AI8" s="86">
        <v>30.321321880181852</v>
      </c>
      <c r="AJ8" s="84">
        <v>3.99</v>
      </c>
      <c r="AK8" s="84">
        <v>28.7</v>
      </c>
      <c r="AL8" s="84">
        <v>0.89955992751747349</v>
      </c>
      <c r="AM8" s="84">
        <v>12.83</v>
      </c>
      <c r="AN8" s="85">
        <v>91653</v>
      </c>
      <c r="AO8" s="85">
        <v>92712</v>
      </c>
      <c r="AP8" s="85">
        <v>18298</v>
      </c>
      <c r="AQ8" s="135">
        <v>1016.1039537983119</v>
      </c>
      <c r="AR8" s="85">
        <v>18008</v>
      </c>
      <c r="AS8" s="85">
        <v>1684</v>
      </c>
      <c r="AT8" s="135">
        <v>2128.9506953223768</v>
      </c>
      <c r="AU8" s="85">
        <v>791</v>
      </c>
      <c r="AV8" s="85">
        <v>2202</v>
      </c>
      <c r="AW8" s="135">
        <v>2587.5440658049351</v>
      </c>
      <c r="AX8" s="85">
        <v>851</v>
      </c>
      <c r="AY8" s="135" t="s">
        <v>379</v>
      </c>
      <c r="AZ8" s="135" t="s">
        <v>379</v>
      </c>
      <c r="BA8" s="135" t="s">
        <v>379</v>
      </c>
      <c r="BB8" s="87">
        <v>149.47162630724847</v>
      </c>
      <c r="BC8" s="91">
        <v>0</v>
      </c>
      <c r="BD8" s="85">
        <v>26186</v>
      </c>
      <c r="BE8" s="92">
        <v>28.570493377266676</v>
      </c>
      <c r="BF8" s="85">
        <v>27916</v>
      </c>
      <c r="BG8" s="92">
        <v>30.458026927357235</v>
      </c>
      <c r="BH8" s="85">
        <v>10627</v>
      </c>
      <c r="BI8" s="92">
        <v>11.594693084862636</v>
      </c>
      <c r="BJ8" s="85">
        <v>9249</v>
      </c>
      <c r="BK8" s="92">
        <v>10.09121260392345</v>
      </c>
      <c r="BL8" s="85">
        <v>6298</v>
      </c>
      <c r="BM8" s="92">
        <v>6.8714949702140666</v>
      </c>
      <c r="BN8" s="85">
        <v>10303</v>
      </c>
      <c r="BO8" s="92">
        <v>11.241189691666484</v>
      </c>
      <c r="BP8" s="85">
        <v>1075</v>
      </c>
      <c r="BQ8" s="92">
        <v>1.1728893447094508</v>
      </c>
      <c r="BR8" s="165">
        <v>767.87285203213889</v>
      </c>
      <c r="BS8" s="165">
        <v>311.62395167438859</v>
      </c>
      <c r="BT8" s="111">
        <v>737.61069731980524</v>
      </c>
      <c r="BU8" s="165">
        <v>271.215764471292</v>
      </c>
      <c r="BV8" s="165">
        <v>148.525013195707</v>
      </c>
      <c r="BW8" s="165">
        <v>80.992317166148609</v>
      </c>
      <c r="BX8" s="165">
        <v>31.523077825347485</v>
      </c>
      <c r="BY8" s="112">
        <v>36.15623717084042</v>
      </c>
      <c r="BZ8" s="165">
        <v>302.1230426367955</v>
      </c>
      <c r="CA8" s="110" t="s">
        <v>355</v>
      </c>
      <c r="CB8" s="112">
        <v>385.05108840515328</v>
      </c>
      <c r="CC8" s="110" t="s">
        <v>355</v>
      </c>
      <c r="CD8" s="110" t="s">
        <v>355</v>
      </c>
      <c r="CE8" s="110" t="s">
        <v>355</v>
      </c>
      <c r="CF8" s="110" t="s">
        <v>355</v>
      </c>
      <c r="CG8" s="110" t="s">
        <v>355</v>
      </c>
      <c r="CH8" s="110" t="s">
        <v>355</v>
      </c>
      <c r="CI8" s="110" t="s">
        <v>355</v>
      </c>
      <c r="CJ8" s="87">
        <v>21374</v>
      </c>
      <c r="CK8" s="77">
        <v>67.984467109572378</v>
      </c>
      <c r="CL8" s="137">
        <v>1413.6399999999996</v>
      </c>
      <c r="CM8" s="139">
        <v>41.453287197231823</v>
      </c>
      <c r="CN8" s="137">
        <v>1016</v>
      </c>
      <c r="CO8" s="115">
        <v>8</v>
      </c>
      <c r="CP8" s="115">
        <v>21</v>
      </c>
      <c r="CQ8" s="110">
        <v>4</v>
      </c>
      <c r="CR8" s="86">
        <v>6.9759202229065842</v>
      </c>
      <c r="CS8" s="85">
        <v>9283</v>
      </c>
      <c r="CT8" s="85">
        <v>11518</v>
      </c>
      <c r="CU8" s="84">
        <v>80.599999999999994</v>
      </c>
      <c r="CV8" s="84">
        <v>0</v>
      </c>
      <c r="CW8" s="84">
        <v>0.15</v>
      </c>
      <c r="CX8" s="115" t="s">
        <v>378</v>
      </c>
      <c r="CY8" s="114">
        <v>117000</v>
      </c>
      <c r="CZ8" s="129">
        <v>229000</v>
      </c>
      <c r="DA8" s="129">
        <v>0</v>
      </c>
      <c r="DB8" s="129">
        <v>0</v>
      </c>
      <c r="DC8" s="129">
        <v>0</v>
      </c>
      <c r="DD8" s="129">
        <v>281142</v>
      </c>
      <c r="DE8" s="87">
        <v>10</v>
      </c>
      <c r="DF8" s="87">
        <v>5538</v>
      </c>
      <c r="DG8" s="114">
        <v>0</v>
      </c>
      <c r="DH8" s="162">
        <v>9</v>
      </c>
      <c r="DI8" s="114">
        <v>3789.1111111111113</v>
      </c>
      <c r="DJ8" s="114">
        <v>67</v>
      </c>
      <c r="DK8" s="114">
        <v>33</v>
      </c>
      <c r="DL8" s="114">
        <v>0</v>
      </c>
      <c r="DM8" s="114">
        <v>0</v>
      </c>
      <c r="DN8" s="114">
        <v>0</v>
      </c>
      <c r="DO8" s="114">
        <v>56</v>
      </c>
      <c r="DP8" s="114">
        <v>44.444444444444443</v>
      </c>
      <c r="DQ8" s="88">
        <v>326</v>
      </c>
      <c r="DR8" s="147">
        <v>104.60736196319019</v>
      </c>
      <c r="DT8" s="55"/>
      <c r="DU8" s="55"/>
    </row>
    <row r="9" spans="1:125" s="32" customFormat="1" ht="15" customHeight="1" thickBot="1">
      <c r="A9" s="100" t="s">
        <v>235</v>
      </c>
      <c r="B9" s="184">
        <v>2017</v>
      </c>
      <c r="C9" s="109">
        <v>11</v>
      </c>
      <c r="D9" s="83" t="s">
        <v>350</v>
      </c>
      <c r="E9" s="83" t="s">
        <v>410</v>
      </c>
      <c r="F9" s="132">
        <v>1600.4</v>
      </c>
      <c r="G9" s="85">
        <v>12946</v>
      </c>
      <c r="H9" s="86">
        <v>0.99071690459473505</v>
      </c>
      <c r="I9" s="132">
        <v>8.0892276930767295</v>
      </c>
      <c r="J9" s="85">
        <v>6281</v>
      </c>
      <c r="K9" s="173">
        <v>48.516916422060866</v>
      </c>
      <c r="L9" s="85">
        <v>6665</v>
      </c>
      <c r="M9" s="173">
        <v>51.483083577939141</v>
      </c>
      <c r="N9" s="161">
        <v>23.582573767959214</v>
      </c>
      <c r="O9" s="161">
        <v>44.523404912714355</v>
      </c>
      <c r="P9" s="161">
        <v>31.894021319326431</v>
      </c>
      <c r="Q9" s="161">
        <v>30.658118337710487</v>
      </c>
      <c r="R9" s="159">
        <v>37.447860342963082</v>
      </c>
      <c r="S9" s="160">
        <v>31.894021319326431</v>
      </c>
      <c r="T9" s="84">
        <v>3.5</v>
      </c>
      <c r="U9" s="84">
        <v>3.2</v>
      </c>
      <c r="V9" s="89">
        <v>63</v>
      </c>
      <c r="W9" s="90">
        <v>8.8000000000000007</v>
      </c>
      <c r="X9" s="148">
        <v>45694</v>
      </c>
      <c r="Y9" s="89">
        <v>2.2999999999999998</v>
      </c>
      <c r="Z9" s="89" t="s">
        <v>340</v>
      </c>
      <c r="AA9" s="85">
        <v>1161</v>
      </c>
      <c r="AB9" s="110" t="s">
        <v>355</v>
      </c>
      <c r="AC9" s="110" t="s">
        <v>355</v>
      </c>
      <c r="AD9" s="110" t="s">
        <v>355</v>
      </c>
      <c r="AE9" s="110" t="s">
        <v>355</v>
      </c>
      <c r="AF9" s="84">
        <v>0.51</v>
      </c>
      <c r="AG9" s="84">
        <v>2.33</v>
      </c>
      <c r="AH9" s="84">
        <v>63.41</v>
      </c>
      <c r="AI9" s="86">
        <v>36.585751922711786</v>
      </c>
      <c r="AJ9" s="84">
        <v>5.25</v>
      </c>
      <c r="AK9" s="84">
        <v>6.34</v>
      </c>
      <c r="AL9" s="84">
        <v>3.9056815926979302</v>
      </c>
      <c r="AM9" s="84">
        <v>6.51</v>
      </c>
      <c r="AN9" s="85">
        <v>30084</v>
      </c>
      <c r="AO9" s="85">
        <v>30238</v>
      </c>
      <c r="AP9" s="85">
        <v>5562</v>
      </c>
      <c r="AQ9" s="135">
        <v>1057.0125427594071</v>
      </c>
      <c r="AR9" s="85">
        <v>5262</v>
      </c>
      <c r="AS9" s="85">
        <v>996</v>
      </c>
      <c r="AT9" s="135">
        <v>2515.151515151515</v>
      </c>
      <c r="AU9" s="85">
        <v>396</v>
      </c>
      <c r="AV9" s="85">
        <v>445</v>
      </c>
      <c r="AW9" s="135">
        <v>1072.2891566265059</v>
      </c>
      <c r="AX9" s="85">
        <v>415</v>
      </c>
      <c r="AY9" s="135" t="s">
        <v>379</v>
      </c>
      <c r="AZ9" s="135" t="s">
        <v>379</v>
      </c>
      <c r="BA9" s="135" t="s">
        <v>379</v>
      </c>
      <c r="BB9" s="87">
        <v>232.56994645152076</v>
      </c>
      <c r="BC9" s="91">
        <v>24.952489547700495</v>
      </c>
      <c r="BD9" s="85">
        <v>1923</v>
      </c>
      <c r="BE9" s="92">
        <v>6.3921021140805747</v>
      </c>
      <c r="BF9" s="85">
        <v>6434</v>
      </c>
      <c r="BG9" s="92">
        <v>21.386783672383991</v>
      </c>
      <c r="BH9" s="85">
        <v>4632</v>
      </c>
      <c r="BI9" s="92">
        <v>15.396888711607499</v>
      </c>
      <c r="BJ9" s="85">
        <v>1953</v>
      </c>
      <c r="BK9" s="92">
        <v>6.4918228958915041</v>
      </c>
      <c r="BL9" s="85">
        <v>2596</v>
      </c>
      <c r="BM9" s="92">
        <v>8.6291716527057574</v>
      </c>
      <c r="BN9" s="85">
        <v>8041</v>
      </c>
      <c r="BO9" s="92">
        <v>26.728493551389441</v>
      </c>
      <c r="BP9" s="85">
        <v>4505</v>
      </c>
      <c r="BQ9" s="92">
        <v>14.974737401941232</v>
      </c>
      <c r="BR9" s="165">
        <v>148.54008960296616</v>
      </c>
      <c r="BS9" s="165">
        <v>357.79391317781557</v>
      </c>
      <c r="BT9" s="111">
        <v>429.86250579329521</v>
      </c>
      <c r="BU9" s="165">
        <v>150.85740769349607</v>
      </c>
      <c r="BV9" s="165">
        <v>148.30835779391319</v>
      </c>
      <c r="BW9" s="165">
        <v>67.124980689015914</v>
      </c>
      <c r="BX9" s="165">
        <v>347.98393326123897</v>
      </c>
      <c r="BY9" s="112">
        <v>52.216900973273596</v>
      </c>
      <c r="BZ9" s="165">
        <v>621.11849219836245</v>
      </c>
      <c r="CA9" s="110" t="s">
        <v>355</v>
      </c>
      <c r="CB9" s="112">
        <v>479.85556822500951</v>
      </c>
      <c r="CC9" s="110" t="s">
        <v>355</v>
      </c>
      <c r="CD9" s="110" t="s">
        <v>355</v>
      </c>
      <c r="CE9" s="110" t="s">
        <v>355</v>
      </c>
      <c r="CF9" s="110" t="s">
        <v>355</v>
      </c>
      <c r="CG9" s="110" t="s">
        <v>355</v>
      </c>
      <c r="CH9" s="110" t="s">
        <v>355</v>
      </c>
      <c r="CI9" s="110" t="s">
        <v>355</v>
      </c>
      <c r="CJ9" s="87">
        <v>6644</v>
      </c>
      <c r="CK9" s="77">
        <v>63.260084286574347</v>
      </c>
      <c r="CL9" s="137">
        <v>598.5200000000001</v>
      </c>
      <c r="CM9" s="139">
        <v>46.2320407847984</v>
      </c>
      <c r="CN9" s="137">
        <v>69.25</v>
      </c>
      <c r="CO9" s="115">
        <v>3</v>
      </c>
      <c r="CP9" s="115">
        <v>13</v>
      </c>
      <c r="CQ9" s="110">
        <v>3</v>
      </c>
      <c r="CR9" s="86">
        <v>5.3519553072625694</v>
      </c>
      <c r="CS9" s="85">
        <v>3667</v>
      </c>
      <c r="CT9" s="85">
        <v>3667</v>
      </c>
      <c r="CU9" s="84">
        <v>100</v>
      </c>
      <c r="CV9" s="84">
        <v>165.94</v>
      </c>
      <c r="CW9" s="84">
        <v>6.44</v>
      </c>
      <c r="CX9" s="115" t="s">
        <v>339</v>
      </c>
      <c r="CY9" s="114">
        <v>0</v>
      </c>
      <c r="CZ9" s="129">
        <v>106000</v>
      </c>
      <c r="DA9" s="129">
        <v>0</v>
      </c>
      <c r="DB9" s="129">
        <v>9000</v>
      </c>
      <c r="DC9" s="129">
        <v>0</v>
      </c>
      <c r="DD9" s="129">
        <v>257827</v>
      </c>
      <c r="DE9" s="87">
        <v>2</v>
      </c>
      <c r="DF9" s="87">
        <v>2511</v>
      </c>
      <c r="DG9" s="114">
        <v>3</v>
      </c>
      <c r="DH9" s="162">
        <v>7</v>
      </c>
      <c r="DI9" s="114">
        <v>1849.4285714285713</v>
      </c>
      <c r="DJ9" s="114">
        <v>43</v>
      </c>
      <c r="DK9" s="114">
        <v>57</v>
      </c>
      <c r="DL9" s="114">
        <v>0</v>
      </c>
      <c r="DM9" s="114">
        <v>0</v>
      </c>
      <c r="DN9" s="114">
        <v>0</v>
      </c>
      <c r="DO9" s="114">
        <v>57</v>
      </c>
      <c r="DP9" s="114">
        <v>43</v>
      </c>
      <c r="DQ9" s="88">
        <v>127</v>
      </c>
      <c r="DR9" s="147">
        <v>101.93700787401575</v>
      </c>
      <c r="DT9" s="55"/>
      <c r="DU9" s="55"/>
    </row>
    <row r="10" spans="1:125" s="32" customFormat="1" ht="15" customHeight="1" thickBot="1">
      <c r="A10" s="100" t="s">
        <v>236</v>
      </c>
      <c r="B10" s="184">
        <v>2017</v>
      </c>
      <c r="C10" s="109">
        <v>10</v>
      </c>
      <c r="D10" s="83" t="s">
        <v>350</v>
      </c>
      <c r="E10" s="83" t="s">
        <v>405</v>
      </c>
      <c r="F10" s="132">
        <v>2065.8000000000002</v>
      </c>
      <c r="G10" s="85">
        <v>8664</v>
      </c>
      <c r="H10" s="86">
        <v>3.9222741993522936</v>
      </c>
      <c r="I10" s="132">
        <v>4.1940168457740343</v>
      </c>
      <c r="J10" s="85">
        <v>4352</v>
      </c>
      <c r="K10" s="173">
        <v>50.230840258541086</v>
      </c>
      <c r="L10" s="85">
        <v>4312</v>
      </c>
      <c r="M10" s="173">
        <v>49.769159741458914</v>
      </c>
      <c r="N10" s="161">
        <v>22.149122807017545</v>
      </c>
      <c r="O10" s="161">
        <v>41.828254847645432</v>
      </c>
      <c r="P10" s="161">
        <v>36.022622345337027</v>
      </c>
      <c r="Q10" s="161">
        <v>31.290397045244688</v>
      </c>
      <c r="R10" s="159">
        <v>32.686980609418285</v>
      </c>
      <c r="S10" s="160">
        <v>36.022622345337027</v>
      </c>
      <c r="T10" s="84">
        <v>2.2999999999999998</v>
      </c>
      <c r="U10" s="84">
        <v>3.1</v>
      </c>
      <c r="V10" s="89">
        <v>36</v>
      </c>
      <c r="W10" s="90">
        <v>6.6</v>
      </c>
      <c r="X10" s="148">
        <v>44545</v>
      </c>
      <c r="Y10" s="89">
        <v>2.2000000000000002</v>
      </c>
      <c r="Z10" s="89" t="s">
        <v>342</v>
      </c>
      <c r="AA10" s="85">
        <v>858</v>
      </c>
      <c r="AB10" s="110" t="s">
        <v>355</v>
      </c>
      <c r="AC10" s="110" t="s">
        <v>355</v>
      </c>
      <c r="AD10" s="110" t="s">
        <v>355</v>
      </c>
      <c r="AE10" s="110" t="s">
        <v>355</v>
      </c>
      <c r="AF10" s="84">
        <v>18.239999999999998</v>
      </c>
      <c r="AG10" s="84">
        <v>7.24</v>
      </c>
      <c r="AH10" s="84">
        <v>61.16</v>
      </c>
      <c r="AI10" s="86">
        <v>38.838141686584891</v>
      </c>
      <c r="AJ10" s="84">
        <v>3.3</v>
      </c>
      <c r="AK10" s="84">
        <v>48.7</v>
      </c>
      <c r="AL10" s="84">
        <v>0.88707531269404771</v>
      </c>
      <c r="AM10" s="84">
        <v>27.97</v>
      </c>
      <c r="AN10" s="85">
        <v>18433</v>
      </c>
      <c r="AO10" s="85">
        <v>22546</v>
      </c>
      <c r="AP10" s="85">
        <v>2500</v>
      </c>
      <c r="AQ10" s="135">
        <v>671.50147730325011</v>
      </c>
      <c r="AR10" s="85">
        <v>3723</v>
      </c>
      <c r="AS10" s="85">
        <v>1833</v>
      </c>
      <c r="AT10" s="135">
        <v>2036.6666666666667</v>
      </c>
      <c r="AU10" s="85">
        <v>900</v>
      </c>
      <c r="AV10" s="85">
        <v>510</v>
      </c>
      <c r="AW10" s="135">
        <v>1217.1837708830549</v>
      </c>
      <c r="AX10" s="85">
        <v>419</v>
      </c>
      <c r="AY10" s="135" t="s">
        <v>379</v>
      </c>
      <c r="AZ10" s="135" t="s">
        <v>379</v>
      </c>
      <c r="BA10" s="135" t="s">
        <v>379</v>
      </c>
      <c r="BB10" s="87">
        <v>115.06406566177989</v>
      </c>
      <c r="BC10" s="91">
        <v>28.793983346763362</v>
      </c>
      <c r="BD10" s="85">
        <v>876</v>
      </c>
      <c r="BE10" s="92">
        <v>4.7523463353767701</v>
      </c>
      <c r="BF10" s="85">
        <v>5257</v>
      </c>
      <c r="BG10" s="92">
        <v>28.519503065154883</v>
      </c>
      <c r="BH10" s="85">
        <v>2119</v>
      </c>
      <c r="BI10" s="92">
        <v>11.495687082949059</v>
      </c>
      <c r="BJ10" s="85">
        <v>1180</v>
      </c>
      <c r="BK10" s="92">
        <v>6.4015624152335482</v>
      </c>
      <c r="BL10" s="85">
        <v>2066</v>
      </c>
      <c r="BM10" s="92">
        <v>11.208159279552977</v>
      </c>
      <c r="BN10" s="85">
        <v>5754</v>
      </c>
      <c r="BO10" s="92">
        <v>31.215754353604947</v>
      </c>
      <c r="BP10" s="85">
        <v>1181</v>
      </c>
      <c r="BQ10" s="92">
        <v>6.4069874681278147</v>
      </c>
      <c r="BR10" s="165">
        <v>101.10803324099723</v>
      </c>
      <c r="BS10" s="165">
        <v>244.5752539242844</v>
      </c>
      <c r="BT10" s="111">
        <v>567.63619575253927</v>
      </c>
      <c r="BU10" s="165">
        <v>136.19575253924285</v>
      </c>
      <c r="BV10" s="165">
        <v>172.78393351800554</v>
      </c>
      <c r="BW10" s="165">
        <v>39.127423822714682</v>
      </c>
      <c r="BX10" s="165">
        <v>136.31117266851339</v>
      </c>
      <c r="BY10" s="112">
        <v>65.674053554939988</v>
      </c>
      <c r="BZ10" s="165">
        <v>664.12742382271472</v>
      </c>
      <c r="CA10" s="110" t="s">
        <v>355</v>
      </c>
      <c r="CB10" s="112">
        <v>228.31050228310502</v>
      </c>
      <c r="CC10" s="110" t="s">
        <v>355</v>
      </c>
      <c r="CD10" s="110" t="s">
        <v>355</v>
      </c>
      <c r="CE10" s="110" t="s">
        <v>355</v>
      </c>
      <c r="CF10" s="110" t="s">
        <v>355</v>
      </c>
      <c r="CG10" s="110" t="s">
        <v>355</v>
      </c>
      <c r="CH10" s="110" t="s">
        <v>355</v>
      </c>
      <c r="CI10" s="110" t="s">
        <v>355</v>
      </c>
      <c r="CJ10" s="87">
        <v>4033</v>
      </c>
      <c r="CK10" s="77">
        <v>53.136622861393498</v>
      </c>
      <c r="CL10" s="137">
        <v>1431.36</v>
      </c>
      <c r="CM10" s="139">
        <v>165.20775623268699</v>
      </c>
      <c r="CN10" s="137">
        <v>138</v>
      </c>
      <c r="CO10" s="115">
        <v>3</v>
      </c>
      <c r="CP10" s="115">
        <v>7</v>
      </c>
      <c r="CQ10" s="110">
        <v>4</v>
      </c>
      <c r="CR10" s="86">
        <v>3.6454682604154578</v>
      </c>
      <c r="CS10" s="85">
        <v>4556</v>
      </c>
      <c r="CT10" s="85">
        <v>4385</v>
      </c>
      <c r="CU10" s="84">
        <v>103.9</v>
      </c>
      <c r="CV10" s="84">
        <v>66.95</v>
      </c>
      <c r="CW10" s="84">
        <v>0</v>
      </c>
      <c r="CX10" s="115" t="s">
        <v>339</v>
      </c>
      <c r="CY10" s="114">
        <v>86000</v>
      </c>
      <c r="CZ10" s="129">
        <v>115000</v>
      </c>
      <c r="DA10" s="129">
        <v>0</v>
      </c>
      <c r="DB10" s="129">
        <v>11000</v>
      </c>
      <c r="DC10" s="129">
        <v>3000</v>
      </c>
      <c r="DD10" s="129">
        <v>230866</v>
      </c>
      <c r="DE10" s="87">
        <v>0</v>
      </c>
      <c r="DF10" s="87">
        <v>0</v>
      </c>
      <c r="DG10" s="114">
        <v>0</v>
      </c>
      <c r="DH10" s="162">
        <v>8</v>
      </c>
      <c r="DI10" s="114">
        <v>1083</v>
      </c>
      <c r="DJ10" s="114">
        <v>0</v>
      </c>
      <c r="DK10" s="114">
        <v>100</v>
      </c>
      <c r="DL10" s="114">
        <v>0</v>
      </c>
      <c r="DM10" s="114">
        <v>0</v>
      </c>
      <c r="DN10" s="114">
        <v>0</v>
      </c>
      <c r="DO10" s="114">
        <v>38</v>
      </c>
      <c r="DP10" s="114">
        <v>62</v>
      </c>
      <c r="DQ10" s="88">
        <v>90</v>
      </c>
      <c r="DR10" s="147">
        <v>96.266666666666666</v>
      </c>
      <c r="DT10" s="55"/>
      <c r="DU10" s="55"/>
    </row>
    <row r="11" spans="1:125" s="32" customFormat="1" ht="15" customHeight="1" thickBot="1">
      <c r="A11" s="100" t="s">
        <v>237</v>
      </c>
      <c r="B11" s="184">
        <v>2017</v>
      </c>
      <c r="C11" s="109">
        <v>3</v>
      </c>
      <c r="D11" s="83" t="s">
        <v>349</v>
      </c>
      <c r="E11" s="83"/>
      <c r="F11" s="132">
        <v>247</v>
      </c>
      <c r="G11" s="85">
        <v>357479</v>
      </c>
      <c r="H11" s="86">
        <v>12.557068999175058</v>
      </c>
      <c r="I11" s="132">
        <v>1447.2834008097166</v>
      </c>
      <c r="J11" s="85">
        <v>179045</v>
      </c>
      <c r="K11" s="173">
        <v>50.085459565456993</v>
      </c>
      <c r="L11" s="85">
        <v>178434</v>
      </c>
      <c r="M11" s="173">
        <v>49.914540434543007</v>
      </c>
      <c r="N11" s="161">
        <v>29.532364138872492</v>
      </c>
      <c r="O11" s="161">
        <v>55.768310865813099</v>
      </c>
      <c r="P11" s="161">
        <v>14.699324995314411</v>
      </c>
      <c r="Q11" s="161">
        <v>44.176021528537341</v>
      </c>
      <c r="R11" s="159">
        <v>41.124653476148247</v>
      </c>
      <c r="S11" s="160">
        <v>14.699324995314411</v>
      </c>
      <c r="T11" s="84">
        <v>2.8</v>
      </c>
      <c r="U11" s="84">
        <v>41</v>
      </c>
      <c r="V11" s="89">
        <v>95</v>
      </c>
      <c r="W11" s="90">
        <v>5.0999999999999996</v>
      </c>
      <c r="X11" s="148">
        <v>56407</v>
      </c>
      <c r="Y11" s="89">
        <v>3.2</v>
      </c>
      <c r="Z11" s="89" t="s">
        <v>340</v>
      </c>
      <c r="AA11" s="85">
        <v>21136</v>
      </c>
      <c r="AB11" s="110" t="s">
        <v>355</v>
      </c>
      <c r="AC11" s="110" t="s">
        <v>355</v>
      </c>
      <c r="AD11" s="110" t="s">
        <v>355</v>
      </c>
      <c r="AE11" s="110" t="s">
        <v>355</v>
      </c>
      <c r="AF11" s="84">
        <v>-6.7</v>
      </c>
      <c r="AG11" s="84">
        <v>3.05</v>
      </c>
      <c r="AH11" s="84">
        <v>46.27</v>
      </c>
      <c r="AI11" s="86">
        <v>53.726600875004806</v>
      </c>
      <c r="AJ11" s="84">
        <v>4.33</v>
      </c>
      <c r="AK11" s="84">
        <v>0</v>
      </c>
      <c r="AL11" s="84">
        <v>0</v>
      </c>
      <c r="AM11" s="84">
        <v>21.91</v>
      </c>
      <c r="AN11" s="85">
        <v>333613</v>
      </c>
      <c r="AO11" s="85">
        <v>312676</v>
      </c>
      <c r="AP11" s="85">
        <v>111370</v>
      </c>
      <c r="AQ11" s="135">
        <v>972.69773616545558</v>
      </c>
      <c r="AR11" s="85">
        <v>114496</v>
      </c>
      <c r="AS11" s="85">
        <v>320</v>
      </c>
      <c r="AT11" s="135">
        <v>2442.7480916030536</v>
      </c>
      <c r="AU11" s="85">
        <v>131</v>
      </c>
      <c r="AV11" s="85">
        <v>47275</v>
      </c>
      <c r="AW11" s="135">
        <v>9235.2021879273289</v>
      </c>
      <c r="AX11" s="85">
        <v>5119</v>
      </c>
      <c r="AY11" s="135" t="s">
        <v>379</v>
      </c>
      <c r="AZ11" s="135" t="s">
        <v>379</v>
      </c>
      <c r="BA11" s="135" t="s">
        <v>379</v>
      </c>
      <c r="BB11" s="87">
        <v>313.81284217280535</v>
      </c>
      <c r="BC11" s="91">
        <v>12.586465902738961</v>
      </c>
      <c r="BD11" s="85">
        <v>58774</v>
      </c>
      <c r="BE11" s="92">
        <v>17.599060968196888</v>
      </c>
      <c r="BF11" s="85">
        <v>12236</v>
      </c>
      <c r="BG11" s="92">
        <v>3.6639008746530282</v>
      </c>
      <c r="BH11" s="85">
        <v>66538</v>
      </c>
      <c r="BI11" s="92">
        <v>19.923883327693954</v>
      </c>
      <c r="BJ11" s="85">
        <v>46076</v>
      </c>
      <c r="BK11" s="92">
        <v>13.79682058683499</v>
      </c>
      <c r="BL11" s="85">
        <v>78336</v>
      </c>
      <c r="BM11" s="92">
        <v>23.456631163519091</v>
      </c>
      <c r="BN11" s="85">
        <v>52961</v>
      </c>
      <c r="BO11" s="92">
        <v>15.858438560191161</v>
      </c>
      <c r="BP11" s="85">
        <v>19040</v>
      </c>
      <c r="BQ11" s="92">
        <v>5.7012645189108913</v>
      </c>
      <c r="BR11" s="165">
        <v>164.41245499735649</v>
      </c>
      <c r="BS11" s="165">
        <v>186.13121330204012</v>
      </c>
      <c r="BT11" s="111">
        <v>0</v>
      </c>
      <c r="BU11" s="165">
        <v>128.89148733212301</v>
      </c>
      <c r="BV11" s="165">
        <v>191.02660575865994</v>
      </c>
      <c r="BW11" s="165">
        <v>34.228584056685847</v>
      </c>
      <c r="BX11" s="165">
        <v>53.261869928023742</v>
      </c>
      <c r="BY11" s="112">
        <v>28.107944802352026</v>
      </c>
      <c r="BZ11" s="165">
        <v>148.15135994002446</v>
      </c>
      <c r="CA11" s="110" t="s">
        <v>355</v>
      </c>
      <c r="CB11" s="112">
        <v>426.53018446059252</v>
      </c>
      <c r="CC11" s="110" t="s">
        <v>355</v>
      </c>
      <c r="CD11" s="110" t="s">
        <v>355</v>
      </c>
      <c r="CE11" s="110" t="s">
        <v>355</v>
      </c>
      <c r="CF11" s="110" t="s">
        <v>355</v>
      </c>
      <c r="CG11" s="110" t="s">
        <v>355</v>
      </c>
      <c r="CH11" s="110" t="s">
        <v>355</v>
      </c>
      <c r="CI11" s="110" t="s">
        <v>355</v>
      </c>
      <c r="CJ11" s="87">
        <v>109105</v>
      </c>
      <c r="CK11" s="77">
        <v>58.827734750928009</v>
      </c>
      <c r="CL11" s="137">
        <v>1438.6699999999998</v>
      </c>
      <c r="CM11" s="139">
        <v>4.0244881517515712</v>
      </c>
      <c r="CN11" s="137">
        <v>3413.0315700000001</v>
      </c>
      <c r="CO11" s="115">
        <v>5</v>
      </c>
      <c r="CP11" s="115">
        <v>38</v>
      </c>
      <c r="CQ11" s="110">
        <v>5</v>
      </c>
      <c r="CR11" s="86">
        <v>2.9035809661518974</v>
      </c>
      <c r="CS11" s="85">
        <v>62724</v>
      </c>
      <c r="CT11" s="85">
        <v>62992</v>
      </c>
      <c r="CU11" s="84">
        <v>99.57</v>
      </c>
      <c r="CV11" s="84">
        <v>51.34</v>
      </c>
      <c r="CW11" s="84">
        <v>2.2999999999999998</v>
      </c>
      <c r="CX11" s="115" t="s">
        <v>339</v>
      </c>
      <c r="CY11" s="114">
        <v>390000</v>
      </c>
      <c r="CZ11" s="129">
        <v>518000</v>
      </c>
      <c r="DA11" s="129">
        <v>7000</v>
      </c>
      <c r="DB11" s="129">
        <v>31000</v>
      </c>
      <c r="DC11" s="129">
        <v>51000</v>
      </c>
      <c r="DD11" s="129">
        <v>368356</v>
      </c>
      <c r="DE11" s="87">
        <v>1</v>
      </c>
      <c r="DF11" s="87">
        <v>8000</v>
      </c>
      <c r="DG11" s="114">
        <v>2</v>
      </c>
      <c r="DH11" s="162">
        <v>15</v>
      </c>
      <c r="DI11" s="114">
        <v>23831.933333333334</v>
      </c>
      <c r="DJ11" s="114">
        <v>27</v>
      </c>
      <c r="DK11" s="114">
        <v>73</v>
      </c>
      <c r="DL11" s="114">
        <v>0</v>
      </c>
      <c r="DM11" s="114">
        <v>53</v>
      </c>
      <c r="DN11" s="114">
        <v>0</v>
      </c>
      <c r="DO11" s="114">
        <v>53</v>
      </c>
      <c r="DP11" s="114">
        <v>47</v>
      </c>
      <c r="DQ11" s="88">
        <v>1384</v>
      </c>
      <c r="DR11" s="147">
        <v>258.29407514450867</v>
      </c>
      <c r="DT11" s="55"/>
      <c r="DU11" s="55"/>
    </row>
    <row r="12" spans="1:125" s="32" customFormat="1" ht="15" thickBot="1">
      <c r="A12" s="100" t="s">
        <v>238</v>
      </c>
      <c r="B12" s="184">
        <v>2017</v>
      </c>
      <c r="C12" s="109">
        <v>10</v>
      </c>
      <c r="D12" s="83" t="s">
        <v>350</v>
      </c>
      <c r="E12" s="83" t="s">
        <v>411</v>
      </c>
      <c r="F12" s="132">
        <v>8557.7000000000007</v>
      </c>
      <c r="G12" s="85">
        <v>5985</v>
      </c>
      <c r="H12" s="86">
        <v>-1.1560693641618491</v>
      </c>
      <c r="I12" s="132">
        <v>0.69937015786952095</v>
      </c>
      <c r="J12" s="85">
        <v>3009</v>
      </c>
      <c r="K12" s="173">
        <v>50.27568922305764</v>
      </c>
      <c r="L12" s="85">
        <v>2976</v>
      </c>
      <c r="M12" s="173">
        <v>49.724310776942353</v>
      </c>
      <c r="N12" s="161">
        <v>26.416040100250626</v>
      </c>
      <c r="O12" s="161">
        <v>45.814536340852129</v>
      </c>
      <c r="P12" s="161">
        <v>27.769423558897245</v>
      </c>
      <c r="Q12" s="161">
        <v>35.839598997493731</v>
      </c>
      <c r="R12" s="159">
        <v>36.390977443609025</v>
      </c>
      <c r="S12" s="160">
        <v>27.769423558897245</v>
      </c>
      <c r="T12" s="84">
        <v>4.4000000000000004</v>
      </c>
      <c r="U12" s="84">
        <v>2.2000000000000002</v>
      </c>
      <c r="V12" s="89">
        <v>62</v>
      </c>
      <c r="W12" s="90">
        <v>4.0999999999999996</v>
      </c>
      <c r="X12" s="148">
        <v>46626</v>
      </c>
      <c r="Y12" s="89">
        <v>2.4</v>
      </c>
      <c r="Z12" s="89" t="s">
        <v>342</v>
      </c>
      <c r="AA12" s="85">
        <v>775</v>
      </c>
      <c r="AB12" s="110" t="s">
        <v>355</v>
      </c>
      <c r="AC12" s="110" t="s">
        <v>355</v>
      </c>
      <c r="AD12" s="110" t="s">
        <v>355</v>
      </c>
      <c r="AE12" s="110" t="s">
        <v>355</v>
      </c>
      <c r="AF12" s="84">
        <v>-1.05</v>
      </c>
      <c r="AG12" s="84">
        <v>14.3</v>
      </c>
      <c r="AH12" s="84">
        <v>44.71</v>
      </c>
      <c r="AI12" s="86">
        <v>55.290237443958759</v>
      </c>
      <c r="AJ12" s="84">
        <v>6.93</v>
      </c>
      <c r="AK12" s="84">
        <v>16.239999999999998</v>
      </c>
      <c r="AL12" s="84">
        <v>1.2834270506932224</v>
      </c>
      <c r="AM12" s="84">
        <v>25.72</v>
      </c>
      <c r="AN12" s="85">
        <v>23541</v>
      </c>
      <c r="AO12" s="85">
        <v>23297</v>
      </c>
      <c r="AP12" s="85">
        <v>1063</v>
      </c>
      <c r="AQ12" s="135">
        <v>485.38812785388126</v>
      </c>
      <c r="AR12" s="85">
        <v>2190</v>
      </c>
      <c r="AS12" s="85">
        <v>3842</v>
      </c>
      <c r="AT12" s="135">
        <v>2831.2453942520265</v>
      </c>
      <c r="AU12" s="85">
        <v>1357</v>
      </c>
      <c r="AV12" s="85">
        <v>465</v>
      </c>
      <c r="AW12" s="135">
        <v>1091.5492957746478</v>
      </c>
      <c r="AX12" s="85">
        <v>426</v>
      </c>
      <c r="AY12" s="85">
        <v>2307</v>
      </c>
      <c r="AZ12" s="135">
        <v>769000</v>
      </c>
      <c r="BA12" s="89">
        <v>3</v>
      </c>
      <c r="BB12" s="87">
        <v>128.82666197733491</v>
      </c>
      <c r="BC12" s="91">
        <v>25.662100456621005</v>
      </c>
      <c r="BD12" s="85">
        <v>2906</v>
      </c>
      <c r="BE12" s="92">
        <v>12.345469221292324</v>
      </c>
      <c r="BF12" s="85">
        <v>2257</v>
      </c>
      <c r="BG12" s="92">
        <v>9.5883427503292413</v>
      </c>
      <c r="BH12" s="85">
        <v>2056</v>
      </c>
      <c r="BI12" s="92">
        <v>8.7344407154084713</v>
      </c>
      <c r="BJ12" s="85">
        <v>2439</v>
      </c>
      <c r="BK12" s="92">
        <v>10.361527677471431</v>
      </c>
      <c r="BL12" s="85">
        <v>2260</v>
      </c>
      <c r="BM12" s="92">
        <v>9.6010875568205947</v>
      </c>
      <c r="BN12" s="85">
        <v>10209</v>
      </c>
      <c r="BO12" s="92">
        <v>43.370576490080296</v>
      </c>
      <c r="BP12" s="85">
        <v>1412</v>
      </c>
      <c r="BQ12" s="92">
        <v>5.9985555885976458</v>
      </c>
      <c r="BR12" s="165">
        <v>485.54720133667502</v>
      </c>
      <c r="BS12" s="165">
        <v>343.52548036758566</v>
      </c>
      <c r="BT12" s="111">
        <v>257.14285714285717</v>
      </c>
      <c r="BU12" s="165">
        <v>407.51879699248121</v>
      </c>
      <c r="BV12" s="165">
        <v>325.64745196324145</v>
      </c>
      <c r="BW12" s="165">
        <v>119.96658312447786</v>
      </c>
      <c r="BX12" s="165">
        <v>235.92314118629909</v>
      </c>
      <c r="BY12" s="112">
        <v>51.963241436925649</v>
      </c>
      <c r="BZ12" s="165">
        <v>1705.7644110275689</v>
      </c>
      <c r="CA12" s="110" t="s">
        <v>355</v>
      </c>
      <c r="CB12" s="112">
        <v>317.8082191780822</v>
      </c>
      <c r="CC12" s="110" t="s">
        <v>355</v>
      </c>
      <c r="CD12" s="110" t="s">
        <v>355</v>
      </c>
      <c r="CE12" s="110" t="s">
        <v>355</v>
      </c>
      <c r="CF12" s="110" t="s">
        <v>355</v>
      </c>
      <c r="CG12" s="110" t="s">
        <v>355</v>
      </c>
      <c r="CH12" s="110" t="s">
        <v>355</v>
      </c>
      <c r="CI12" s="110" t="s">
        <v>355</v>
      </c>
      <c r="CJ12" s="87">
        <v>3192</v>
      </c>
      <c r="CK12" s="77">
        <v>50.689223057644107</v>
      </c>
      <c r="CL12" s="137">
        <v>3070.8200000000006</v>
      </c>
      <c r="CM12" s="139">
        <v>513.08604845446962</v>
      </c>
      <c r="CN12" s="137">
        <v>1750</v>
      </c>
      <c r="CO12" s="115">
        <v>2</v>
      </c>
      <c r="CP12" s="115">
        <v>2</v>
      </c>
      <c r="CQ12" s="110">
        <v>1</v>
      </c>
      <c r="CR12" s="86">
        <v>5.2223706176961606</v>
      </c>
      <c r="CS12" s="85">
        <v>6459</v>
      </c>
      <c r="CT12" s="85">
        <v>5709</v>
      </c>
      <c r="CU12" s="84">
        <v>113.14</v>
      </c>
      <c r="CV12" s="84">
        <v>55.3</v>
      </c>
      <c r="CW12" s="84">
        <v>12.12</v>
      </c>
      <c r="CX12" s="115" t="s">
        <v>339</v>
      </c>
      <c r="CY12" s="114">
        <v>23000</v>
      </c>
      <c r="CZ12" s="129">
        <v>126000</v>
      </c>
      <c r="DA12" s="129">
        <v>0</v>
      </c>
      <c r="DB12" s="129">
        <v>8000</v>
      </c>
      <c r="DC12" s="129">
        <v>0</v>
      </c>
      <c r="DD12" s="129">
        <v>211465</v>
      </c>
      <c r="DE12" s="87">
        <v>0</v>
      </c>
      <c r="DF12" s="87">
        <v>0</v>
      </c>
      <c r="DG12" s="114">
        <v>0</v>
      </c>
      <c r="DH12" s="162">
        <v>9</v>
      </c>
      <c r="DI12" s="114">
        <v>665</v>
      </c>
      <c r="DJ12" s="114">
        <v>33</v>
      </c>
      <c r="DK12" s="114">
        <v>67</v>
      </c>
      <c r="DL12" s="114">
        <v>0</v>
      </c>
      <c r="DM12" s="114">
        <v>0</v>
      </c>
      <c r="DN12" s="114">
        <v>0</v>
      </c>
      <c r="DO12" s="114">
        <v>33</v>
      </c>
      <c r="DP12" s="114">
        <v>67</v>
      </c>
      <c r="DQ12" s="88">
        <v>115</v>
      </c>
      <c r="DR12" s="147">
        <v>52.043478260869563</v>
      </c>
      <c r="DT12" s="55"/>
      <c r="DU12" s="55"/>
    </row>
    <row r="13" spans="1:125" s="32" customFormat="1" ht="15" customHeight="1" thickBot="1">
      <c r="A13" s="100" t="s">
        <v>239</v>
      </c>
      <c r="B13" s="184">
        <v>2017</v>
      </c>
      <c r="C13" s="109">
        <v>10</v>
      </c>
      <c r="D13" s="83" t="s">
        <v>350</v>
      </c>
      <c r="E13" s="83" t="s">
        <v>408</v>
      </c>
      <c r="F13" s="132">
        <v>1524.6</v>
      </c>
      <c r="G13" s="85">
        <v>7344</v>
      </c>
      <c r="H13" s="86">
        <v>0.93457943925232545</v>
      </c>
      <c r="I13" s="132">
        <v>4.8170011806375443</v>
      </c>
      <c r="J13" s="85">
        <v>3676</v>
      </c>
      <c r="K13" s="173">
        <v>50.054466230936825</v>
      </c>
      <c r="L13" s="85">
        <v>3668</v>
      </c>
      <c r="M13" s="173">
        <v>49.945533769063182</v>
      </c>
      <c r="N13" s="161">
        <v>27.546296296296298</v>
      </c>
      <c r="O13" s="161">
        <v>47.358387799564269</v>
      </c>
      <c r="P13" s="161">
        <v>25.095315904139433</v>
      </c>
      <c r="Q13" s="161">
        <v>37.622549019607845</v>
      </c>
      <c r="R13" s="159">
        <v>37.282135076252729</v>
      </c>
      <c r="S13" s="160">
        <v>25.095315904139433</v>
      </c>
      <c r="T13" s="84">
        <v>3.7</v>
      </c>
      <c r="U13" s="84">
        <v>1.6</v>
      </c>
      <c r="V13" s="89">
        <v>74</v>
      </c>
      <c r="W13" s="90">
        <v>4.3</v>
      </c>
      <c r="X13" s="148">
        <v>54672</v>
      </c>
      <c r="Y13" s="89">
        <v>2.5</v>
      </c>
      <c r="Z13" s="89" t="s">
        <v>342</v>
      </c>
      <c r="AA13" s="85">
        <v>765</v>
      </c>
      <c r="AB13" s="110" t="s">
        <v>355</v>
      </c>
      <c r="AC13" s="110" t="s">
        <v>355</v>
      </c>
      <c r="AD13" s="110" t="s">
        <v>355</v>
      </c>
      <c r="AE13" s="110" t="s">
        <v>355</v>
      </c>
      <c r="AF13" s="84">
        <v>0.74</v>
      </c>
      <c r="AG13" s="84">
        <v>5.83</v>
      </c>
      <c r="AH13" s="84">
        <v>58.54</v>
      </c>
      <c r="AI13" s="86">
        <v>41.460292151962634</v>
      </c>
      <c r="AJ13" s="84">
        <v>2.0699999999999998</v>
      </c>
      <c r="AK13" s="84">
        <v>14.33</v>
      </c>
      <c r="AL13" s="84">
        <v>2.2847605893186005</v>
      </c>
      <c r="AM13" s="84">
        <v>14.26</v>
      </c>
      <c r="AN13" s="85">
        <v>17248</v>
      </c>
      <c r="AO13" s="85">
        <v>17376</v>
      </c>
      <c r="AP13" s="85">
        <v>1680</v>
      </c>
      <c r="AQ13" s="135">
        <v>597.43954480796583</v>
      </c>
      <c r="AR13" s="85">
        <v>2812</v>
      </c>
      <c r="AS13" s="85">
        <v>2108</v>
      </c>
      <c r="AT13" s="135">
        <v>2829.530201342282</v>
      </c>
      <c r="AU13" s="85">
        <v>745</v>
      </c>
      <c r="AV13" s="85">
        <v>346</v>
      </c>
      <c r="AW13" s="135">
        <v>1108.9743589743589</v>
      </c>
      <c r="AX13" s="85">
        <v>312</v>
      </c>
      <c r="AY13" s="85">
        <v>4180</v>
      </c>
      <c r="AZ13" s="135">
        <v>2090000</v>
      </c>
      <c r="BA13" s="89">
        <v>2</v>
      </c>
      <c r="BB13" s="87">
        <v>115.9613850132307</v>
      </c>
      <c r="BC13" s="91">
        <v>21.621621621621621</v>
      </c>
      <c r="BD13" s="85">
        <v>3606</v>
      </c>
      <c r="BE13" s="92">
        <v>20.906771799628942</v>
      </c>
      <c r="BF13" s="85">
        <v>2102</v>
      </c>
      <c r="BG13" s="92">
        <v>12.186920222634507</v>
      </c>
      <c r="BH13" s="85">
        <v>1503</v>
      </c>
      <c r="BI13" s="92">
        <v>8.7140538033395174</v>
      </c>
      <c r="BJ13" s="85">
        <v>628</v>
      </c>
      <c r="BK13" s="92">
        <v>3.6410018552875698</v>
      </c>
      <c r="BL13" s="85">
        <v>2925</v>
      </c>
      <c r="BM13" s="92">
        <v>16.9584879406308</v>
      </c>
      <c r="BN13" s="85">
        <v>4629</v>
      </c>
      <c r="BO13" s="92">
        <v>26.837894248608535</v>
      </c>
      <c r="BP13" s="85">
        <v>1855</v>
      </c>
      <c r="BQ13" s="92">
        <v>10.754870129870129</v>
      </c>
      <c r="BR13" s="165">
        <v>491.01307189542484</v>
      </c>
      <c r="BS13" s="165">
        <v>204.65686274509804</v>
      </c>
      <c r="BT13" s="111">
        <v>209.28649237472766</v>
      </c>
      <c r="BU13" s="165">
        <v>85.511982570806097</v>
      </c>
      <c r="BV13" s="165">
        <v>372.68518518518516</v>
      </c>
      <c r="BW13" s="165">
        <v>76.933551198257078</v>
      </c>
      <c r="BX13" s="165">
        <v>252.58714596949892</v>
      </c>
      <c r="BY13" s="112">
        <v>25.59912854030501</v>
      </c>
      <c r="BZ13" s="165">
        <v>630.31045751633985</v>
      </c>
      <c r="CA13" s="110" t="s">
        <v>355</v>
      </c>
      <c r="CB13" s="112">
        <v>1367.7852348993288</v>
      </c>
      <c r="CC13" s="110" t="s">
        <v>355</v>
      </c>
      <c r="CD13" s="110" t="s">
        <v>355</v>
      </c>
      <c r="CE13" s="110" t="s">
        <v>355</v>
      </c>
      <c r="CF13" s="110" t="s">
        <v>355</v>
      </c>
      <c r="CG13" s="110" t="s">
        <v>355</v>
      </c>
      <c r="CH13" s="110" t="s">
        <v>355</v>
      </c>
      <c r="CI13" s="110" t="s">
        <v>355</v>
      </c>
      <c r="CJ13" s="87">
        <v>6924</v>
      </c>
      <c r="CK13" s="77">
        <v>27.686308492201039</v>
      </c>
      <c r="CL13" s="137">
        <v>737.04000000000008</v>
      </c>
      <c r="CM13" s="139">
        <v>100.35947712418302</v>
      </c>
      <c r="CN13" s="137">
        <v>37</v>
      </c>
      <c r="CO13" s="115">
        <v>1</v>
      </c>
      <c r="CP13" s="115">
        <v>6</v>
      </c>
      <c r="CQ13" s="110">
        <v>1</v>
      </c>
      <c r="CR13" s="86">
        <v>1.4430209035738368</v>
      </c>
      <c r="CS13" s="85">
        <v>3162</v>
      </c>
      <c r="CT13" s="85">
        <v>3012</v>
      </c>
      <c r="CU13" s="84">
        <v>104.98</v>
      </c>
      <c r="CV13" s="84">
        <v>231.92</v>
      </c>
      <c r="CW13" s="84">
        <v>8.2799999999999994</v>
      </c>
      <c r="CX13" s="115" t="s">
        <v>339</v>
      </c>
      <c r="CY13" s="114">
        <v>19000</v>
      </c>
      <c r="CZ13" s="129">
        <v>104000</v>
      </c>
      <c r="DA13" s="129">
        <v>0</v>
      </c>
      <c r="DB13" s="129">
        <v>12825</v>
      </c>
      <c r="DC13" s="129">
        <v>0</v>
      </c>
      <c r="DD13" s="129">
        <v>238000</v>
      </c>
      <c r="DE13" s="87">
        <v>0</v>
      </c>
      <c r="DF13" s="87">
        <v>0</v>
      </c>
      <c r="DG13" s="114">
        <v>0</v>
      </c>
      <c r="DH13" s="162">
        <v>7</v>
      </c>
      <c r="DI13" s="114">
        <v>1049.1428571428571</v>
      </c>
      <c r="DJ13" s="114">
        <v>0</v>
      </c>
      <c r="DK13" s="114">
        <v>100</v>
      </c>
      <c r="DL13" s="114">
        <v>0</v>
      </c>
      <c r="DM13" s="114">
        <v>0</v>
      </c>
      <c r="DN13" s="114">
        <v>0</v>
      </c>
      <c r="DO13" s="114">
        <v>57.142857142857139</v>
      </c>
      <c r="DP13" s="114">
        <v>42.857142857142854</v>
      </c>
      <c r="DQ13" s="88">
        <v>92</v>
      </c>
      <c r="DR13" s="147">
        <v>79.826086956521735</v>
      </c>
      <c r="DT13" s="55"/>
      <c r="DU13" s="55"/>
    </row>
    <row r="14" spans="1:125" s="32" customFormat="1" ht="15" customHeight="1" thickBot="1">
      <c r="A14" s="100" t="s">
        <v>240</v>
      </c>
      <c r="B14" s="184">
        <v>2017</v>
      </c>
      <c r="C14" s="109">
        <v>7</v>
      </c>
      <c r="D14" s="83" t="s">
        <v>351</v>
      </c>
      <c r="E14" s="83"/>
      <c r="F14" s="132">
        <v>1431.1</v>
      </c>
      <c r="G14" s="85">
        <v>78968</v>
      </c>
      <c r="H14" s="86">
        <v>0.35200975969298387</v>
      </c>
      <c r="I14" s="132">
        <v>55.179931521207465</v>
      </c>
      <c r="J14" s="85">
        <v>38458</v>
      </c>
      <c r="K14" s="173">
        <v>48.700739540066863</v>
      </c>
      <c r="L14" s="85">
        <v>40510</v>
      </c>
      <c r="M14" s="173">
        <v>51.299260459933137</v>
      </c>
      <c r="N14" s="161">
        <v>24.934150541991691</v>
      </c>
      <c r="O14" s="161">
        <v>48.513321851889373</v>
      </c>
      <c r="P14" s="161">
        <v>26.552527606118936</v>
      </c>
      <c r="Q14" s="161">
        <v>34.292371593556886</v>
      </c>
      <c r="R14" s="159">
        <v>39.155100800324185</v>
      </c>
      <c r="S14" s="160">
        <v>26.552527606118936</v>
      </c>
      <c r="T14" s="84">
        <v>2.4</v>
      </c>
      <c r="U14" s="84">
        <v>6.1</v>
      </c>
      <c r="V14" s="89">
        <v>105</v>
      </c>
      <c r="W14" s="90">
        <v>2.8</v>
      </c>
      <c r="X14" s="148">
        <v>60466</v>
      </c>
      <c r="Y14" s="89">
        <v>2.5</v>
      </c>
      <c r="Z14" s="89" t="s">
        <v>341</v>
      </c>
      <c r="AA14" s="85">
        <v>5475</v>
      </c>
      <c r="AB14" s="110" t="s">
        <v>355</v>
      </c>
      <c r="AC14" s="110" t="s">
        <v>355</v>
      </c>
      <c r="AD14" s="110" t="s">
        <v>355</v>
      </c>
      <c r="AE14" s="110" t="s">
        <v>355</v>
      </c>
      <c r="AF14" s="84">
        <v>-4.37</v>
      </c>
      <c r="AG14" s="84">
        <v>1.57</v>
      </c>
      <c r="AH14" s="84">
        <v>83.52</v>
      </c>
      <c r="AI14" s="86">
        <v>16.478652211184592</v>
      </c>
      <c r="AJ14" s="84">
        <v>3.73</v>
      </c>
      <c r="AK14" s="84">
        <v>1.69</v>
      </c>
      <c r="AL14" s="84">
        <v>6.7058506897719274</v>
      </c>
      <c r="AM14" s="84">
        <v>3.37</v>
      </c>
      <c r="AN14" s="85">
        <v>120216</v>
      </c>
      <c r="AO14" s="85">
        <v>115183</v>
      </c>
      <c r="AP14" s="85">
        <v>55175</v>
      </c>
      <c r="AQ14" s="135">
        <v>1591.7089776136627</v>
      </c>
      <c r="AR14" s="85">
        <v>34664</v>
      </c>
      <c r="AS14" s="85">
        <v>336.4</v>
      </c>
      <c r="AT14" s="135">
        <v>2473.5294117647059</v>
      </c>
      <c r="AU14" s="85">
        <v>136</v>
      </c>
      <c r="AV14" s="85">
        <v>4977.2</v>
      </c>
      <c r="AW14" s="135">
        <v>3714.3283582089553</v>
      </c>
      <c r="AX14" s="85">
        <v>1340</v>
      </c>
      <c r="AY14" s="135" t="s">
        <v>379</v>
      </c>
      <c r="AZ14" s="135" t="s">
        <v>379</v>
      </c>
      <c r="BA14" s="89">
        <v>0</v>
      </c>
      <c r="BB14" s="87">
        <v>158.28952973267866</v>
      </c>
      <c r="BC14" s="91">
        <v>18.082160166166627</v>
      </c>
      <c r="BD14" s="85">
        <v>36637</v>
      </c>
      <c r="BE14" s="92">
        <v>30.455962425703483</v>
      </c>
      <c r="BF14" s="85">
        <v>4317</v>
      </c>
      <c r="BG14" s="92">
        <v>3.5886778336589216</v>
      </c>
      <c r="BH14" s="85">
        <v>29709</v>
      </c>
      <c r="BI14" s="92">
        <v>24.696787065131552</v>
      </c>
      <c r="BJ14" s="85">
        <v>6534</v>
      </c>
      <c r="BK14" s="92">
        <v>5.4316472006317804</v>
      </c>
      <c r="BL14" s="85">
        <v>20743</v>
      </c>
      <c r="BM14" s="92">
        <v>17.243443202128102</v>
      </c>
      <c r="BN14" s="85">
        <v>9625</v>
      </c>
      <c r="BO14" s="92">
        <v>8.0011638056444561</v>
      </c>
      <c r="BP14" s="85">
        <v>12730</v>
      </c>
      <c r="BQ14" s="92">
        <v>10.582318467101709</v>
      </c>
      <c r="BR14" s="165">
        <v>463.94742174045183</v>
      </c>
      <c r="BS14" s="165">
        <v>376.2156823016918</v>
      </c>
      <c r="BT14" s="111">
        <v>0</v>
      </c>
      <c r="BU14" s="165">
        <v>82.742376658899801</v>
      </c>
      <c r="BV14" s="165">
        <v>224.55931516563672</v>
      </c>
      <c r="BW14" s="165">
        <v>54.667713504204237</v>
      </c>
      <c r="BX14" s="165">
        <v>161.20453854725966</v>
      </c>
      <c r="BY14" s="112">
        <v>38.116705500962418</v>
      </c>
      <c r="BZ14" s="165">
        <v>121.8848141019147</v>
      </c>
      <c r="CA14" s="110" t="s">
        <v>355</v>
      </c>
      <c r="CB14" s="112">
        <v>393.23217170551578</v>
      </c>
      <c r="CC14" s="110" t="s">
        <v>355</v>
      </c>
      <c r="CD14" s="110" t="s">
        <v>355</v>
      </c>
      <c r="CE14" s="110" t="s">
        <v>355</v>
      </c>
      <c r="CF14" s="110" t="s">
        <v>355</v>
      </c>
      <c r="CG14" s="110" t="s">
        <v>355</v>
      </c>
      <c r="CH14" s="110" t="s">
        <v>355</v>
      </c>
      <c r="CI14" s="110" t="s">
        <v>355</v>
      </c>
      <c r="CJ14" s="87">
        <v>42818</v>
      </c>
      <c r="CK14" s="77">
        <v>57.032089308234859</v>
      </c>
      <c r="CL14" s="137">
        <v>744.42000000000007</v>
      </c>
      <c r="CM14" s="139">
        <v>9.4268564481815442</v>
      </c>
      <c r="CN14" s="137">
        <v>6556.41</v>
      </c>
      <c r="CO14" s="115">
        <v>5</v>
      </c>
      <c r="CP14" s="115">
        <v>16</v>
      </c>
      <c r="CQ14" s="110">
        <v>6</v>
      </c>
      <c r="CR14" s="86">
        <v>7.0661040609137054</v>
      </c>
      <c r="CS14" s="85">
        <v>24322</v>
      </c>
      <c r="CT14" s="85">
        <v>24558</v>
      </c>
      <c r="CU14" s="84">
        <v>99.04</v>
      </c>
      <c r="CV14" s="84">
        <v>12.1</v>
      </c>
      <c r="CW14" s="84">
        <v>1.99</v>
      </c>
      <c r="CX14" s="115" t="s">
        <v>339</v>
      </c>
      <c r="CY14" s="114">
        <v>37000</v>
      </c>
      <c r="CZ14" s="129">
        <v>260000</v>
      </c>
      <c r="DA14" s="129">
        <v>0</v>
      </c>
      <c r="DB14" s="129">
        <v>18000</v>
      </c>
      <c r="DC14" s="129">
        <v>0</v>
      </c>
      <c r="DD14" s="129">
        <v>979566</v>
      </c>
      <c r="DE14" s="87">
        <v>8</v>
      </c>
      <c r="DF14" s="87">
        <v>99253</v>
      </c>
      <c r="DG14" s="114">
        <v>3</v>
      </c>
      <c r="DH14" s="162">
        <v>12</v>
      </c>
      <c r="DI14" s="114">
        <v>6580.666666666667</v>
      </c>
      <c r="DJ14" s="114">
        <v>25</v>
      </c>
      <c r="DK14" s="114">
        <v>75</v>
      </c>
      <c r="DL14" s="114">
        <v>0</v>
      </c>
      <c r="DM14" s="114">
        <v>0</v>
      </c>
      <c r="DN14" s="114">
        <v>8.3333333333333321</v>
      </c>
      <c r="DO14" s="114">
        <v>50</v>
      </c>
      <c r="DP14" s="114">
        <v>42</v>
      </c>
      <c r="DQ14" s="88">
        <v>549</v>
      </c>
      <c r="DR14" s="147">
        <v>143.83970856102005</v>
      </c>
      <c r="DT14" s="55"/>
      <c r="DU14" s="55"/>
    </row>
    <row r="15" spans="1:125" s="32" customFormat="1" ht="15" customHeight="1" thickBot="1">
      <c r="A15" s="100" t="s">
        <v>241</v>
      </c>
      <c r="B15" s="184">
        <v>2017</v>
      </c>
      <c r="C15" s="109">
        <v>9</v>
      </c>
      <c r="D15" s="83" t="s">
        <v>348</v>
      </c>
      <c r="E15" s="83" t="s">
        <v>413</v>
      </c>
      <c r="F15" s="132">
        <v>14599.9</v>
      </c>
      <c r="G15" s="85">
        <v>2664</v>
      </c>
      <c r="H15" s="86">
        <v>-11.962987442167883</v>
      </c>
      <c r="I15" s="132">
        <v>0.18246700319865206</v>
      </c>
      <c r="J15" s="85">
        <v>1338</v>
      </c>
      <c r="K15" s="173">
        <v>50.225225225225223</v>
      </c>
      <c r="L15" s="85">
        <v>1326</v>
      </c>
      <c r="M15" s="173">
        <v>49.774774774774777</v>
      </c>
      <c r="N15" s="161">
        <v>27.177177177177175</v>
      </c>
      <c r="O15" s="161">
        <v>49.662162162162161</v>
      </c>
      <c r="P15" s="161">
        <v>23.16066066066066</v>
      </c>
      <c r="Q15" s="161">
        <v>40.090090090090094</v>
      </c>
      <c r="R15" s="159">
        <v>36.749249249249246</v>
      </c>
      <c r="S15" s="160">
        <v>23.16066066066066</v>
      </c>
      <c r="T15" s="84">
        <v>16.5</v>
      </c>
      <c r="U15" s="84">
        <v>2.5</v>
      </c>
      <c r="V15" s="89">
        <v>42</v>
      </c>
      <c r="W15" s="90">
        <v>2.7</v>
      </c>
      <c r="X15" s="148">
        <v>51762</v>
      </c>
      <c r="Y15" s="89">
        <v>2.4</v>
      </c>
      <c r="Z15" s="89" t="s">
        <v>342</v>
      </c>
      <c r="AA15" s="85">
        <v>408</v>
      </c>
      <c r="AB15" s="110" t="s">
        <v>355</v>
      </c>
      <c r="AC15" s="110" t="s">
        <v>355</v>
      </c>
      <c r="AD15" s="110" t="s">
        <v>355</v>
      </c>
      <c r="AE15" s="110" t="s">
        <v>355</v>
      </c>
      <c r="AF15" s="84">
        <v>4.9400000000000004</v>
      </c>
      <c r="AG15" s="84">
        <v>4.18</v>
      </c>
      <c r="AH15" s="84">
        <v>40.200000000000003</v>
      </c>
      <c r="AI15" s="86">
        <v>61.126535330074162</v>
      </c>
      <c r="AJ15" s="84">
        <v>6.03</v>
      </c>
      <c r="AK15" s="84">
        <v>26.86</v>
      </c>
      <c r="AL15" s="84">
        <v>0.91614518147684598</v>
      </c>
      <c r="AM15" s="84">
        <v>8.65</v>
      </c>
      <c r="AN15" s="85">
        <v>18989</v>
      </c>
      <c r="AO15" s="85">
        <v>19975</v>
      </c>
      <c r="AP15" s="85">
        <v>285</v>
      </c>
      <c r="AQ15" s="135">
        <v>266.1064425770308</v>
      </c>
      <c r="AR15" s="85">
        <v>1071</v>
      </c>
      <c r="AS15" s="85">
        <v>1680</v>
      </c>
      <c r="AT15" s="135">
        <v>2718.4466019417478</v>
      </c>
      <c r="AU15" s="85">
        <v>618</v>
      </c>
      <c r="AV15" s="85">
        <v>234</v>
      </c>
      <c r="AW15" s="135">
        <v>966.94214876033061</v>
      </c>
      <c r="AX15" s="85">
        <v>242</v>
      </c>
      <c r="AY15" s="85">
        <v>582</v>
      </c>
      <c r="AZ15" s="135">
        <v>194000</v>
      </c>
      <c r="BA15" s="89">
        <v>3</v>
      </c>
      <c r="BB15" s="87">
        <v>136.3916461704423</v>
      </c>
      <c r="BC15" s="91">
        <v>18.860877684407097</v>
      </c>
      <c r="BD15" s="85">
        <v>1569</v>
      </c>
      <c r="BE15" s="92">
        <v>8.027217845083392</v>
      </c>
      <c r="BF15" s="85">
        <v>5075</v>
      </c>
      <c r="BG15" s="92">
        <v>25.96439169139466</v>
      </c>
      <c r="BH15" s="85">
        <v>1333</v>
      </c>
      <c r="BI15" s="92">
        <v>6.8198096797298682</v>
      </c>
      <c r="BJ15" s="85">
        <v>1456</v>
      </c>
      <c r="BK15" s="92">
        <v>7.4490944438759854</v>
      </c>
      <c r="BL15" s="85">
        <v>1434</v>
      </c>
      <c r="BM15" s="92">
        <v>7.3365394454108248</v>
      </c>
      <c r="BN15" s="85">
        <v>5875</v>
      </c>
      <c r="BO15" s="92">
        <v>30.057300726491356</v>
      </c>
      <c r="BP15" s="85">
        <v>2804</v>
      </c>
      <c r="BQ15" s="92">
        <v>14.345646168013914</v>
      </c>
      <c r="BR15" s="165">
        <v>588.96396396396392</v>
      </c>
      <c r="BS15" s="165">
        <v>500.37537537537537</v>
      </c>
      <c r="BT15" s="111">
        <v>1433.5585585585586</v>
      </c>
      <c r="BU15" s="165">
        <v>546.54654654654655</v>
      </c>
      <c r="BV15" s="165">
        <v>454.20420420420419</v>
      </c>
      <c r="BW15" s="165">
        <v>471.47147147147149</v>
      </c>
      <c r="BX15" s="165">
        <v>1052.5525525525525</v>
      </c>
      <c r="BY15" s="112">
        <v>84.084084084084083</v>
      </c>
      <c r="BZ15" s="165">
        <v>2205.3303303303305</v>
      </c>
      <c r="CA15" s="110" t="s">
        <v>355</v>
      </c>
      <c r="CB15" s="112">
        <v>507.93650793650795</v>
      </c>
      <c r="CC15" s="110" t="s">
        <v>355</v>
      </c>
      <c r="CD15" s="110" t="s">
        <v>355</v>
      </c>
      <c r="CE15" s="110" t="s">
        <v>355</v>
      </c>
      <c r="CF15" s="110" t="s">
        <v>355</v>
      </c>
      <c r="CG15" s="110" t="s">
        <v>355</v>
      </c>
      <c r="CH15" s="110" t="s">
        <v>355</v>
      </c>
      <c r="CI15" s="110" t="s">
        <v>355</v>
      </c>
      <c r="CJ15" s="87">
        <v>2185</v>
      </c>
      <c r="CK15" s="77">
        <v>46.315789473684212</v>
      </c>
      <c r="CL15" s="137">
        <v>1616.63</v>
      </c>
      <c r="CM15" s="139">
        <v>606.8430930930931</v>
      </c>
      <c r="CN15" s="137">
        <v>74.900000000000006</v>
      </c>
      <c r="CO15" s="115">
        <v>1</v>
      </c>
      <c r="CP15" s="115">
        <v>5</v>
      </c>
      <c r="CQ15" s="110">
        <v>1</v>
      </c>
      <c r="CR15" s="86">
        <v>5.5758258258258255</v>
      </c>
      <c r="CS15" s="85">
        <v>3955</v>
      </c>
      <c r="CT15" s="85">
        <v>3988</v>
      </c>
      <c r="CU15" s="84">
        <v>99.17</v>
      </c>
      <c r="CV15" s="84">
        <v>61.91</v>
      </c>
      <c r="CW15" s="84">
        <v>2.29</v>
      </c>
      <c r="CX15" s="115" t="s">
        <v>339</v>
      </c>
      <c r="CY15" s="114">
        <v>56000</v>
      </c>
      <c r="CZ15" s="129">
        <v>98000</v>
      </c>
      <c r="DA15" s="129">
        <v>0</v>
      </c>
      <c r="DB15" s="129">
        <v>6193</v>
      </c>
      <c r="DC15" s="129">
        <v>0</v>
      </c>
      <c r="DD15" s="129">
        <v>254512</v>
      </c>
      <c r="DE15" s="87">
        <v>0</v>
      </c>
      <c r="DF15" s="87">
        <v>0</v>
      </c>
      <c r="DG15" s="114">
        <v>0</v>
      </c>
      <c r="DH15" s="162">
        <v>9</v>
      </c>
      <c r="DI15" s="114">
        <v>296</v>
      </c>
      <c r="DJ15" s="114">
        <v>33.333333333333329</v>
      </c>
      <c r="DK15" s="114">
        <v>66.666666666666657</v>
      </c>
      <c r="DL15" s="114">
        <v>11</v>
      </c>
      <c r="DM15" s="114">
        <v>0</v>
      </c>
      <c r="DN15" s="114">
        <v>0</v>
      </c>
      <c r="DO15" s="114">
        <v>67</v>
      </c>
      <c r="DP15" s="114">
        <v>33</v>
      </c>
      <c r="DQ15" s="88">
        <v>90</v>
      </c>
      <c r="DR15" s="147">
        <v>29.6</v>
      </c>
      <c r="DT15" s="55"/>
      <c r="DU15" s="55"/>
    </row>
    <row r="16" spans="1:125" s="32" customFormat="1" ht="15" customHeight="1" thickBot="1">
      <c r="A16" s="100" t="s">
        <v>242</v>
      </c>
      <c r="B16" s="184">
        <v>2017</v>
      </c>
      <c r="C16" s="109">
        <v>9</v>
      </c>
      <c r="D16" s="83" t="s">
        <v>348</v>
      </c>
      <c r="E16" s="83" t="s">
        <v>417</v>
      </c>
      <c r="F16" s="132">
        <v>41599.5</v>
      </c>
      <c r="G16" s="85">
        <v>2695</v>
      </c>
      <c r="H16" s="86">
        <v>-10.967955071027424</v>
      </c>
      <c r="I16" s="132">
        <v>6.4784432505198386E-2</v>
      </c>
      <c r="J16" s="85">
        <v>1302</v>
      </c>
      <c r="K16" s="173">
        <v>48.311688311688314</v>
      </c>
      <c r="L16" s="85">
        <v>1393</v>
      </c>
      <c r="M16" s="173">
        <v>51.688311688311686</v>
      </c>
      <c r="N16" s="161">
        <v>28.534322820037104</v>
      </c>
      <c r="O16" s="161">
        <v>52.690166975881262</v>
      </c>
      <c r="P16" s="161">
        <v>18.775510204081634</v>
      </c>
      <c r="Q16" s="161">
        <v>41.372912801484233</v>
      </c>
      <c r="R16" s="159">
        <v>39.851576994434133</v>
      </c>
      <c r="S16" s="160">
        <v>18.775510204081634</v>
      </c>
      <c r="T16" s="84">
        <v>31.5</v>
      </c>
      <c r="U16" s="84">
        <v>2.4</v>
      </c>
      <c r="V16" s="89">
        <v>33</v>
      </c>
      <c r="W16" s="90">
        <v>4.7</v>
      </c>
      <c r="X16" s="148">
        <v>50194</v>
      </c>
      <c r="Y16" s="89">
        <v>2.5</v>
      </c>
      <c r="Z16" s="89" t="s">
        <v>341</v>
      </c>
      <c r="AA16" s="85">
        <v>191</v>
      </c>
      <c r="AB16" s="110" t="s">
        <v>355</v>
      </c>
      <c r="AC16" s="110" t="s">
        <v>355</v>
      </c>
      <c r="AD16" s="110" t="s">
        <v>355</v>
      </c>
      <c r="AE16" s="110" t="s">
        <v>355</v>
      </c>
      <c r="AF16" s="84">
        <v>9.48</v>
      </c>
      <c r="AG16" s="84">
        <v>5.26</v>
      </c>
      <c r="AH16" s="84">
        <v>44.32</v>
      </c>
      <c r="AI16" s="86">
        <v>55.684400036829807</v>
      </c>
      <c r="AJ16" s="84">
        <v>15.19</v>
      </c>
      <c r="AK16" s="84">
        <v>7.53</v>
      </c>
      <c r="AL16" s="84">
        <v>3.3173714879132286</v>
      </c>
      <c r="AM16" s="84">
        <v>10.74</v>
      </c>
      <c r="AN16" s="85">
        <v>28241</v>
      </c>
      <c r="AO16" s="85">
        <v>31199.4</v>
      </c>
      <c r="AP16" s="85">
        <v>384</v>
      </c>
      <c r="AQ16" s="135">
        <v>336.54688869412797</v>
      </c>
      <c r="AR16" s="85">
        <v>1141</v>
      </c>
      <c r="AS16" s="85">
        <v>1081</v>
      </c>
      <c r="AT16" s="135">
        <v>2867.3740053050396</v>
      </c>
      <c r="AU16" s="85">
        <v>377</v>
      </c>
      <c r="AV16" s="85">
        <v>110</v>
      </c>
      <c r="AW16" s="135">
        <v>500</v>
      </c>
      <c r="AX16" s="85">
        <v>220</v>
      </c>
      <c r="AY16" s="135" t="s">
        <v>379</v>
      </c>
      <c r="AZ16" s="135" t="s">
        <v>379</v>
      </c>
      <c r="BA16" s="135" t="s">
        <v>379</v>
      </c>
      <c r="BB16" s="87">
        <v>129.19783492063493</v>
      </c>
      <c r="BC16" s="91">
        <v>12.708150744960561</v>
      </c>
      <c r="BD16" s="85">
        <v>1335</v>
      </c>
      <c r="BE16" s="92">
        <v>4.6712621155393821</v>
      </c>
      <c r="BF16" s="85">
        <v>4694</v>
      </c>
      <c r="BG16" s="92">
        <v>16.424647468420869</v>
      </c>
      <c r="BH16" s="85">
        <v>1529</v>
      </c>
      <c r="BI16" s="92">
        <v>5.3500822282095246</v>
      </c>
      <c r="BJ16" s="85">
        <v>601</v>
      </c>
      <c r="BK16" s="92">
        <v>2.1029427201791524</v>
      </c>
      <c r="BL16" s="85">
        <v>1527</v>
      </c>
      <c r="BM16" s="92">
        <v>5.3430840827180797</v>
      </c>
      <c r="BN16" s="85">
        <v>4187</v>
      </c>
      <c r="BO16" s="92">
        <v>14.650617586339621</v>
      </c>
      <c r="BP16" s="85">
        <v>14706</v>
      </c>
      <c r="BQ16" s="92">
        <v>51.45736379859337</v>
      </c>
      <c r="BR16" s="165">
        <v>495.36178107606679</v>
      </c>
      <c r="BS16" s="165">
        <v>567.34693877551024</v>
      </c>
      <c r="BT16" s="111">
        <v>1240.8163265306123</v>
      </c>
      <c r="BU16" s="165">
        <v>223.00556586270872</v>
      </c>
      <c r="BV16" s="165">
        <v>463.45083487940633</v>
      </c>
      <c r="BW16" s="165">
        <v>500.92764378478665</v>
      </c>
      <c r="BX16" s="165">
        <v>5456.7717996289421</v>
      </c>
      <c r="BY16" s="112">
        <v>103.15398886827458</v>
      </c>
      <c r="BZ16" s="165">
        <v>1553.6178107606679</v>
      </c>
      <c r="CA16" s="110" t="s">
        <v>355</v>
      </c>
      <c r="CB16" s="112">
        <v>256.79228746713409</v>
      </c>
      <c r="CC16" s="110" t="s">
        <v>355</v>
      </c>
      <c r="CD16" s="110" t="s">
        <v>355</v>
      </c>
      <c r="CE16" s="110" t="s">
        <v>355</v>
      </c>
      <c r="CF16" s="110" t="s">
        <v>355</v>
      </c>
      <c r="CG16" s="110" t="s">
        <v>355</v>
      </c>
      <c r="CH16" s="110" t="s">
        <v>355</v>
      </c>
      <c r="CI16" s="110" t="s">
        <v>355</v>
      </c>
      <c r="CJ16" s="87">
        <v>2414</v>
      </c>
      <c r="CK16" s="77">
        <v>47.970173985086994</v>
      </c>
      <c r="CL16" s="137">
        <v>2453.86</v>
      </c>
      <c r="CM16" s="139">
        <v>910.52319109461962</v>
      </c>
      <c r="CN16" s="137">
        <v>220</v>
      </c>
      <c r="CO16" s="115">
        <v>1</v>
      </c>
      <c r="CP16" s="115">
        <v>5</v>
      </c>
      <c r="CQ16" s="110">
        <v>1</v>
      </c>
      <c r="CR16" s="86">
        <v>4.0764705882352938</v>
      </c>
      <c r="CS16" s="85">
        <v>4154</v>
      </c>
      <c r="CT16" s="85">
        <v>4563</v>
      </c>
      <c r="CU16" s="84">
        <v>91.04</v>
      </c>
      <c r="CV16" s="84">
        <v>69.3</v>
      </c>
      <c r="CW16" s="84">
        <v>2.84</v>
      </c>
      <c r="CX16" s="115" t="s">
        <v>339</v>
      </c>
      <c r="CY16" s="114">
        <v>87000</v>
      </c>
      <c r="CZ16" s="129">
        <v>143000</v>
      </c>
      <c r="DA16" s="129">
        <v>0</v>
      </c>
      <c r="DB16" s="129">
        <v>36000</v>
      </c>
      <c r="DC16" s="129">
        <v>0</v>
      </c>
      <c r="DD16" s="129">
        <v>211952</v>
      </c>
      <c r="DE16" s="87">
        <v>0</v>
      </c>
      <c r="DF16" s="87">
        <v>0</v>
      </c>
      <c r="DG16" s="114">
        <v>0</v>
      </c>
      <c r="DH16" s="162">
        <v>10</v>
      </c>
      <c r="DI16" s="114">
        <v>269.5</v>
      </c>
      <c r="DJ16" s="114">
        <v>20</v>
      </c>
      <c r="DK16" s="114">
        <v>80</v>
      </c>
      <c r="DL16" s="114">
        <v>10</v>
      </c>
      <c r="DM16" s="114">
        <v>0</v>
      </c>
      <c r="DN16" s="114">
        <v>20</v>
      </c>
      <c r="DO16" s="114">
        <v>20</v>
      </c>
      <c r="DP16" s="114">
        <v>60</v>
      </c>
      <c r="DQ16" s="88">
        <v>85</v>
      </c>
      <c r="DR16" s="147">
        <v>31.705882352941178</v>
      </c>
      <c r="DT16" s="55"/>
      <c r="DU16" s="55"/>
    </row>
    <row r="17" spans="1:125" s="32" customFormat="1" ht="15" thickBot="1">
      <c r="A17" s="100" t="s">
        <v>243</v>
      </c>
      <c r="B17" s="184">
        <v>2017</v>
      </c>
      <c r="C17" s="109">
        <v>8</v>
      </c>
      <c r="D17" s="83" t="s">
        <v>348</v>
      </c>
      <c r="E17" s="83"/>
      <c r="F17" s="132">
        <v>19163.5</v>
      </c>
      <c r="G17" s="85">
        <v>1670</v>
      </c>
      <c r="H17" s="86">
        <v>-10.838227442605442</v>
      </c>
      <c r="I17" s="132">
        <v>8.714483262452058E-2</v>
      </c>
      <c r="J17" s="85">
        <v>886</v>
      </c>
      <c r="K17" s="173">
        <v>53.053892215568865</v>
      </c>
      <c r="L17" s="85">
        <v>784</v>
      </c>
      <c r="M17" s="173">
        <v>46.946107784431142</v>
      </c>
      <c r="N17" s="161">
        <v>30.299401197604791</v>
      </c>
      <c r="O17" s="161">
        <v>55.449101796407184</v>
      </c>
      <c r="P17" s="161">
        <v>14.251497005988023</v>
      </c>
      <c r="Q17" s="161">
        <v>46.167664670658681</v>
      </c>
      <c r="R17" s="159">
        <v>39.580838323353298</v>
      </c>
      <c r="S17" s="160">
        <v>14.251497005988023</v>
      </c>
      <c r="T17" s="84">
        <v>61.2</v>
      </c>
      <c r="U17" s="84">
        <v>3.6</v>
      </c>
      <c r="V17" s="89">
        <v>1</v>
      </c>
      <c r="W17" s="90">
        <v>5.0999999999999996</v>
      </c>
      <c r="X17" s="148">
        <v>47323</v>
      </c>
      <c r="Y17" s="89">
        <v>2.6</v>
      </c>
      <c r="Z17" s="89" t="s">
        <v>342</v>
      </c>
      <c r="AA17" s="85">
        <v>122</v>
      </c>
      <c r="AB17" s="110" t="s">
        <v>355</v>
      </c>
      <c r="AC17" s="110" t="s">
        <v>355</v>
      </c>
      <c r="AD17" s="110" t="s">
        <v>355</v>
      </c>
      <c r="AE17" s="110" t="s">
        <v>355</v>
      </c>
      <c r="AF17" s="84">
        <v>12.98</v>
      </c>
      <c r="AG17" s="84">
        <v>4.16</v>
      </c>
      <c r="AH17" s="84">
        <v>51.71</v>
      </c>
      <c r="AI17" s="86">
        <v>48.291019062813753</v>
      </c>
      <c r="AJ17" s="84">
        <v>7.79</v>
      </c>
      <c r="AK17" s="84">
        <v>20.98</v>
      </c>
      <c r="AL17" s="84">
        <v>1.6073478760045925</v>
      </c>
      <c r="AM17" s="84">
        <v>12.49</v>
      </c>
      <c r="AN17" s="85">
        <v>14401</v>
      </c>
      <c r="AO17" s="85">
        <v>16549</v>
      </c>
      <c r="AP17" s="85">
        <v>60</v>
      </c>
      <c r="AQ17" s="135">
        <v>103.98613518197574</v>
      </c>
      <c r="AR17" s="85">
        <v>577</v>
      </c>
      <c r="AS17" s="85">
        <v>904</v>
      </c>
      <c r="AT17" s="135">
        <v>2682.4925816023738</v>
      </c>
      <c r="AU17" s="85">
        <v>337</v>
      </c>
      <c r="AV17" s="85">
        <v>15</v>
      </c>
      <c r="AW17" s="135">
        <v>263.15789473684208</v>
      </c>
      <c r="AX17" s="85">
        <v>57</v>
      </c>
      <c r="AY17" s="135" t="s">
        <v>379</v>
      </c>
      <c r="AZ17" s="135" t="s">
        <v>379</v>
      </c>
      <c r="BA17" s="135" t="s">
        <v>379</v>
      </c>
      <c r="BB17" s="87">
        <v>276.25756384065375</v>
      </c>
      <c r="BC17" s="91">
        <v>9.1854419410745241</v>
      </c>
      <c r="BD17" s="85">
        <v>1711</v>
      </c>
      <c r="BE17" s="92">
        <v>11.380870027936677</v>
      </c>
      <c r="BF17" s="85">
        <v>1968</v>
      </c>
      <c r="BG17" s="92">
        <v>13.09032858853266</v>
      </c>
      <c r="BH17" s="85">
        <v>531</v>
      </c>
      <c r="BI17" s="92">
        <v>3.5319941466010376</v>
      </c>
      <c r="BJ17" s="85">
        <v>949</v>
      </c>
      <c r="BK17" s="92">
        <v>6.3123586537182392</v>
      </c>
      <c r="BL17" s="85">
        <v>742</v>
      </c>
      <c r="BM17" s="92">
        <v>4.9354795796195292</v>
      </c>
      <c r="BN17" s="85">
        <v>3992</v>
      </c>
      <c r="BO17" s="92">
        <v>26.553146201942262</v>
      </c>
      <c r="BP17" s="85">
        <v>5141</v>
      </c>
      <c r="BQ17" s="92">
        <v>34.195822801649598</v>
      </c>
      <c r="BR17" s="165">
        <v>1024.5508982035929</v>
      </c>
      <c r="BS17" s="165">
        <v>317.96407185628743</v>
      </c>
      <c r="BT17" s="111">
        <v>928.14371257485027</v>
      </c>
      <c r="BU17" s="165">
        <v>568.2634730538922</v>
      </c>
      <c r="BV17" s="165">
        <v>405.98802395209583</v>
      </c>
      <c r="BW17" s="165">
        <v>250.29940119760479</v>
      </c>
      <c r="BX17" s="165">
        <v>3078.443113772455</v>
      </c>
      <c r="BY17" s="112">
        <v>38.32335329341317</v>
      </c>
      <c r="BZ17" s="165">
        <v>2390.4191616766466</v>
      </c>
      <c r="CA17" s="110" t="s">
        <v>355</v>
      </c>
      <c r="CB17" s="112">
        <v>398.61351819757368</v>
      </c>
      <c r="CC17" s="110" t="s">
        <v>355</v>
      </c>
      <c r="CD17" s="110" t="s">
        <v>355</v>
      </c>
      <c r="CE17" s="110" t="s">
        <v>355</v>
      </c>
      <c r="CF17" s="110" t="s">
        <v>355</v>
      </c>
      <c r="CG17" s="110" t="s">
        <v>355</v>
      </c>
      <c r="CH17" s="110" t="s">
        <v>355</v>
      </c>
      <c r="CI17" s="110" t="s">
        <v>355</v>
      </c>
      <c r="CJ17" s="87">
        <v>1228</v>
      </c>
      <c r="CK17" s="77">
        <v>38.029315960912051</v>
      </c>
      <c r="CL17" s="138">
        <v>1551.6999999999998</v>
      </c>
      <c r="CM17" s="139">
        <v>929.1616766467065</v>
      </c>
      <c r="CN17" s="137">
        <v>345</v>
      </c>
      <c r="CO17" s="115">
        <v>1</v>
      </c>
      <c r="CP17" s="115">
        <v>3</v>
      </c>
      <c r="CQ17" s="110">
        <v>1</v>
      </c>
      <c r="CR17" s="86">
        <v>0.80023710729104924</v>
      </c>
      <c r="CS17" s="85">
        <v>2022</v>
      </c>
      <c r="CT17" s="85">
        <v>2296</v>
      </c>
      <c r="CU17" s="84">
        <v>88.07</v>
      </c>
      <c r="CV17" s="84">
        <v>50.74</v>
      </c>
      <c r="CW17" s="84">
        <v>2.15</v>
      </c>
      <c r="CX17" s="115" t="s">
        <v>339</v>
      </c>
      <c r="CY17" s="114">
        <v>3000</v>
      </c>
      <c r="CZ17" s="129">
        <v>126000</v>
      </c>
      <c r="DA17" s="129">
        <v>0</v>
      </c>
      <c r="DB17" s="129">
        <v>0</v>
      </c>
      <c r="DC17" s="129">
        <v>0</v>
      </c>
      <c r="DD17" s="129">
        <v>181289.8</v>
      </c>
      <c r="DE17" s="87">
        <v>0</v>
      </c>
      <c r="DF17" s="87">
        <v>0</v>
      </c>
      <c r="DG17" s="114">
        <v>0</v>
      </c>
      <c r="DH17" s="162">
        <v>9</v>
      </c>
      <c r="DI17" s="114">
        <v>185.55555555555554</v>
      </c>
      <c r="DJ17" s="114">
        <v>23</v>
      </c>
      <c r="DK17" s="114">
        <v>77</v>
      </c>
      <c r="DL17" s="114">
        <v>33</v>
      </c>
      <c r="DM17" s="114">
        <v>0</v>
      </c>
      <c r="DN17" s="114">
        <v>0</v>
      </c>
      <c r="DO17" s="114">
        <v>56</v>
      </c>
      <c r="DP17" s="114">
        <v>44</v>
      </c>
      <c r="DQ17" s="88">
        <v>60</v>
      </c>
      <c r="DR17" s="147">
        <v>27.833333333333332</v>
      </c>
      <c r="DT17" s="55"/>
      <c r="DU17" s="55"/>
    </row>
    <row r="18" spans="1:125" s="32" customFormat="1" ht="15" customHeight="1" thickBot="1">
      <c r="A18" s="100" t="s">
        <v>244</v>
      </c>
      <c r="B18" s="184">
        <v>2017</v>
      </c>
      <c r="C18" s="109">
        <v>4</v>
      </c>
      <c r="D18" s="83" t="s">
        <v>347</v>
      </c>
      <c r="E18" s="83" t="s">
        <v>416</v>
      </c>
      <c r="F18" s="132">
        <v>170.1</v>
      </c>
      <c r="G18" s="85">
        <v>17873</v>
      </c>
      <c r="H18" s="86">
        <v>-6.4387792493325602</v>
      </c>
      <c r="I18" s="132">
        <v>105.0734861845973</v>
      </c>
      <c r="J18" s="85">
        <v>8751</v>
      </c>
      <c r="K18" s="173">
        <v>48.962121635987245</v>
      </c>
      <c r="L18" s="85">
        <v>9122</v>
      </c>
      <c r="M18" s="173">
        <v>51.037878364012755</v>
      </c>
      <c r="N18" s="161">
        <v>22.32977116320707</v>
      </c>
      <c r="O18" s="161">
        <v>49.208303026912105</v>
      </c>
      <c r="P18" s="161">
        <v>28.461925809880828</v>
      </c>
      <c r="Q18" s="161">
        <v>34.605270519778436</v>
      </c>
      <c r="R18" s="159">
        <v>36.932803670340739</v>
      </c>
      <c r="S18" s="160">
        <v>28.461925809880828</v>
      </c>
      <c r="T18" s="84">
        <v>8.5</v>
      </c>
      <c r="U18" s="84">
        <v>2.5</v>
      </c>
      <c r="V18" s="89">
        <v>7</v>
      </c>
      <c r="W18" s="90">
        <v>3.3</v>
      </c>
      <c r="X18" s="148">
        <v>54978</v>
      </c>
      <c r="Y18" s="89">
        <v>2.2000000000000002</v>
      </c>
      <c r="Z18" s="89" t="s">
        <v>340</v>
      </c>
      <c r="AA18" s="85">
        <v>963</v>
      </c>
      <c r="AB18" s="110" t="s">
        <v>355</v>
      </c>
      <c r="AC18" s="110" t="s">
        <v>355</v>
      </c>
      <c r="AD18" s="110" t="s">
        <v>355</v>
      </c>
      <c r="AE18" s="110" t="s">
        <v>355</v>
      </c>
      <c r="AF18" s="84">
        <v>-21.71</v>
      </c>
      <c r="AG18" s="84">
        <v>1.97</v>
      </c>
      <c r="AH18" s="84">
        <v>77.790000000000006</v>
      </c>
      <c r="AI18" s="86">
        <v>22.206743240411196</v>
      </c>
      <c r="AJ18" s="84">
        <v>12.01</v>
      </c>
      <c r="AK18" s="84">
        <v>0.48</v>
      </c>
      <c r="AL18" s="84">
        <v>16.193370358727165</v>
      </c>
      <c r="AM18" s="84">
        <v>10.71</v>
      </c>
      <c r="AN18" s="85">
        <v>34843</v>
      </c>
      <c r="AO18" s="85">
        <v>28633</v>
      </c>
      <c r="AP18" s="85">
        <v>8771</v>
      </c>
      <c r="AQ18" s="135">
        <v>928.6394917946003</v>
      </c>
      <c r="AR18" s="85">
        <v>9445</v>
      </c>
      <c r="AS18" s="85">
        <v>21</v>
      </c>
      <c r="AT18" s="135">
        <v>4200</v>
      </c>
      <c r="AU18" s="85">
        <v>5</v>
      </c>
      <c r="AV18" s="85">
        <v>3428</v>
      </c>
      <c r="AW18" s="135">
        <v>5467.3046251993619</v>
      </c>
      <c r="AX18" s="85">
        <v>627</v>
      </c>
      <c r="AY18" s="85">
        <v>2181</v>
      </c>
      <c r="AZ18" s="135">
        <v>1090500</v>
      </c>
      <c r="BA18" s="89">
        <v>2</v>
      </c>
      <c r="BB18" s="87">
        <v>17.75794597597389</v>
      </c>
      <c r="BC18" s="91">
        <v>24.531498147167813</v>
      </c>
      <c r="BD18" s="85">
        <v>9623</v>
      </c>
      <c r="BE18" s="92">
        <v>27.618172947220387</v>
      </c>
      <c r="BF18" s="85">
        <v>1089</v>
      </c>
      <c r="BG18" s="92">
        <v>3.1254484401457971</v>
      </c>
      <c r="BH18" s="85">
        <v>2609</v>
      </c>
      <c r="BI18" s="92">
        <v>7.4878741784576528</v>
      </c>
      <c r="BJ18" s="85">
        <v>1846</v>
      </c>
      <c r="BK18" s="92">
        <v>5.2980512585024249</v>
      </c>
      <c r="BL18" s="85">
        <v>8009</v>
      </c>
      <c r="BM18" s="92">
        <v>22.985965617197142</v>
      </c>
      <c r="BN18" s="85">
        <v>6434</v>
      </c>
      <c r="BO18" s="92">
        <v>18.465688947564789</v>
      </c>
      <c r="BP18" s="85">
        <v>5233</v>
      </c>
      <c r="BQ18" s="92">
        <v>15.018798610911805</v>
      </c>
      <c r="BR18" s="165">
        <v>538.40989201588991</v>
      </c>
      <c r="BS18" s="165">
        <v>145.97437475521735</v>
      </c>
      <c r="BT18" s="111">
        <v>0</v>
      </c>
      <c r="BU18" s="165">
        <v>103.2842835562021</v>
      </c>
      <c r="BV18" s="165">
        <v>386.1131315391932</v>
      </c>
      <c r="BW18" s="165">
        <v>60.929894253902532</v>
      </c>
      <c r="BX18" s="165">
        <v>292.78800425222403</v>
      </c>
      <c r="BY18" s="112">
        <v>61.992950260168968</v>
      </c>
      <c r="BZ18" s="165">
        <v>359.9843339114866</v>
      </c>
      <c r="CA18" s="110" t="s">
        <v>355</v>
      </c>
      <c r="CB18" s="112">
        <v>282.37162519851773</v>
      </c>
      <c r="CC18" s="110" t="s">
        <v>355</v>
      </c>
      <c r="CD18" s="110" t="s">
        <v>355</v>
      </c>
      <c r="CE18" s="110" t="s">
        <v>355</v>
      </c>
      <c r="CF18" s="110" t="s">
        <v>355</v>
      </c>
      <c r="CG18" s="110" t="s">
        <v>355</v>
      </c>
      <c r="CH18" s="110" t="s">
        <v>355</v>
      </c>
      <c r="CI18" s="110" t="s">
        <v>355</v>
      </c>
      <c r="CJ18" s="87">
        <v>15367</v>
      </c>
      <c r="CK18" s="77">
        <v>64.371705602915341</v>
      </c>
      <c r="CL18" s="137">
        <v>250.96</v>
      </c>
      <c r="CM18" s="139">
        <v>14.041291333296034</v>
      </c>
      <c r="CN18" s="137">
        <v>3800</v>
      </c>
      <c r="CO18" s="115">
        <v>1</v>
      </c>
      <c r="CP18" s="115">
        <v>3</v>
      </c>
      <c r="CQ18" s="110">
        <v>1</v>
      </c>
      <c r="CR18" s="86">
        <v>4.2647356580427447</v>
      </c>
      <c r="CS18" s="85">
        <v>3422</v>
      </c>
      <c r="CT18" s="85">
        <v>1982</v>
      </c>
      <c r="CU18" s="84">
        <v>172.65</v>
      </c>
      <c r="CV18" s="84">
        <v>18.559999999999999</v>
      </c>
      <c r="CW18" s="84">
        <v>24.15</v>
      </c>
      <c r="CX18" s="115" t="s">
        <v>339</v>
      </c>
      <c r="CY18" s="114">
        <v>0</v>
      </c>
      <c r="CZ18" s="129">
        <v>213000</v>
      </c>
      <c r="DA18" s="129">
        <v>0</v>
      </c>
      <c r="DB18" s="129">
        <v>11000</v>
      </c>
      <c r="DC18" s="129">
        <v>0</v>
      </c>
      <c r="DD18" s="129">
        <v>240000</v>
      </c>
      <c r="DE18" s="87">
        <v>1</v>
      </c>
      <c r="DF18" s="87">
        <v>8412</v>
      </c>
      <c r="DG18" s="114">
        <v>0</v>
      </c>
      <c r="DH18" s="162">
        <v>10</v>
      </c>
      <c r="DI18" s="114">
        <v>1787.3</v>
      </c>
      <c r="DJ18" s="114">
        <v>40</v>
      </c>
      <c r="DK18" s="114">
        <v>60</v>
      </c>
      <c r="DL18" s="114">
        <v>0</v>
      </c>
      <c r="DM18" s="114">
        <v>0</v>
      </c>
      <c r="DN18" s="114">
        <v>0</v>
      </c>
      <c r="DO18" s="114">
        <v>50</v>
      </c>
      <c r="DP18" s="114">
        <v>50</v>
      </c>
      <c r="DQ18" s="88">
        <v>162</v>
      </c>
      <c r="DR18" s="147">
        <v>110.32716049382717</v>
      </c>
      <c r="DT18" s="55"/>
      <c r="DU18" s="55"/>
    </row>
    <row r="19" spans="1:125" s="32" customFormat="1" ht="15" customHeight="1" thickBot="1">
      <c r="A19" s="100" t="s">
        <v>61</v>
      </c>
      <c r="B19" s="184">
        <v>2017</v>
      </c>
      <c r="C19" s="109">
        <v>2</v>
      </c>
      <c r="D19" s="83" t="s">
        <v>349</v>
      </c>
      <c r="E19" s="83"/>
      <c r="F19" s="132">
        <v>7.1</v>
      </c>
      <c r="G19" s="85">
        <v>39310</v>
      </c>
      <c r="H19" s="86">
        <v>13.389869620399208</v>
      </c>
      <c r="I19" s="132">
        <v>5536.6197183098593</v>
      </c>
      <c r="J19" s="85">
        <v>19243</v>
      </c>
      <c r="K19" s="173">
        <v>48.951920630882725</v>
      </c>
      <c r="L19" s="85">
        <v>20067</v>
      </c>
      <c r="M19" s="173">
        <v>51.048079369117275</v>
      </c>
      <c r="N19" s="161">
        <v>18.460951411854492</v>
      </c>
      <c r="O19" s="161">
        <v>63.151869753243453</v>
      </c>
      <c r="P19" s="161">
        <v>18.387178834902059</v>
      </c>
      <c r="Q19" s="161">
        <v>44.322055456626813</v>
      </c>
      <c r="R19" s="159">
        <v>37.290765708471127</v>
      </c>
      <c r="S19" s="160">
        <v>18.387178834902059</v>
      </c>
      <c r="T19" s="84">
        <v>0.4</v>
      </c>
      <c r="U19" s="84">
        <v>63.6</v>
      </c>
      <c r="V19" s="89">
        <v>106</v>
      </c>
      <c r="W19" s="90">
        <v>5.2</v>
      </c>
      <c r="X19" s="148">
        <v>54171</v>
      </c>
      <c r="Y19" s="89">
        <v>2.9</v>
      </c>
      <c r="Z19" s="89" t="s">
        <v>340</v>
      </c>
      <c r="AA19" s="85">
        <v>4814</v>
      </c>
      <c r="AB19" s="110" t="s">
        <v>355</v>
      </c>
      <c r="AC19" s="110" t="s">
        <v>355</v>
      </c>
      <c r="AD19" s="110" t="s">
        <v>355</v>
      </c>
      <c r="AE19" s="110" t="s">
        <v>355</v>
      </c>
      <c r="AF19" s="84">
        <v>6.96</v>
      </c>
      <c r="AG19" s="84">
        <v>4.9000000000000004</v>
      </c>
      <c r="AH19" s="84">
        <v>71.91</v>
      </c>
      <c r="AI19" s="86">
        <v>28.093575029493863</v>
      </c>
      <c r="AJ19" s="84">
        <v>2.61</v>
      </c>
      <c r="AK19" s="84">
        <v>13.49</v>
      </c>
      <c r="AL19" s="84">
        <v>1.6280074917158909</v>
      </c>
      <c r="AM19" s="84">
        <v>10.77</v>
      </c>
      <c r="AN19" s="85">
        <v>45207</v>
      </c>
      <c r="AO19" s="85">
        <v>48587</v>
      </c>
      <c r="AP19" s="85">
        <v>15913</v>
      </c>
      <c r="AQ19" s="135">
        <v>1267.6650999761014</v>
      </c>
      <c r="AR19" s="85">
        <v>12553</v>
      </c>
      <c r="AS19" s="135" t="s">
        <v>379</v>
      </c>
      <c r="AT19" s="135" t="s">
        <v>379</v>
      </c>
      <c r="AU19" s="135" t="s">
        <v>379</v>
      </c>
      <c r="AV19" s="85">
        <v>5504</v>
      </c>
      <c r="AW19" s="135">
        <v>5727.3673257023929</v>
      </c>
      <c r="AX19" s="85">
        <v>961</v>
      </c>
      <c r="AY19" s="135" t="s">
        <v>379</v>
      </c>
      <c r="AZ19" s="135" t="s">
        <v>379</v>
      </c>
      <c r="BA19" s="89">
        <v>0</v>
      </c>
      <c r="BB19" s="87">
        <v>568.52174973152171</v>
      </c>
      <c r="BC19" s="91">
        <v>14.745479168326298</v>
      </c>
      <c r="BD19" s="85">
        <v>11966</v>
      </c>
      <c r="BE19" s="92">
        <v>25.681969394544247</v>
      </c>
      <c r="BF19" s="85">
        <v>1774</v>
      </c>
      <c r="BG19" s="92">
        <v>3.8074388856695207</v>
      </c>
      <c r="BH19" s="85">
        <v>8027</v>
      </c>
      <c r="BI19" s="92">
        <v>17.22790977185414</v>
      </c>
      <c r="BJ19" s="85">
        <v>5830</v>
      </c>
      <c r="BK19" s="92">
        <v>12.512609190221708</v>
      </c>
      <c r="BL19" s="85">
        <v>8490</v>
      </c>
      <c r="BM19" s="92">
        <v>18.221621273581867</v>
      </c>
      <c r="BN19" s="85">
        <v>6892</v>
      </c>
      <c r="BO19" s="92">
        <v>14.791921533277531</v>
      </c>
      <c r="BP19" s="85">
        <v>3614</v>
      </c>
      <c r="BQ19" s="92">
        <v>7.756529950850986</v>
      </c>
      <c r="BR19" s="165">
        <v>304.40091579750697</v>
      </c>
      <c r="BS19" s="165">
        <v>204.19740524039685</v>
      </c>
      <c r="BT19" s="111">
        <v>0</v>
      </c>
      <c r="BU19" s="165">
        <v>148.30831849402188</v>
      </c>
      <c r="BV19" s="165">
        <v>158.73823454591707</v>
      </c>
      <c r="BW19" s="165">
        <v>45.128466039175784</v>
      </c>
      <c r="BX19" s="165">
        <v>91.93589417451031</v>
      </c>
      <c r="BY19" s="112">
        <v>57.237344187229709</v>
      </c>
      <c r="BZ19" s="165">
        <v>175.32434495039431</v>
      </c>
      <c r="CA19" s="110" t="s">
        <v>355</v>
      </c>
      <c r="CB19" s="112">
        <v>395.28399585756392</v>
      </c>
      <c r="CC19" s="110" t="s">
        <v>355</v>
      </c>
      <c r="CD19" s="110" t="s">
        <v>355</v>
      </c>
      <c r="CE19" s="110" t="s">
        <v>355</v>
      </c>
      <c r="CF19" s="110" t="s">
        <v>355</v>
      </c>
      <c r="CG19" s="110" t="s">
        <v>355</v>
      </c>
      <c r="CH19" s="110" t="s">
        <v>355</v>
      </c>
      <c r="CI19" s="110" t="s">
        <v>355</v>
      </c>
      <c r="CJ19" s="87">
        <v>7130</v>
      </c>
      <c r="CK19" s="77">
        <v>58.415147265077138</v>
      </c>
      <c r="CL19" s="137">
        <v>85.460000000000008</v>
      </c>
      <c r="CM19" s="139">
        <v>2.1740015263291785</v>
      </c>
      <c r="CN19" s="137">
        <v>39.69</v>
      </c>
      <c r="CO19" s="115">
        <v>1</v>
      </c>
      <c r="CP19" s="115">
        <v>2</v>
      </c>
      <c r="CQ19" s="110">
        <v>1</v>
      </c>
      <c r="CR19" s="86">
        <v>5.4635198611252935</v>
      </c>
      <c r="CS19" s="85">
        <v>7082</v>
      </c>
      <c r="CT19" s="85">
        <v>5881</v>
      </c>
      <c r="CU19" s="84">
        <v>120.42</v>
      </c>
      <c r="CV19" s="84">
        <v>128.31</v>
      </c>
      <c r="CW19" s="84">
        <v>7.42</v>
      </c>
      <c r="CX19" s="115" t="s">
        <v>339</v>
      </c>
      <c r="CY19" s="114">
        <v>96000</v>
      </c>
      <c r="CZ19" s="129">
        <v>171000</v>
      </c>
      <c r="DA19" s="129">
        <v>0</v>
      </c>
      <c r="DB19" s="129">
        <v>12533</v>
      </c>
      <c r="DC19" s="129">
        <v>0</v>
      </c>
      <c r="DD19" s="129">
        <v>325000</v>
      </c>
      <c r="DE19" s="87">
        <v>0</v>
      </c>
      <c r="DF19" s="87">
        <v>0</v>
      </c>
      <c r="DG19" s="114">
        <v>0</v>
      </c>
      <c r="DH19" s="162">
        <v>7</v>
      </c>
      <c r="DI19" s="114">
        <v>5615.7142857142853</v>
      </c>
      <c r="DJ19" s="114">
        <v>29</v>
      </c>
      <c r="DK19" s="114">
        <v>71</v>
      </c>
      <c r="DL19" s="114">
        <v>0</v>
      </c>
      <c r="DM19" s="114">
        <v>0</v>
      </c>
      <c r="DN19" s="114">
        <v>0</v>
      </c>
      <c r="DO19" s="114">
        <v>100</v>
      </c>
      <c r="DP19" s="114">
        <v>0</v>
      </c>
      <c r="DQ19" s="88">
        <v>159</v>
      </c>
      <c r="DR19" s="147">
        <v>247.23270440251574</v>
      </c>
      <c r="DT19" s="55"/>
      <c r="DU19" s="55"/>
    </row>
    <row r="20" spans="1:125" s="32" customFormat="1" ht="15" customHeight="1" thickBot="1">
      <c r="A20" s="100" t="s">
        <v>245</v>
      </c>
      <c r="B20" s="184">
        <v>2017</v>
      </c>
      <c r="C20" s="109">
        <v>4</v>
      </c>
      <c r="D20" s="83" t="s">
        <v>347</v>
      </c>
      <c r="E20" s="83" t="s">
        <v>407</v>
      </c>
      <c r="F20" s="132">
        <v>565.79999999999995</v>
      </c>
      <c r="G20" s="85">
        <v>33987</v>
      </c>
      <c r="H20" s="86">
        <v>9.777131782945748</v>
      </c>
      <c r="I20" s="132">
        <v>60.068928950159069</v>
      </c>
      <c r="J20" s="85">
        <v>16439</v>
      </c>
      <c r="K20" s="173">
        <v>48.368493835878425</v>
      </c>
      <c r="L20" s="85">
        <v>17548</v>
      </c>
      <c r="M20" s="173">
        <v>51.631506164121575</v>
      </c>
      <c r="N20" s="161">
        <v>22.17318386441875</v>
      </c>
      <c r="O20" s="161">
        <v>52.540677317797979</v>
      </c>
      <c r="P20" s="161">
        <v>25.286138817783272</v>
      </c>
      <c r="Q20" s="161">
        <v>31.794509665460325</v>
      </c>
      <c r="R20" s="159">
        <v>42.919351516756407</v>
      </c>
      <c r="S20" s="160">
        <v>25.286138817783272</v>
      </c>
      <c r="T20" s="84">
        <v>1.8</v>
      </c>
      <c r="U20" s="84">
        <v>6.8</v>
      </c>
      <c r="V20" s="89">
        <v>98</v>
      </c>
      <c r="W20" s="90">
        <v>5</v>
      </c>
      <c r="X20" s="148">
        <v>41450</v>
      </c>
      <c r="Y20" s="89">
        <v>2.4</v>
      </c>
      <c r="Z20" s="89" t="s">
        <v>340</v>
      </c>
      <c r="AA20" s="85">
        <v>4494</v>
      </c>
      <c r="AB20" s="110" t="s">
        <v>355</v>
      </c>
      <c r="AC20" s="110" t="s">
        <v>355</v>
      </c>
      <c r="AD20" s="110" t="s">
        <v>355</v>
      </c>
      <c r="AE20" s="110" t="s">
        <v>355</v>
      </c>
      <c r="AF20" s="84">
        <v>-1</v>
      </c>
      <c r="AG20" s="84">
        <v>3.4</v>
      </c>
      <c r="AH20" s="84">
        <v>61.61</v>
      </c>
      <c r="AI20" s="86">
        <v>38.382758615692488</v>
      </c>
      <c r="AJ20" s="84">
        <v>3.56</v>
      </c>
      <c r="AK20" s="84">
        <v>2.77</v>
      </c>
      <c r="AL20" s="84">
        <v>8.2674222811575895</v>
      </c>
      <c r="AM20" s="84">
        <v>12.33</v>
      </c>
      <c r="AN20" s="85">
        <v>82765.788903000008</v>
      </c>
      <c r="AO20" s="85">
        <v>83099.19</v>
      </c>
      <c r="AP20" s="85">
        <v>15438.134</v>
      </c>
      <c r="AQ20" s="135">
        <v>1137.163671184443</v>
      </c>
      <c r="AR20" s="85">
        <v>13576</v>
      </c>
      <c r="AS20" s="85">
        <v>1056.848</v>
      </c>
      <c r="AT20" s="135">
        <v>1935.6190476190477</v>
      </c>
      <c r="AU20" s="85">
        <v>546</v>
      </c>
      <c r="AV20" s="85">
        <v>4097.1440000000002</v>
      </c>
      <c r="AW20" s="135">
        <v>2821.7245179063361</v>
      </c>
      <c r="AX20" s="85">
        <v>1452</v>
      </c>
      <c r="AY20" s="135" t="s">
        <v>379</v>
      </c>
      <c r="AZ20" s="135" t="s">
        <v>379</v>
      </c>
      <c r="BA20" s="89">
        <v>0</v>
      </c>
      <c r="BB20" s="87">
        <v>408.73257360604731</v>
      </c>
      <c r="BC20" s="91">
        <v>15.033883323512079</v>
      </c>
      <c r="BD20" s="85">
        <v>2106.8736800000001</v>
      </c>
      <c r="BE20" s="92">
        <v>2.475234582112483</v>
      </c>
      <c r="BF20" s="85">
        <v>27879.738000000001</v>
      </c>
      <c r="BG20" s="92">
        <v>32.754166655988371</v>
      </c>
      <c r="BH20" s="85">
        <v>9651.3378400000001</v>
      </c>
      <c r="BI20" s="92">
        <v>11.338755337823002</v>
      </c>
      <c r="BJ20" s="85">
        <v>10092.384</v>
      </c>
      <c r="BK20" s="92">
        <v>11.856912984341191</v>
      </c>
      <c r="BL20" s="85">
        <v>10048.611999999999</v>
      </c>
      <c r="BM20" s="92">
        <v>11.805487989498486</v>
      </c>
      <c r="BN20" s="85">
        <v>17701.246219999997</v>
      </c>
      <c r="BO20" s="92">
        <v>20.796091007331707</v>
      </c>
      <c r="BP20" s="85">
        <v>7637.95</v>
      </c>
      <c r="BQ20" s="92">
        <v>8.9733514429047485</v>
      </c>
      <c r="BR20" s="165">
        <v>61.990575219937043</v>
      </c>
      <c r="BS20" s="165">
        <v>283.97145496807605</v>
      </c>
      <c r="BT20" s="111">
        <v>704.48021302262634</v>
      </c>
      <c r="BU20" s="165">
        <v>296.94836260923296</v>
      </c>
      <c r="BV20" s="165">
        <v>237.78359372701328</v>
      </c>
      <c r="BW20" s="165">
        <v>115.82572748403801</v>
      </c>
      <c r="BX20" s="165">
        <v>224.73151499102599</v>
      </c>
      <c r="BY20" s="112">
        <v>57.876864683555475</v>
      </c>
      <c r="BZ20" s="165">
        <v>520.82402742224963</v>
      </c>
      <c r="CA20" s="110" t="s">
        <v>355</v>
      </c>
      <c r="CB20" s="112">
        <v>360.20307896287568</v>
      </c>
      <c r="CC20" s="110" t="s">
        <v>355</v>
      </c>
      <c r="CD20" s="110" t="s">
        <v>355</v>
      </c>
      <c r="CE20" s="110" t="s">
        <v>355</v>
      </c>
      <c r="CF20" s="110" t="s">
        <v>355</v>
      </c>
      <c r="CG20" s="110" t="s">
        <v>355</v>
      </c>
      <c r="CH20" s="110" t="s">
        <v>355</v>
      </c>
      <c r="CI20" s="110" t="s">
        <v>355</v>
      </c>
      <c r="CJ20" s="87">
        <v>14578</v>
      </c>
      <c r="CK20" s="77">
        <v>76.498833859239951</v>
      </c>
      <c r="CL20" s="137">
        <v>605.53400000000011</v>
      </c>
      <c r="CM20" s="139">
        <v>17.816635772501254</v>
      </c>
      <c r="CN20" s="137">
        <v>277.14999999999998</v>
      </c>
      <c r="CO20" s="115">
        <v>2</v>
      </c>
      <c r="CP20" s="115">
        <v>15</v>
      </c>
      <c r="CQ20" s="110">
        <v>3</v>
      </c>
      <c r="CR20" s="86">
        <v>10.753411919973605</v>
      </c>
      <c r="CS20" s="85">
        <v>13412.023070000001</v>
      </c>
      <c r="CT20" s="85">
        <v>13902.462</v>
      </c>
      <c r="CU20" s="84">
        <v>96.47</v>
      </c>
      <c r="CV20" s="84">
        <v>104.16</v>
      </c>
      <c r="CW20" s="84">
        <v>6.86</v>
      </c>
      <c r="CX20" s="115" t="s">
        <v>339</v>
      </c>
      <c r="CY20" s="114">
        <v>59410</v>
      </c>
      <c r="CZ20" s="129">
        <v>215909</v>
      </c>
      <c r="DA20" s="129">
        <v>0</v>
      </c>
      <c r="DB20" s="129">
        <v>26000</v>
      </c>
      <c r="DC20" s="129">
        <v>16000</v>
      </c>
      <c r="DD20" s="129">
        <v>208877</v>
      </c>
      <c r="DE20" s="87">
        <v>10</v>
      </c>
      <c r="DF20" s="87">
        <v>1469</v>
      </c>
      <c r="DG20" s="114">
        <v>1</v>
      </c>
      <c r="DH20" s="162">
        <v>9</v>
      </c>
      <c r="DI20" s="114">
        <v>3776.3333333333335</v>
      </c>
      <c r="DJ20" s="114">
        <v>44</v>
      </c>
      <c r="DK20" s="114">
        <v>56</v>
      </c>
      <c r="DL20" s="114">
        <v>0</v>
      </c>
      <c r="DM20" s="114">
        <v>0</v>
      </c>
      <c r="DN20" s="114">
        <v>0</v>
      </c>
      <c r="DO20" s="114">
        <v>78</v>
      </c>
      <c r="DP20" s="114">
        <v>22</v>
      </c>
      <c r="DQ20" s="88">
        <v>305</v>
      </c>
      <c r="DR20" s="147">
        <v>111.4327868852459</v>
      </c>
      <c r="DT20" s="55"/>
      <c r="DU20" s="55"/>
    </row>
    <row r="21" spans="1:125" s="32" customFormat="1" ht="15" customHeight="1" thickBot="1">
      <c r="A21" s="100" t="s">
        <v>63</v>
      </c>
      <c r="B21" s="184">
        <v>2017</v>
      </c>
      <c r="C21" s="109">
        <v>11</v>
      </c>
      <c r="D21" s="83" t="s">
        <v>350</v>
      </c>
      <c r="E21" s="83" t="s">
        <v>408</v>
      </c>
      <c r="F21" s="132">
        <v>6022.3</v>
      </c>
      <c r="G21" s="85">
        <v>13605</v>
      </c>
      <c r="H21" s="86">
        <v>0.91981307024702197</v>
      </c>
      <c r="I21" s="132">
        <v>2.2591036647128173</v>
      </c>
      <c r="J21" s="85">
        <v>6820</v>
      </c>
      <c r="K21" s="173">
        <v>50.128629180448371</v>
      </c>
      <c r="L21" s="85">
        <v>6785</v>
      </c>
      <c r="M21" s="173">
        <v>49.871370819551636</v>
      </c>
      <c r="N21" s="161">
        <v>28.533627342888646</v>
      </c>
      <c r="O21" s="161">
        <v>45.799338478500552</v>
      </c>
      <c r="P21" s="161">
        <v>25.667034178610805</v>
      </c>
      <c r="Q21" s="161">
        <v>36.993752296949651</v>
      </c>
      <c r="R21" s="159">
        <v>37.339213524439543</v>
      </c>
      <c r="S21" s="160">
        <v>25.667034178610805</v>
      </c>
      <c r="T21" s="84">
        <v>3.7</v>
      </c>
      <c r="U21" s="84">
        <v>2</v>
      </c>
      <c r="V21" s="89">
        <v>97</v>
      </c>
      <c r="W21" s="90">
        <v>3</v>
      </c>
      <c r="X21" s="148">
        <v>51903</v>
      </c>
      <c r="Y21" s="89">
        <v>2.6</v>
      </c>
      <c r="Z21" s="89" t="s">
        <v>342</v>
      </c>
      <c r="AA21" s="85">
        <v>1713</v>
      </c>
      <c r="AB21" s="110" t="s">
        <v>355</v>
      </c>
      <c r="AC21" s="110" t="s">
        <v>355</v>
      </c>
      <c r="AD21" s="110" t="s">
        <v>355</v>
      </c>
      <c r="AE21" s="110" t="s">
        <v>355</v>
      </c>
      <c r="AF21" s="84">
        <v>4.18</v>
      </c>
      <c r="AG21" s="84">
        <v>5.71</v>
      </c>
      <c r="AH21" s="84">
        <v>57.24</v>
      </c>
      <c r="AI21" s="86">
        <v>42.763277829583849</v>
      </c>
      <c r="AJ21" s="84">
        <v>5.26</v>
      </c>
      <c r="AK21" s="84">
        <v>35.46</v>
      </c>
      <c r="AL21" s="84">
        <v>0.95143986448334283</v>
      </c>
      <c r="AM21" s="84">
        <v>24.29</v>
      </c>
      <c r="AN21" s="85">
        <v>33938</v>
      </c>
      <c r="AO21" s="85">
        <v>35420</v>
      </c>
      <c r="AP21" s="85">
        <v>2922</v>
      </c>
      <c r="AQ21" s="135">
        <v>637.01765860039245</v>
      </c>
      <c r="AR21" s="85">
        <v>4587</v>
      </c>
      <c r="AS21" s="85">
        <v>4911</v>
      </c>
      <c r="AT21" s="135">
        <v>2485.3238866396759</v>
      </c>
      <c r="AU21" s="85">
        <v>1976</v>
      </c>
      <c r="AV21" s="85">
        <v>242</v>
      </c>
      <c r="AW21" s="135">
        <v>540.17857142857144</v>
      </c>
      <c r="AX21" s="85">
        <v>448</v>
      </c>
      <c r="AY21" s="85">
        <v>1723</v>
      </c>
      <c r="AZ21" s="135">
        <v>172300</v>
      </c>
      <c r="BA21" s="89">
        <v>10</v>
      </c>
      <c r="BB21" s="87">
        <v>189.72597479077362</v>
      </c>
      <c r="BC21" s="91">
        <v>21.473730106823634</v>
      </c>
      <c r="BD21" s="85">
        <v>3428</v>
      </c>
      <c r="BE21" s="92">
        <v>10.100771995992693</v>
      </c>
      <c r="BF21" s="85">
        <v>5613</v>
      </c>
      <c r="BG21" s="92">
        <v>16.538982851081382</v>
      </c>
      <c r="BH21" s="85">
        <v>2723</v>
      </c>
      <c r="BI21" s="92">
        <v>8.0234545347398196</v>
      </c>
      <c r="BJ21" s="85">
        <v>2544</v>
      </c>
      <c r="BK21" s="92">
        <v>7.49602215805292</v>
      </c>
      <c r="BL21" s="85">
        <v>3986</v>
      </c>
      <c r="BM21" s="92">
        <v>11.744946667452414</v>
      </c>
      <c r="BN21" s="85">
        <v>7584</v>
      </c>
      <c r="BO21" s="92">
        <v>22.34663209381814</v>
      </c>
      <c r="BP21" s="85">
        <v>8060</v>
      </c>
      <c r="BQ21" s="92">
        <v>23.749189698862633</v>
      </c>
      <c r="BR21" s="165">
        <v>251.96618890113928</v>
      </c>
      <c r="BS21" s="165">
        <v>200.14700477765527</v>
      </c>
      <c r="BT21" s="111">
        <v>274.89893421536198</v>
      </c>
      <c r="BU21" s="165">
        <v>186.99007717750828</v>
      </c>
      <c r="BV21" s="165">
        <v>263.94707828004408</v>
      </c>
      <c r="BW21" s="165">
        <v>137.66997427416391</v>
      </c>
      <c r="BX21" s="165">
        <v>592.42925395075338</v>
      </c>
      <c r="BY21" s="112">
        <v>29.033443586916576</v>
      </c>
      <c r="BZ21" s="165">
        <v>557.44211686879828</v>
      </c>
      <c r="CA21" s="110" t="s">
        <v>355</v>
      </c>
      <c r="CB21" s="112">
        <v>262.69893176367998</v>
      </c>
      <c r="CC21" s="110" t="s">
        <v>355</v>
      </c>
      <c r="CD21" s="110" t="s">
        <v>355</v>
      </c>
      <c r="CE21" s="110" t="s">
        <v>355</v>
      </c>
      <c r="CF21" s="110" t="s">
        <v>355</v>
      </c>
      <c r="CG21" s="110" t="s">
        <v>355</v>
      </c>
      <c r="CH21" s="110" t="s">
        <v>355</v>
      </c>
      <c r="CI21" s="110" t="s">
        <v>355</v>
      </c>
      <c r="CJ21" s="87">
        <v>9007</v>
      </c>
      <c r="CK21" s="77">
        <v>24.214499833462863</v>
      </c>
      <c r="CL21" s="137">
        <v>1930.27</v>
      </c>
      <c r="CM21" s="139">
        <v>141.87945608232266</v>
      </c>
      <c r="CN21" s="137">
        <v>29</v>
      </c>
      <c r="CO21" s="115">
        <v>7</v>
      </c>
      <c r="CP21" s="115">
        <v>8</v>
      </c>
      <c r="CQ21" s="110">
        <v>3</v>
      </c>
      <c r="CR21" s="86">
        <v>1.5627610463838206</v>
      </c>
      <c r="CS21" s="85">
        <v>5170</v>
      </c>
      <c r="CT21" s="85">
        <v>5367</v>
      </c>
      <c r="CU21" s="84">
        <v>96.33</v>
      </c>
      <c r="CV21" s="84">
        <v>117.05</v>
      </c>
      <c r="CW21" s="84">
        <v>11.94</v>
      </c>
      <c r="CX21" s="115" t="s">
        <v>339</v>
      </c>
      <c r="CY21" s="114">
        <v>39000</v>
      </c>
      <c r="CZ21" s="129">
        <v>151000</v>
      </c>
      <c r="DA21" s="129">
        <v>0</v>
      </c>
      <c r="DB21" s="129">
        <v>21000</v>
      </c>
      <c r="DC21" s="129">
        <v>3000</v>
      </c>
      <c r="DD21" s="129">
        <v>250000</v>
      </c>
      <c r="DE21" s="87">
        <v>0</v>
      </c>
      <c r="DF21" s="87">
        <v>0</v>
      </c>
      <c r="DG21" s="114">
        <v>0</v>
      </c>
      <c r="DH21" s="162">
        <v>12</v>
      </c>
      <c r="DI21" s="114">
        <v>1133.75</v>
      </c>
      <c r="DJ21" s="114">
        <v>36</v>
      </c>
      <c r="DK21" s="114">
        <v>64</v>
      </c>
      <c r="DL21" s="114">
        <v>0</v>
      </c>
      <c r="DM21" s="114">
        <v>0</v>
      </c>
      <c r="DN21" s="114">
        <v>0</v>
      </c>
      <c r="DO21" s="114">
        <v>27</v>
      </c>
      <c r="DP21" s="114">
        <v>73</v>
      </c>
      <c r="DQ21" s="88">
        <v>158</v>
      </c>
      <c r="DR21" s="147">
        <v>86.107594936708864</v>
      </c>
      <c r="DT21" s="55"/>
      <c r="DU21" s="55"/>
    </row>
    <row r="22" spans="1:125" s="32" customFormat="1" ht="15" customHeight="1" thickBot="1">
      <c r="A22" s="100" t="s">
        <v>64</v>
      </c>
      <c r="B22" s="184">
        <v>2017</v>
      </c>
      <c r="C22" s="109">
        <v>7</v>
      </c>
      <c r="D22" s="83" t="s">
        <v>351</v>
      </c>
      <c r="E22" s="83"/>
      <c r="F22" s="132">
        <v>201</v>
      </c>
      <c r="G22" s="85">
        <v>87068</v>
      </c>
      <c r="H22" s="86">
        <v>43.804710468073857</v>
      </c>
      <c r="I22" s="132">
        <v>433.17412935323381</v>
      </c>
      <c r="J22" s="85">
        <v>42923</v>
      </c>
      <c r="K22" s="173">
        <v>49.298249643956446</v>
      </c>
      <c r="L22" s="85">
        <v>44145</v>
      </c>
      <c r="M22" s="173">
        <v>50.701750356043554</v>
      </c>
      <c r="N22" s="161">
        <v>31.035512473009604</v>
      </c>
      <c r="O22" s="161">
        <v>54.723893967933115</v>
      </c>
      <c r="P22" s="161">
        <v>14.240593559057288</v>
      </c>
      <c r="Q22" s="161">
        <v>45.278403087242154</v>
      </c>
      <c r="R22" s="159">
        <v>40.481003353700558</v>
      </c>
      <c r="S22" s="160">
        <v>14.240593559057288</v>
      </c>
      <c r="T22" s="84">
        <v>2.5</v>
      </c>
      <c r="U22" s="84">
        <v>14.4</v>
      </c>
      <c r="V22" s="89">
        <v>109</v>
      </c>
      <c r="W22" s="90">
        <v>2</v>
      </c>
      <c r="X22" s="148">
        <v>62931</v>
      </c>
      <c r="Y22" s="89">
        <v>3.1</v>
      </c>
      <c r="Z22" s="89" t="s">
        <v>352</v>
      </c>
      <c r="AA22" s="85">
        <v>6203</v>
      </c>
      <c r="AB22" s="110" t="s">
        <v>355</v>
      </c>
      <c r="AC22" s="110" t="s">
        <v>355</v>
      </c>
      <c r="AD22" s="110" t="s">
        <v>355</v>
      </c>
      <c r="AE22" s="110" t="s">
        <v>355</v>
      </c>
      <c r="AF22" s="84">
        <v>-3.67</v>
      </c>
      <c r="AG22" s="84">
        <v>2.4500000000000002</v>
      </c>
      <c r="AH22" s="84">
        <v>33.380000000000003</v>
      </c>
      <c r="AI22" s="86">
        <v>66.61845225204371</v>
      </c>
      <c r="AJ22" s="84">
        <v>3.07</v>
      </c>
      <c r="AK22" s="84">
        <v>3.66</v>
      </c>
      <c r="AL22" s="84">
        <v>5.1911666116330961</v>
      </c>
      <c r="AM22" s="84">
        <v>14.77</v>
      </c>
      <c r="AN22" s="85">
        <v>103588</v>
      </c>
      <c r="AO22" s="85">
        <v>99939</v>
      </c>
      <c r="AP22" s="85">
        <v>42273</v>
      </c>
      <c r="AQ22" s="135">
        <v>1257.1522036519359</v>
      </c>
      <c r="AR22" s="85">
        <v>33626</v>
      </c>
      <c r="AS22" s="85">
        <v>547</v>
      </c>
      <c r="AT22" s="135">
        <v>2707.9207920792078</v>
      </c>
      <c r="AU22" s="85">
        <v>202</v>
      </c>
      <c r="AV22" s="85">
        <v>8156</v>
      </c>
      <c r="AW22" s="135">
        <v>4531.1111111111113</v>
      </c>
      <c r="AX22" s="85">
        <v>1800</v>
      </c>
      <c r="AY22" s="135" t="s">
        <v>379</v>
      </c>
      <c r="AZ22" s="135" t="s">
        <v>379</v>
      </c>
      <c r="BA22" s="89">
        <v>0</v>
      </c>
      <c r="BB22" s="87">
        <v>338.12388400423731</v>
      </c>
      <c r="BC22" s="91">
        <v>8.8562421935407123</v>
      </c>
      <c r="BD22" s="85">
        <v>39587</v>
      </c>
      <c r="BE22" s="92">
        <v>36.090218709259815</v>
      </c>
      <c r="BF22" s="85">
        <v>3053</v>
      </c>
      <c r="BG22" s="92">
        <v>2.783323760814667</v>
      </c>
      <c r="BH22" s="85">
        <v>13444</v>
      </c>
      <c r="BI22" s="92">
        <v>12.256470566784273</v>
      </c>
      <c r="BJ22" s="85">
        <v>9277</v>
      </c>
      <c r="BK22" s="92">
        <v>8.4575481588855759</v>
      </c>
      <c r="BL22" s="85">
        <v>21060</v>
      </c>
      <c r="BM22" s="92">
        <v>19.199737439488008</v>
      </c>
      <c r="BN22" s="85">
        <v>15091</v>
      </c>
      <c r="BO22" s="92">
        <v>13.757988494744231</v>
      </c>
      <c r="BP22" s="85">
        <v>8177</v>
      </c>
      <c r="BQ22" s="92">
        <v>7.4547128700234309</v>
      </c>
      <c r="BR22" s="165">
        <v>454.66761611613913</v>
      </c>
      <c r="BS22" s="165">
        <v>154.40804888133414</v>
      </c>
      <c r="BT22" s="111">
        <v>0</v>
      </c>
      <c r="BU22" s="165">
        <v>106.5489043046814</v>
      </c>
      <c r="BV22" s="165">
        <v>209.1239031561538</v>
      </c>
      <c r="BW22" s="165">
        <v>35.064547250424958</v>
      </c>
      <c r="BX22" s="165">
        <v>93.915100840722189</v>
      </c>
      <c r="BY22" s="112">
        <v>32.75600679928332</v>
      </c>
      <c r="BZ22" s="165">
        <v>173.32429824964396</v>
      </c>
      <c r="CA22" s="110" t="s">
        <v>355</v>
      </c>
      <c r="CB22" s="112">
        <v>366.47237256884551</v>
      </c>
      <c r="CC22" s="110" t="s">
        <v>355</v>
      </c>
      <c r="CD22" s="110" t="s">
        <v>355</v>
      </c>
      <c r="CE22" s="110" t="s">
        <v>355</v>
      </c>
      <c r="CF22" s="110" t="s">
        <v>355</v>
      </c>
      <c r="CG22" s="110" t="s">
        <v>355</v>
      </c>
      <c r="CH22" s="110" t="s">
        <v>355</v>
      </c>
      <c r="CI22" s="110" t="s">
        <v>355</v>
      </c>
      <c r="CJ22" s="87">
        <v>36504</v>
      </c>
      <c r="CK22" s="77">
        <v>57.500547885163265</v>
      </c>
      <c r="CL22" s="137">
        <v>695.6099999999999</v>
      </c>
      <c r="CM22" s="139">
        <v>7.9892727523315097</v>
      </c>
      <c r="CN22" s="137">
        <v>462.69200000000001</v>
      </c>
      <c r="CO22" s="115">
        <v>2</v>
      </c>
      <c r="CP22" s="115">
        <v>19</v>
      </c>
      <c r="CQ22" s="110">
        <v>2</v>
      </c>
      <c r="CR22" s="86">
        <v>2.6216962750716331</v>
      </c>
      <c r="CS22" s="85">
        <v>5227</v>
      </c>
      <c r="CT22" s="85">
        <v>5695.41</v>
      </c>
      <c r="CU22" s="84">
        <v>91.78</v>
      </c>
      <c r="CV22" s="84">
        <v>14.42</v>
      </c>
      <c r="CW22" s="84">
        <v>1.1200000000000001</v>
      </c>
      <c r="CX22" s="115" t="s">
        <v>339</v>
      </c>
      <c r="CY22" s="114">
        <v>67000</v>
      </c>
      <c r="CZ22" s="129">
        <v>179000</v>
      </c>
      <c r="DA22" s="129">
        <v>0</v>
      </c>
      <c r="DB22" s="129">
        <v>0</v>
      </c>
      <c r="DC22" s="129">
        <v>0</v>
      </c>
      <c r="DD22" s="129">
        <v>353625</v>
      </c>
      <c r="DE22" s="87">
        <v>0</v>
      </c>
      <c r="DF22" s="87">
        <v>0</v>
      </c>
      <c r="DG22" s="114">
        <v>0</v>
      </c>
      <c r="DH22" s="162">
        <v>9</v>
      </c>
      <c r="DI22" s="114">
        <v>9674.2222222222226</v>
      </c>
      <c r="DJ22" s="114">
        <v>56</v>
      </c>
      <c r="DK22" s="114">
        <v>44.444444444444443</v>
      </c>
      <c r="DL22" s="114">
        <v>0</v>
      </c>
      <c r="DM22" s="114">
        <v>0</v>
      </c>
      <c r="DN22" s="114">
        <v>11</v>
      </c>
      <c r="DO22" s="114">
        <v>78</v>
      </c>
      <c r="DP22" s="114">
        <v>11.111111111111111</v>
      </c>
      <c r="DQ22" s="88">
        <v>425</v>
      </c>
      <c r="DR22" s="147">
        <v>204.86588235294118</v>
      </c>
      <c r="DT22" s="55"/>
      <c r="DU22" s="55"/>
    </row>
    <row r="23" spans="1:125" s="32" customFormat="1" ht="15" customHeight="1" thickBot="1">
      <c r="A23" s="100" t="s">
        <v>246</v>
      </c>
      <c r="B23" s="184">
        <v>2017</v>
      </c>
      <c r="C23" s="109">
        <v>7</v>
      </c>
      <c r="D23" s="83" t="s">
        <v>351</v>
      </c>
      <c r="E23" s="83"/>
      <c r="F23" s="132">
        <v>311.89999999999998</v>
      </c>
      <c r="G23" s="85">
        <v>164508</v>
      </c>
      <c r="H23" s="86">
        <v>7.7949309359683472</v>
      </c>
      <c r="I23" s="132">
        <v>527.43828150048091</v>
      </c>
      <c r="J23" s="85">
        <v>81308</v>
      </c>
      <c r="K23" s="173">
        <v>49.424951978019308</v>
      </c>
      <c r="L23" s="85">
        <v>83200</v>
      </c>
      <c r="M23" s="173">
        <v>50.575048021980692</v>
      </c>
      <c r="N23" s="161">
        <v>28.455151117270894</v>
      </c>
      <c r="O23" s="161">
        <v>54.427748194616676</v>
      </c>
      <c r="P23" s="161">
        <v>17.117100688112433</v>
      </c>
      <c r="Q23" s="161">
        <v>43.499404284290129</v>
      </c>
      <c r="R23" s="159">
        <v>39.383495027597441</v>
      </c>
      <c r="S23" s="160">
        <v>17.117100688112433</v>
      </c>
      <c r="T23" s="84">
        <v>3.8</v>
      </c>
      <c r="U23" s="84">
        <v>30.4</v>
      </c>
      <c r="V23" s="89">
        <v>55</v>
      </c>
      <c r="W23" s="90">
        <v>5.4</v>
      </c>
      <c r="X23" s="148">
        <v>53404</v>
      </c>
      <c r="Y23" s="89">
        <v>3</v>
      </c>
      <c r="Z23" s="89" t="s">
        <v>340</v>
      </c>
      <c r="AA23" s="85">
        <v>8869</v>
      </c>
      <c r="AB23" s="110" t="s">
        <v>355</v>
      </c>
      <c r="AC23" s="110" t="s">
        <v>355</v>
      </c>
      <c r="AD23" s="110" t="s">
        <v>355</v>
      </c>
      <c r="AE23" s="110" t="s">
        <v>355</v>
      </c>
      <c r="AF23" s="84">
        <v>8.35</v>
      </c>
      <c r="AG23" s="84">
        <v>4.82</v>
      </c>
      <c r="AH23" s="84">
        <v>56.19</v>
      </c>
      <c r="AI23" s="86">
        <v>43.812672015267317</v>
      </c>
      <c r="AJ23" s="84">
        <v>3.36</v>
      </c>
      <c r="AK23" s="84">
        <v>8.33</v>
      </c>
      <c r="AL23" s="84">
        <v>2.7302813017098733</v>
      </c>
      <c r="AM23" s="84">
        <v>19.62</v>
      </c>
      <c r="AN23" s="85">
        <v>146215</v>
      </c>
      <c r="AO23" s="85">
        <v>159544</v>
      </c>
      <c r="AP23" s="85">
        <v>64882</v>
      </c>
      <c r="AQ23" s="135">
        <v>1146.24408169034</v>
      </c>
      <c r="AR23" s="85">
        <v>56604</v>
      </c>
      <c r="AS23" s="85">
        <v>519</v>
      </c>
      <c r="AT23" s="135">
        <v>7863.636363636364</v>
      </c>
      <c r="AU23" s="85">
        <v>66</v>
      </c>
      <c r="AV23" s="85">
        <v>18441</v>
      </c>
      <c r="AW23" s="135">
        <v>6441.1456514146003</v>
      </c>
      <c r="AX23" s="85">
        <v>2863</v>
      </c>
      <c r="AY23" s="85">
        <v>26</v>
      </c>
      <c r="AZ23" s="135">
        <v>13000</v>
      </c>
      <c r="BA23" s="89">
        <v>2</v>
      </c>
      <c r="BB23" s="87">
        <v>242.34624744837126</v>
      </c>
      <c r="BC23" s="91">
        <v>14.136810119426189</v>
      </c>
      <c r="BD23" s="85">
        <v>27844</v>
      </c>
      <c r="BE23" s="92">
        <v>18.861048453196229</v>
      </c>
      <c r="BF23" s="85">
        <v>7210</v>
      </c>
      <c r="BG23" s="92">
        <v>4.883930446327569</v>
      </c>
      <c r="BH23" s="85">
        <v>26013</v>
      </c>
      <c r="BI23" s="92">
        <v>17.62076043000264</v>
      </c>
      <c r="BJ23" s="85">
        <v>22951</v>
      </c>
      <c r="BK23" s="92">
        <v>15.546614101756454</v>
      </c>
      <c r="BL23" s="85">
        <v>36274</v>
      </c>
      <c r="BM23" s="92">
        <v>24.571385993077147</v>
      </c>
      <c r="BN23" s="85">
        <v>18028</v>
      </c>
      <c r="BO23" s="92">
        <v>12.211858264409626</v>
      </c>
      <c r="BP23" s="85">
        <v>9307</v>
      </c>
      <c r="BQ23" s="92">
        <v>6.3044023112303309</v>
      </c>
      <c r="BR23" s="165">
        <v>169.2562063850998</v>
      </c>
      <c r="BS23" s="165">
        <v>158.12604858122401</v>
      </c>
      <c r="BT23" s="111">
        <v>0</v>
      </c>
      <c r="BU23" s="165">
        <v>139.51297201351909</v>
      </c>
      <c r="BV23" s="165">
        <v>186.51372577625403</v>
      </c>
      <c r="BW23" s="165">
        <v>43.82765579789433</v>
      </c>
      <c r="BX23" s="165">
        <v>56.574756242857489</v>
      </c>
      <c r="BY23" s="112">
        <v>33.986189121501688</v>
      </c>
      <c r="BZ23" s="165">
        <v>109.58737568993605</v>
      </c>
      <c r="CA23" s="110" t="s">
        <v>355</v>
      </c>
      <c r="CB23" s="112">
        <v>341.7072998374673</v>
      </c>
      <c r="CC23" s="110" t="s">
        <v>355</v>
      </c>
      <c r="CD23" s="110" t="s">
        <v>355</v>
      </c>
      <c r="CE23" s="110" t="s">
        <v>355</v>
      </c>
      <c r="CF23" s="110" t="s">
        <v>355</v>
      </c>
      <c r="CG23" s="110" t="s">
        <v>355</v>
      </c>
      <c r="CH23" s="110" t="s">
        <v>355</v>
      </c>
      <c r="CI23" s="110" t="s">
        <v>355</v>
      </c>
      <c r="CJ23" s="87">
        <v>66024</v>
      </c>
      <c r="CK23" s="77">
        <v>61.969889737065309</v>
      </c>
      <c r="CL23" s="137">
        <v>762.19499999999994</v>
      </c>
      <c r="CM23" s="139">
        <v>4.6331789335473044</v>
      </c>
      <c r="CN23" s="137">
        <v>1100</v>
      </c>
      <c r="CO23" s="115">
        <v>3</v>
      </c>
      <c r="CP23" s="115">
        <v>19</v>
      </c>
      <c r="CQ23" s="110">
        <v>4</v>
      </c>
      <c r="CR23" s="86">
        <v>2.704802371661807</v>
      </c>
      <c r="CS23" s="85">
        <v>17490</v>
      </c>
      <c r="CT23" s="85">
        <v>17289</v>
      </c>
      <c r="CU23" s="84">
        <v>101.16</v>
      </c>
      <c r="CV23" s="84">
        <v>81.19</v>
      </c>
      <c r="CW23" s="84">
        <v>1.6</v>
      </c>
      <c r="CX23" s="115" t="s">
        <v>339</v>
      </c>
      <c r="CY23" s="114">
        <v>235000</v>
      </c>
      <c r="CZ23" s="129">
        <v>410000</v>
      </c>
      <c r="DA23" s="129">
        <v>4536</v>
      </c>
      <c r="DB23" s="129">
        <v>32072</v>
      </c>
      <c r="DC23" s="129">
        <v>3420</v>
      </c>
      <c r="DD23" s="129">
        <v>365313</v>
      </c>
      <c r="DE23" s="87">
        <v>0</v>
      </c>
      <c r="DF23" s="87">
        <v>0</v>
      </c>
      <c r="DG23" s="114">
        <v>0</v>
      </c>
      <c r="DH23" s="162">
        <v>15</v>
      </c>
      <c r="DI23" s="114">
        <v>10967.2</v>
      </c>
      <c r="DJ23" s="114">
        <v>20</v>
      </c>
      <c r="DK23" s="114">
        <v>80</v>
      </c>
      <c r="DL23" s="114">
        <v>0</v>
      </c>
      <c r="DM23" s="114">
        <v>40</v>
      </c>
      <c r="DN23" s="114">
        <v>6</v>
      </c>
      <c r="DO23" s="114">
        <v>47</v>
      </c>
      <c r="DP23" s="114">
        <v>47</v>
      </c>
      <c r="DQ23" s="88">
        <v>612</v>
      </c>
      <c r="DR23" s="147">
        <v>268.80392156862746</v>
      </c>
      <c r="DT23" s="55"/>
      <c r="DU23" s="55"/>
    </row>
    <row r="24" spans="1:125" s="32" customFormat="1" ht="15" customHeight="1" thickBot="1">
      <c r="A24" s="100" t="s">
        <v>247</v>
      </c>
      <c r="B24" s="184">
        <v>2017</v>
      </c>
      <c r="C24" s="109">
        <v>3</v>
      </c>
      <c r="D24" s="83" t="s">
        <v>349</v>
      </c>
      <c r="E24" s="83"/>
      <c r="F24" s="132">
        <v>19.899999999999999</v>
      </c>
      <c r="G24" s="85">
        <v>94150</v>
      </c>
      <c r="H24" s="86">
        <v>14.53631950949501</v>
      </c>
      <c r="I24" s="132">
        <v>4731.1557788944729</v>
      </c>
      <c r="J24" s="85">
        <v>45713</v>
      </c>
      <c r="K24" s="173">
        <v>48.553372278279348</v>
      </c>
      <c r="L24" s="85">
        <v>48437</v>
      </c>
      <c r="M24" s="173">
        <v>51.44662772172066</v>
      </c>
      <c r="N24" s="161">
        <v>20.629845990440788</v>
      </c>
      <c r="O24" s="161">
        <v>60.041423260754115</v>
      </c>
      <c r="P24" s="161">
        <v>19.328730748805096</v>
      </c>
      <c r="Q24" s="161">
        <v>37.93945831120552</v>
      </c>
      <c r="R24" s="159">
        <v>42.73181093998938</v>
      </c>
      <c r="S24" s="160">
        <v>19.328730748805096</v>
      </c>
      <c r="T24" s="84">
        <v>0.5</v>
      </c>
      <c r="U24" s="84">
        <v>40.9</v>
      </c>
      <c r="V24" s="89">
        <v>119</v>
      </c>
      <c r="W24" s="90">
        <v>2.9</v>
      </c>
      <c r="X24" s="148">
        <v>75285</v>
      </c>
      <c r="Y24" s="89">
        <v>2.6</v>
      </c>
      <c r="Z24" s="89" t="s">
        <v>344</v>
      </c>
      <c r="AA24" s="85">
        <v>10633</v>
      </c>
      <c r="AB24" s="110" t="s">
        <v>355</v>
      </c>
      <c r="AC24" s="110" t="s">
        <v>355</v>
      </c>
      <c r="AD24" s="110" t="s">
        <v>355</v>
      </c>
      <c r="AE24" s="110" t="s">
        <v>355</v>
      </c>
      <c r="AF24" s="84">
        <v>0.37</v>
      </c>
      <c r="AG24" s="84">
        <v>3.95</v>
      </c>
      <c r="AH24" s="84">
        <v>82.93</v>
      </c>
      <c r="AI24" s="86">
        <v>17.065928405945172</v>
      </c>
      <c r="AJ24" s="84">
        <v>2.1800000000000002</v>
      </c>
      <c r="AK24" s="84">
        <v>21.12</v>
      </c>
      <c r="AL24" s="84">
        <v>0.7619223531856435</v>
      </c>
      <c r="AM24" s="84">
        <v>12.27</v>
      </c>
      <c r="AN24" s="85">
        <v>86303.53</v>
      </c>
      <c r="AO24" s="85">
        <v>86623</v>
      </c>
      <c r="AP24" s="85">
        <v>31575</v>
      </c>
      <c r="AQ24" s="135">
        <v>896.50766609880748</v>
      </c>
      <c r="AR24" s="85">
        <v>35220</v>
      </c>
      <c r="AS24" s="135" t="s">
        <v>379</v>
      </c>
      <c r="AT24" s="135" t="s">
        <v>379</v>
      </c>
      <c r="AU24" s="135" t="s">
        <v>379</v>
      </c>
      <c r="AV24" s="85">
        <v>5174</v>
      </c>
      <c r="AW24" s="135">
        <v>2850.6887052341599</v>
      </c>
      <c r="AX24" s="85">
        <v>1815</v>
      </c>
      <c r="AY24" s="135" t="s">
        <v>379</v>
      </c>
      <c r="AZ24" s="135" t="s">
        <v>379</v>
      </c>
      <c r="BA24" s="89">
        <v>0</v>
      </c>
      <c r="BB24" s="87">
        <v>757.72838292198423</v>
      </c>
      <c r="BC24" s="91">
        <v>11.039182282793867</v>
      </c>
      <c r="BD24" s="85">
        <v>4046</v>
      </c>
      <c r="BE24" s="92">
        <v>4.6720014780429784</v>
      </c>
      <c r="BF24" s="85">
        <v>5517</v>
      </c>
      <c r="BG24" s="92">
        <v>6.3705961824921191</v>
      </c>
      <c r="BH24" s="85">
        <v>19053</v>
      </c>
      <c r="BI24" s="92">
        <v>22.000900682440154</v>
      </c>
      <c r="BJ24" s="85">
        <v>14886</v>
      </c>
      <c r="BK24" s="92">
        <v>17.189177954065197</v>
      </c>
      <c r="BL24" s="85">
        <v>28433</v>
      </c>
      <c r="BM24" s="92">
        <v>32.832184385861595</v>
      </c>
      <c r="BN24" s="85">
        <v>10046</v>
      </c>
      <c r="BO24" s="92">
        <v>11.600327940785903</v>
      </c>
      <c r="BP24" s="85">
        <v>4620</v>
      </c>
      <c r="BQ24" s="92">
        <v>5.3348113763120519</v>
      </c>
      <c r="BR24" s="165">
        <v>42.973977695167285</v>
      </c>
      <c r="BS24" s="165">
        <v>202.36856080722251</v>
      </c>
      <c r="BT24" s="111">
        <v>0</v>
      </c>
      <c r="BU24" s="165">
        <v>158.1093998937865</v>
      </c>
      <c r="BV24" s="165">
        <v>238.26872012745619</v>
      </c>
      <c r="BW24" s="165">
        <v>58.597981943706849</v>
      </c>
      <c r="BX24" s="165">
        <v>49.070631970260223</v>
      </c>
      <c r="BY24" s="112">
        <v>63.728093467870423</v>
      </c>
      <c r="BZ24" s="165">
        <v>106.7020711630377</v>
      </c>
      <c r="CA24" s="110" t="s">
        <v>355</v>
      </c>
      <c r="CB24" s="112">
        <v>384.12833617262919</v>
      </c>
      <c r="CC24" s="110" t="s">
        <v>355</v>
      </c>
      <c r="CD24" s="110" t="s">
        <v>355</v>
      </c>
      <c r="CE24" s="110" t="s">
        <v>355</v>
      </c>
      <c r="CF24" s="110" t="s">
        <v>355</v>
      </c>
      <c r="CG24" s="110" t="s">
        <v>355</v>
      </c>
      <c r="CH24" s="110" t="s">
        <v>355</v>
      </c>
      <c r="CI24" s="110" t="s">
        <v>355</v>
      </c>
      <c r="CJ24" s="87">
        <v>18909</v>
      </c>
      <c r="CK24" s="77">
        <v>55.735364112327467</v>
      </c>
      <c r="CL24" s="138">
        <v>207</v>
      </c>
      <c r="CM24" s="139">
        <v>2.1986192246415293</v>
      </c>
      <c r="CN24" s="137">
        <v>128.68</v>
      </c>
      <c r="CO24" s="115">
        <v>1</v>
      </c>
      <c r="CP24" s="115">
        <v>12</v>
      </c>
      <c r="CQ24" s="110">
        <v>3</v>
      </c>
      <c r="CR24" s="86">
        <v>5.299399092245733</v>
      </c>
      <c r="CS24" s="85">
        <v>14232</v>
      </c>
      <c r="CT24" s="85">
        <v>15316</v>
      </c>
      <c r="CU24" s="84">
        <v>92.92</v>
      </c>
      <c r="CV24" s="84">
        <v>61.83</v>
      </c>
      <c r="CW24" s="84">
        <v>1.82</v>
      </c>
      <c r="CX24" s="115" t="s">
        <v>339</v>
      </c>
      <c r="CY24" s="114">
        <v>26000</v>
      </c>
      <c r="CZ24" s="129">
        <v>206000</v>
      </c>
      <c r="DA24" s="129">
        <v>0</v>
      </c>
      <c r="DB24" s="129">
        <v>12000</v>
      </c>
      <c r="DC24" s="129">
        <v>7000</v>
      </c>
      <c r="DD24" s="129">
        <v>340000</v>
      </c>
      <c r="DE24" s="87">
        <v>0</v>
      </c>
      <c r="DF24" s="87">
        <v>0</v>
      </c>
      <c r="DG24" s="114">
        <v>0</v>
      </c>
      <c r="DH24" s="162">
        <v>9</v>
      </c>
      <c r="DI24" s="114">
        <v>10461.111111111111</v>
      </c>
      <c r="DJ24" s="114">
        <v>44</v>
      </c>
      <c r="DK24" s="114">
        <v>56</v>
      </c>
      <c r="DL24" s="114">
        <v>0</v>
      </c>
      <c r="DM24" s="114">
        <v>0</v>
      </c>
      <c r="DN24" s="114">
        <v>11</v>
      </c>
      <c r="DO24" s="114">
        <v>56</v>
      </c>
      <c r="DP24" s="114">
        <v>33</v>
      </c>
      <c r="DQ24" s="88">
        <v>331</v>
      </c>
      <c r="DR24" s="147">
        <v>284.44108761329306</v>
      </c>
      <c r="DT24" s="55"/>
      <c r="DU24" s="55"/>
    </row>
    <row r="25" spans="1:125" s="32" customFormat="1" ht="15" customHeight="1" thickBot="1">
      <c r="A25" s="100" t="s">
        <v>248</v>
      </c>
      <c r="B25" s="184">
        <v>2017</v>
      </c>
      <c r="C25" s="109">
        <v>3</v>
      </c>
      <c r="D25" s="83" t="s">
        <v>349</v>
      </c>
      <c r="E25" s="83"/>
      <c r="F25" s="132">
        <v>110.3</v>
      </c>
      <c r="G25" s="85">
        <v>368045</v>
      </c>
      <c r="H25" s="86">
        <v>8.2081104999015118</v>
      </c>
      <c r="I25" s="132">
        <v>3336.763372620127</v>
      </c>
      <c r="J25" s="85">
        <v>184629</v>
      </c>
      <c r="K25" s="173">
        <v>50.164789631702646</v>
      </c>
      <c r="L25" s="85">
        <v>183416</v>
      </c>
      <c r="M25" s="173">
        <v>49.835210368297354</v>
      </c>
      <c r="N25" s="161">
        <v>26.557622029914818</v>
      </c>
      <c r="O25" s="161">
        <v>54.865030091429034</v>
      </c>
      <c r="P25" s="161">
        <v>18.577347878656141</v>
      </c>
      <c r="Q25" s="161">
        <v>42.192666657609799</v>
      </c>
      <c r="R25" s="159">
        <v>39.229985463734053</v>
      </c>
      <c r="S25" s="160">
        <v>18.577347878656141</v>
      </c>
      <c r="T25" s="84">
        <v>0.7</v>
      </c>
      <c r="U25" s="84">
        <v>60.2</v>
      </c>
      <c r="V25" s="89">
        <v>72</v>
      </c>
      <c r="W25" s="90">
        <v>7.5</v>
      </c>
      <c r="X25" s="148">
        <v>51942</v>
      </c>
      <c r="Y25" s="89">
        <v>3</v>
      </c>
      <c r="Z25" s="89" t="s">
        <v>340</v>
      </c>
      <c r="AA25" s="85">
        <v>32437</v>
      </c>
      <c r="AB25" s="110" t="s">
        <v>355</v>
      </c>
      <c r="AC25" s="110" t="s">
        <v>355</v>
      </c>
      <c r="AD25" s="110" t="s">
        <v>355</v>
      </c>
      <c r="AE25" s="110" t="s">
        <v>355</v>
      </c>
      <c r="AF25" s="84">
        <v>2.31</v>
      </c>
      <c r="AG25" s="84">
        <v>3.07</v>
      </c>
      <c r="AH25" s="84">
        <v>84.1</v>
      </c>
      <c r="AI25" s="86">
        <v>15.901010415810388</v>
      </c>
      <c r="AJ25" s="84">
        <v>4.8099999999999996</v>
      </c>
      <c r="AK25" s="84">
        <v>49</v>
      </c>
      <c r="AL25" s="84">
        <v>0.31430161062292267</v>
      </c>
      <c r="AM25" s="84">
        <v>14.28</v>
      </c>
      <c r="AN25" s="85">
        <v>286563</v>
      </c>
      <c r="AO25" s="85">
        <v>293408</v>
      </c>
      <c r="AP25" s="85">
        <v>115601</v>
      </c>
      <c r="AQ25" s="135">
        <v>1037.3198614525941</v>
      </c>
      <c r="AR25" s="85">
        <v>111442</v>
      </c>
      <c r="AS25" s="135" t="s">
        <v>379</v>
      </c>
      <c r="AT25" s="135" t="s">
        <v>379</v>
      </c>
      <c r="AU25" s="135" t="s">
        <v>379</v>
      </c>
      <c r="AV25" s="85">
        <v>43893</v>
      </c>
      <c r="AW25" s="135">
        <v>5770.0801892993295</v>
      </c>
      <c r="AX25" s="85">
        <v>7607</v>
      </c>
      <c r="AY25" s="85" t="s">
        <v>379</v>
      </c>
      <c r="AZ25" s="135" t="s">
        <v>379</v>
      </c>
      <c r="BA25" s="89">
        <v>0</v>
      </c>
      <c r="BB25" s="87">
        <v>440.62620037117381</v>
      </c>
      <c r="BC25" s="91">
        <v>19.838122072468188</v>
      </c>
      <c r="BD25" s="85">
        <v>72456</v>
      </c>
      <c r="BE25" s="92">
        <v>24.497496356954247</v>
      </c>
      <c r="BF25" s="85">
        <v>14812</v>
      </c>
      <c r="BG25" s="92">
        <v>5.0079622948990599</v>
      </c>
      <c r="BH25" s="85">
        <v>70813</v>
      </c>
      <c r="BI25" s="92">
        <v>23.941995273338314</v>
      </c>
      <c r="BJ25" s="85">
        <v>35878</v>
      </c>
      <c r="BK25" s="92">
        <v>12.130412585497465</v>
      </c>
      <c r="BL25" s="85">
        <v>58601</v>
      </c>
      <c r="BM25" s="92">
        <v>19.813097383430989</v>
      </c>
      <c r="BN25" s="85">
        <v>33572</v>
      </c>
      <c r="BO25" s="92">
        <v>11.350750078608645</v>
      </c>
      <c r="BP25" s="85">
        <v>9637</v>
      </c>
      <c r="BQ25" s="92">
        <v>3.258286027271283</v>
      </c>
      <c r="BR25" s="165">
        <v>196.86723090926381</v>
      </c>
      <c r="BS25" s="165">
        <v>192.40310288144113</v>
      </c>
      <c r="BT25" s="111">
        <v>0</v>
      </c>
      <c r="BU25" s="165">
        <v>97.482644785284407</v>
      </c>
      <c r="BV25" s="165">
        <v>123.87343938920512</v>
      </c>
      <c r="BW25" s="165">
        <v>40.245078726786126</v>
      </c>
      <c r="BX25" s="165">
        <v>26.184298115719546</v>
      </c>
      <c r="BY25" s="112">
        <v>35.348938309174152</v>
      </c>
      <c r="BZ25" s="165">
        <v>91.217106603812027</v>
      </c>
      <c r="CA25" s="110" t="s">
        <v>355</v>
      </c>
      <c r="CB25" s="112">
        <v>490.65881803987725</v>
      </c>
      <c r="CC25" s="110" t="s">
        <v>355</v>
      </c>
      <c r="CD25" s="110" t="s">
        <v>355</v>
      </c>
      <c r="CE25" s="110" t="s">
        <v>355</v>
      </c>
      <c r="CF25" s="110" t="s">
        <v>355</v>
      </c>
      <c r="CG25" s="110" t="s">
        <v>355</v>
      </c>
      <c r="CH25" s="110" t="s">
        <v>355</v>
      </c>
      <c r="CI25" s="110" t="s">
        <v>355</v>
      </c>
      <c r="CJ25" s="87">
        <v>66481</v>
      </c>
      <c r="CK25" s="77">
        <v>57.774401708758894</v>
      </c>
      <c r="CL25" s="137">
        <v>942.13099999999997</v>
      </c>
      <c r="CM25" s="139">
        <v>2.559825564808651</v>
      </c>
      <c r="CN25" s="137">
        <v>1562.61</v>
      </c>
      <c r="CO25" s="115">
        <v>6</v>
      </c>
      <c r="CP25" s="115">
        <v>46</v>
      </c>
      <c r="CQ25" s="110">
        <v>10</v>
      </c>
      <c r="CR25" s="86">
        <v>2.6304871312775666</v>
      </c>
      <c r="CS25" s="85">
        <v>31073</v>
      </c>
      <c r="CT25" s="85">
        <v>34322</v>
      </c>
      <c r="CU25" s="84">
        <v>90.53</v>
      </c>
      <c r="CV25" s="84">
        <v>36.39</v>
      </c>
      <c r="CW25" s="84">
        <v>1.1000000000000001</v>
      </c>
      <c r="CX25" s="115" t="s">
        <v>339</v>
      </c>
      <c r="CY25" s="114">
        <v>206000</v>
      </c>
      <c r="CZ25" s="129">
        <v>410000</v>
      </c>
      <c r="DA25" s="129">
        <v>0</v>
      </c>
      <c r="DB25" s="129">
        <v>53322</v>
      </c>
      <c r="DC25" s="129">
        <v>7345</v>
      </c>
      <c r="DD25" s="129">
        <v>472454</v>
      </c>
      <c r="DE25" s="87">
        <v>1</v>
      </c>
      <c r="DF25" s="87">
        <v>1694</v>
      </c>
      <c r="DG25" s="114">
        <v>0</v>
      </c>
      <c r="DH25" s="162">
        <v>15</v>
      </c>
      <c r="DI25" s="114">
        <v>24536.333333333332</v>
      </c>
      <c r="DJ25" s="114">
        <v>34</v>
      </c>
      <c r="DK25" s="114">
        <v>66</v>
      </c>
      <c r="DL25" s="114">
        <v>0</v>
      </c>
      <c r="DM25" s="114">
        <v>53</v>
      </c>
      <c r="DN25" s="114">
        <v>7</v>
      </c>
      <c r="DO25" s="114">
        <v>80</v>
      </c>
      <c r="DP25" s="114">
        <v>13</v>
      </c>
      <c r="DQ25" s="88">
        <v>1170</v>
      </c>
      <c r="DR25" s="147">
        <v>314.5683760683761</v>
      </c>
      <c r="DT25" s="55"/>
      <c r="DU25" s="55"/>
    </row>
    <row r="26" spans="1:125" s="32" customFormat="1" ht="15" customHeight="1" thickBot="1">
      <c r="A26" s="100" t="s">
        <v>249</v>
      </c>
      <c r="B26" s="184">
        <v>2017</v>
      </c>
      <c r="C26" s="109">
        <v>9</v>
      </c>
      <c r="D26" s="83" t="s">
        <v>348</v>
      </c>
      <c r="E26" s="83" t="s">
        <v>405</v>
      </c>
      <c r="F26" s="132">
        <v>18932.5</v>
      </c>
      <c r="G26" s="85">
        <v>2796</v>
      </c>
      <c r="H26" s="86">
        <v>3.5555555555555562</v>
      </c>
      <c r="I26" s="132">
        <v>0.14768255645054801</v>
      </c>
      <c r="J26" s="85">
        <v>1433</v>
      </c>
      <c r="K26" s="173">
        <v>51.251788268955657</v>
      </c>
      <c r="L26" s="85">
        <v>1363</v>
      </c>
      <c r="M26" s="173">
        <v>48.74821173104435</v>
      </c>
      <c r="N26" s="161">
        <v>25.357653791130186</v>
      </c>
      <c r="O26" s="161">
        <v>54.47067238912733</v>
      </c>
      <c r="P26" s="161">
        <v>20.171673819742487</v>
      </c>
      <c r="Q26" s="161">
        <v>38.984263233190269</v>
      </c>
      <c r="R26" s="159">
        <v>40.844062947067236</v>
      </c>
      <c r="S26" s="160">
        <v>20.171673819742487</v>
      </c>
      <c r="T26" s="84">
        <v>8</v>
      </c>
      <c r="U26" s="84">
        <v>5.9</v>
      </c>
      <c r="V26" s="89">
        <v>73</v>
      </c>
      <c r="W26" s="90">
        <v>4</v>
      </c>
      <c r="X26" s="148">
        <v>40443</v>
      </c>
      <c r="Y26" s="89">
        <v>2.4</v>
      </c>
      <c r="Z26" s="89" t="s">
        <v>342</v>
      </c>
      <c r="AA26" s="85">
        <v>406</v>
      </c>
      <c r="AB26" s="110" t="s">
        <v>355</v>
      </c>
      <c r="AC26" s="110" t="s">
        <v>355</v>
      </c>
      <c r="AD26" s="110" t="s">
        <v>355</v>
      </c>
      <c r="AE26" s="110" t="s">
        <v>355</v>
      </c>
      <c r="AF26" s="84">
        <v>6.97</v>
      </c>
      <c r="AG26" s="84">
        <v>6.64</v>
      </c>
      <c r="AH26" s="84">
        <v>44.34</v>
      </c>
      <c r="AI26" s="86">
        <v>55.658060610213589</v>
      </c>
      <c r="AJ26" s="84">
        <v>3.72</v>
      </c>
      <c r="AK26" s="84">
        <v>23.69</v>
      </c>
      <c r="AL26" s="84">
        <v>1.6627796493046558</v>
      </c>
      <c r="AM26" s="84">
        <v>12.79</v>
      </c>
      <c r="AN26" s="85">
        <v>21540</v>
      </c>
      <c r="AO26" s="85">
        <v>23154</v>
      </c>
      <c r="AP26" s="85">
        <v>301</v>
      </c>
      <c r="AQ26" s="135">
        <v>372.52475247524751</v>
      </c>
      <c r="AR26" s="85">
        <v>808</v>
      </c>
      <c r="AS26" s="85">
        <v>2749</v>
      </c>
      <c r="AT26" s="135">
        <v>3014.2543859649122</v>
      </c>
      <c r="AU26" s="85">
        <v>912</v>
      </c>
      <c r="AV26" s="85">
        <v>213</v>
      </c>
      <c r="AW26" s="135">
        <v>1109.375</v>
      </c>
      <c r="AX26" s="85">
        <v>192</v>
      </c>
      <c r="AY26" s="135" t="s">
        <v>379</v>
      </c>
      <c r="AZ26" s="135" t="s">
        <v>379</v>
      </c>
      <c r="BA26" s="89">
        <v>0</v>
      </c>
      <c r="BB26" s="87">
        <v>204.87599816120135</v>
      </c>
      <c r="BC26" s="91">
        <v>22.029702970297031</v>
      </c>
      <c r="BD26" s="85">
        <v>3280</v>
      </c>
      <c r="BE26" s="92">
        <v>15.22748375116063</v>
      </c>
      <c r="BF26" s="85">
        <v>2901</v>
      </c>
      <c r="BG26" s="92">
        <v>13.467966573816156</v>
      </c>
      <c r="BH26" s="85">
        <v>546</v>
      </c>
      <c r="BI26" s="92">
        <v>2.5348189415041782</v>
      </c>
      <c r="BJ26" s="85">
        <v>1126</v>
      </c>
      <c r="BK26" s="92">
        <v>5.2274837511606309</v>
      </c>
      <c r="BL26" s="85">
        <v>1469</v>
      </c>
      <c r="BM26" s="92">
        <v>6.8198700092850508</v>
      </c>
      <c r="BN26" s="85">
        <v>10710</v>
      </c>
      <c r="BO26" s="92">
        <v>49.721448467966574</v>
      </c>
      <c r="BP26" s="85">
        <v>1508</v>
      </c>
      <c r="BQ26" s="92">
        <v>7.0009285051067778</v>
      </c>
      <c r="BR26" s="165">
        <v>1173.10443490701</v>
      </c>
      <c r="BS26" s="165">
        <v>195.27896995708156</v>
      </c>
      <c r="BT26" s="111">
        <v>853.36194563662377</v>
      </c>
      <c r="BU26" s="165">
        <v>402.7181688125894</v>
      </c>
      <c r="BV26" s="165">
        <v>416.66666666666669</v>
      </c>
      <c r="BW26" s="165">
        <v>184.19170243204579</v>
      </c>
      <c r="BX26" s="165">
        <v>539.34191702432042</v>
      </c>
      <c r="BY26" s="112">
        <v>108.72675250357653</v>
      </c>
      <c r="BZ26" s="165">
        <v>3830.472103004292</v>
      </c>
      <c r="CA26" s="110" t="s">
        <v>355</v>
      </c>
      <c r="CB26" s="112">
        <v>336.63366336633663</v>
      </c>
      <c r="CC26" s="110" t="s">
        <v>355</v>
      </c>
      <c r="CD26" s="110" t="s">
        <v>355</v>
      </c>
      <c r="CE26" s="110" t="s">
        <v>355</v>
      </c>
      <c r="CF26" s="110" t="s">
        <v>355</v>
      </c>
      <c r="CG26" s="110" t="s">
        <v>355</v>
      </c>
      <c r="CH26" s="110" t="s">
        <v>355</v>
      </c>
      <c r="CI26" s="110" t="s">
        <v>355</v>
      </c>
      <c r="CJ26" s="87">
        <v>2125</v>
      </c>
      <c r="CK26" s="77">
        <v>42.305882352941175</v>
      </c>
      <c r="CL26" s="137">
        <v>2610.5500000000002</v>
      </c>
      <c r="CM26" s="139">
        <v>933.67310443490703</v>
      </c>
      <c r="CN26" s="137">
        <v>23.65</v>
      </c>
      <c r="CO26" s="115">
        <v>2</v>
      </c>
      <c r="CP26" s="115">
        <v>6</v>
      </c>
      <c r="CQ26" s="110">
        <v>1</v>
      </c>
      <c r="CR26" s="86">
        <v>6.5732620320855615</v>
      </c>
      <c r="CS26" s="85">
        <v>4666</v>
      </c>
      <c r="CT26" s="85">
        <v>3242</v>
      </c>
      <c r="CU26" s="84">
        <v>143.91999999999999</v>
      </c>
      <c r="CV26" s="84">
        <v>87.19</v>
      </c>
      <c r="CW26" s="84">
        <v>0.6</v>
      </c>
      <c r="CX26" s="115" t="s">
        <v>339</v>
      </c>
      <c r="CY26" s="114">
        <v>35000</v>
      </c>
      <c r="CZ26" s="129">
        <v>135000</v>
      </c>
      <c r="DA26" s="129">
        <v>0</v>
      </c>
      <c r="DB26" s="129">
        <v>6000</v>
      </c>
      <c r="DC26" s="129">
        <v>0</v>
      </c>
      <c r="DD26" s="129">
        <v>230452</v>
      </c>
      <c r="DE26" s="87">
        <v>1</v>
      </c>
      <c r="DF26" s="87">
        <v>300</v>
      </c>
      <c r="DG26" s="114">
        <v>0</v>
      </c>
      <c r="DH26" s="162">
        <v>10</v>
      </c>
      <c r="DI26" s="114">
        <v>279.60000000000002</v>
      </c>
      <c r="DJ26" s="114">
        <v>10</v>
      </c>
      <c r="DK26" s="114">
        <v>90</v>
      </c>
      <c r="DL26" s="114">
        <v>0</v>
      </c>
      <c r="DM26" s="114">
        <v>0</v>
      </c>
      <c r="DN26" s="114">
        <v>0</v>
      </c>
      <c r="DO26" s="114">
        <v>50</v>
      </c>
      <c r="DP26" s="114">
        <v>50</v>
      </c>
      <c r="DQ26" s="88">
        <v>95</v>
      </c>
      <c r="DR26" s="147">
        <v>29.431578947368422</v>
      </c>
      <c r="DT26" s="55"/>
      <c r="DU26" s="55"/>
    </row>
    <row r="27" spans="1:125" s="32" customFormat="1" ht="15" customHeight="1" thickBot="1">
      <c r="A27" s="100" t="s">
        <v>250</v>
      </c>
      <c r="B27" s="184">
        <v>2017</v>
      </c>
      <c r="C27" s="109">
        <v>7</v>
      </c>
      <c r="D27" s="83" t="s">
        <v>351</v>
      </c>
      <c r="E27" s="83"/>
      <c r="F27" s="132">
        <v>1681.1</v>
      </c>
      <c r="G27" s="85">
        <v>339196</v>
      </c>
      <c r="H27" s="86">
        <v>4.2733518806006954</v>
      </c>
      <c r="I27" s="132">
        <v>201.77026946642081</v>
      </c>
      <c r="J27" s="85">
        <v>165783</v>
      </c>
      <c r="K27" s="173">
        <v>48.875281548131468</v>
      </c>
      <c r="L27" s="85">
        <v>173413</v>
      </c>
      <c r="M27" s="173">
        <v>51.124718451868532</v>
      </c>
      <c r="N27" s="161">
        <v>24.928654819042677</v>
      </c>
      <c r="O27" s="161">
        <v>48.723451927499148</v>
      </c>
      <c r="P27" s="161">
        <v>26.347893253458178</v>
      </c>
      <c r="Q27" s="161">
        <v>36.359214141676198</v>
      </c>
      <c r="R27" s="159">
        <v>37.292892604865621</v>
      </c>
      <c r="S27" s="160">
        <v>26.347893253458178</v>
      </c>
      <c r="T27" s="84">
        <v>3.8</v>
      </c>
      <c r="U27" s="84">
        <v>5.9</v>
      </c>
      <c r="V27" s="89">
        <v>86</v>
      </c>
      <c r="W27" s="90">
        <v>5.8</v>
      </c>
      <c r="X27" s="148">
        <v>54428</v>
      </c>
      <c r="Y27" s="89">
        <v>2.5</v>
      </c>
      <c r="Z27" s="89" t="s">
        <v>340</v>
      </c>
      <c r="AA27" s="85">
        <v>22604</v>
      </c>
      <c r="AB27" s="110" t="s">
        <v>355</v>
      </c>
      <c r="AC27" s="110" t="s">
        <v>355</v>
      </c>
      <c r="AD27" s="110" t="s">
        <v>355</v>
      </c>
      <c r="AE27" s="110" t="s">
        <v>355</v>
      </c>
      <c r="AF27" s="84">
        <v>2.91</v>
      </c>
      <c r="AG27" s="84">
        <v>1.55</v>
      </c>
      <c r="AH27" s="84">
        <v>79.489999999999995</v>
      </c>
      <c r="AI27" s="86">
        <v>20.505319228796267</v>
      </c>
      <c r="AJ27" s="84">
        <v>7.84</v>
      </c>
      <c r="AK27" s="84">
        <v>3.95</v>
      </c>
      <c r="AL27" s="84">
        <v>7.6149300078075397</v>
      </c>
      <c r="AM27" s="84">
        <v>12.03</v>
      </c>
      <c r="AN27" s="85">
        <v>545928</v>
      </c>
      <c r="AO27" s="85">
        <v>562277</v>
      </c>
      <c r="AP27" s="85">
        <v>135337</v>
      </c>
      <c r="AQ27" s="135">
        <v>1028.3888420300757</v>
      </c>
      <c r="AR27" s="85">
        <v>131601</v>
      </c>
      <c r="AS27" s="85">
        <v>756</v>
      </c>
      <c r="AT27" s="135">
        <v>1750</v>
      </c>
      <c r="AU27" s="85">
        <v>432</v>
      </c>
      <c r="AV27" s="85">
        <v>22113</v>
      </c>
      <c r="AW27" s="135">
        <v>3515.5802861685215</v>
      </c>
      <c r="AX27" s="85">
        <v>6290</v>
      </c>
      <c r="AY27" s="85">
        <v>911</v>
      </c>
      <c r="AZ27" s="135">
        <v>182200</v>
      </c>
      <c r="BA27" s="89">
        <v>5</v>
      </c>
      <c r="BB27" s="87">
        <v>264.26008107241842</v>
      </c>
      <c r="BC27" s="91">
        <v>22.180682517610048</v>
      </c>
      <c r="BD27" s="85">
        <v>40155</v>
      </c>
      <c r="BE27" s="92">
        <v>6.8643607110010967</v>
      </c>
      <c r="BF27" s="85">
        <v>191997</v>
      </c>
      <c r="BG27" s="92">
        <v>32.821234302828486</v>
      </c>
      <c r="BH27" s="85">
        <v>128475</v>
      </c>
      <c r="BI27" s="92">
        <v>21.962364396609786</v>
      </c>
      <c r="BJ27" s="85">
        <v>43784</v>
      </c>
      <c r="BK27" s="92">
        <v>7.4847259213166994</v>
      </c>
      <c r="BL27" s="85">
        <v>73215</v>
      </c>
      <c r="BM27" s="92">
        <v>12.515855297122286</v>
      </c>
      <c r="BN27" s="85">
        <v>76751</v>
      </c>
      <c r="BO27" s="92">
        <v>13.120322473665677</v>
      </c>
      <c r="BP27" s="85">
        <v>30601</v>
      </c>
      <c r="BQ27" s="92">
        <v>5.2311368974559729</v>
      </c>
      <c r="BR27" s="165">
        <v>118.382881873607</v>
      </c>
      <c r="BS27" s="165">
        <v>378.76331088810008</v>
      </c>
      <c r="BT27" s="111">
        <v>503.66749607896321</v>
      </c>
      <c r="BU27" s="165">
        <v>129.08171086923196</v>
      </c>
      <c r="BV27" s="165">
        <v>178.16837462705928</v>
      </c>
      <c r="BW27" s="165">
        <v>62.36807037818842</v>
      </c>
      <c r="BX27" s="165">
        <v>90.216276135331782</v>
      </c>
      <c r="BY27" s="112">
        <v>37.680279248576042</v>
      </c>
      <c r="BZ27" s="165">
        <v>226.27330510973007</v>
      </c>
      <c r="CA27" s="110" t="s">
        <v>355</v>
      </c>
      <c r="CB27" s="112">
        <v>488.45373515398819</v>
      </c>
      <c r="CC27" s="110" t="s">
        <v>355</v>
      </c>
      <c r="CD27" s="110" t="s">
        <v>355</v>
      </c>
      <c r="CE27" s="110" t="s">
        <v>355</v>
      </c>
      <c r="CF27" s="110" t="s">
        <v>355</v>
      </c>
      <c r="CG27" s="110" t="s">
        <v>355</v>
      </c>
      <c r="CH27" s="110" t="s">
        <v>355</v>
      </c>
      <c r="CI27" s="110" t="s">
        <v>355</v>
      </c>
      <c r="CJ27" s="87">
        <v>167079</v>
      </c>
      <c r="CK27" s="92">
        <v>63.251515750034415</v>
      </c>
      <c r="CL27" s="139">
        <v>2198.5</v>
      </c>
      <c r="CM27" s="139">
        <v>6.4815033196146183</v>
      </c>
      <c r="CN27" s="138">
        <v>3625</v>
      </c>
      <c r="CO27" s="113">
        <v>8</v>
      </c>
      <c r="CP27" s="113">
        <v>142</v>
      </c>
      <c r="CQ27" s="110">
        <v>12</v>
      </c>
      <c r="CR27" s="86">
        <v>4.1777833700945921</v>
      </c>
      <c r="CS27" s="85">
        <v>75354.589000000007</v>
      </c>
      <c r="CT27" s="85">
        <v>82412.425000000003</v>
      </c>
      <c r="CU27" s="84">
        <v>91.44</v>
      </c>
      <c r="CV27" s="84">
        <v>104.77</v>
      </c>
      <c r="CW27" s="84">
        <v>2.4300000000000002</v>
      </c>
      <c r="CX27" s="115" t="s">
        <v>339</v>
      </c>
      <c r="CY27" s="114">
        <v>37000</v>
      </c>
      <c r="CZ27" s="129">
        <v>389000</v>
      </c>
      <c r="DA27" s="129">
        <v>7000</v>
      </c>
      <c r="DB27" s="129">
        <v>11000</v>
      </c>
      <c r="DC27" s="129">
        <v>0</v>
      </c>
      <c r="DD27" s="129">
        <v>465000</v>
      </c>
      <c r="DE27" s="87">
        <v>3</v>
      </c>
      <c r="DF27" s="87">
        <v>8000</v>
      </c>
      <c r="DG27" s="114">
        <v>2</v>
      </c>
      <c r="DH27" s="162">
        <v>15</v>
      </c>
      <c r="DI27" s="114">
        <v>22613.066666666666</v>
      </c>
      <c r="DJ27" s="114">
        <v>40</v>
      </c>
      <c r="DK27" s="114">
        <v>60</v>
      </c>
      <c r="DL27" s="114">
        <v>0</v>
      </c>
      <c r="DM27" s="114">
        <v>0</v>
      </c>
      <c r="DN27" s="114">
        <v>13</v>
      </c>
      <c r="DO27" s="114">
        <v>60</v>
      </c>
      <c r="DP27" s="114">
        <v>27</v>
      </c>
      <c r="DQ27" s="88">
        <v>1861</v>
      </c>
      <c r="DR27" s="147">
        <v>182.26544868350348</v>
      </c>
      <c r="DT27" s="55"/>
      <c r="DU27" s="55"/>
    </row>
    <row r="28" spans="1:125" s="32" customFormat="1" ht="15" thickBot="1">
      <c r="A28" s="100" t="s">
        <v>251</v>
      </c>
      <c r="B28" s="184">
        <v>2017</v>
      </c>
      <c r="C28" s="109">
        <v>9</v>
      </c>
      <c r="D28" s="83" t="s">
        <v>348</v>
      </c>
      <c r="E28" s="83" t="s">
        <v>416</v>
      </c>
      <c r="F28" s="132">
        <v>53492.2</v>
      </c>
      <c r="G28" s="85">
        <v>1846</v>
      </c>
      <c r="H28" s="86">
        <v>-11.420345489443374</v>
      </c>
      <c r="I28" s="132">
        <v>3.4509704218558972E-2</v>
      </c>
      <c r="J28" s="85">
        <v>993</v>
      </c>
      <c r="K28" s="173">
        <v>53.791982665222108</v>
      </c>
      <c r="L28" s="85">
        <v>853</v>
      </c>
      <c r="M28" s="173">
        <v>46.208017334777892</v>
      </c>
      <c r="N28" s="161">
        <v>26.814734561213431</v>
      </c>
      <c r="O28" s="161">
        <v>52.329360780065002</v>
      </c>
      <c r="P28" s="161">
        <v>20.85590465872156</v>
      </c>
      <c r="Q28" s="161">
        <v>40.736728060671723</v>
      </c>
      <c r="R28" s="159">
        <v>38.407367280606721</v>
      </c>
      <c r="S28" s="160">
        <v>20.85590465872156</v>
      </c>
      <c r="T28" s="84">
        <v>39.5</v>
      </c>
      <c r="U28" s="84">
        <v>2.7</v>
      </c>
      <c r="V28" s="89">
        <v>2</v>
      </c>
      <c r="W28" s="90">
        <v>4.5999999999999996</v>
      </c>
      <c r="X28" s="148">
        <v>43744</v>
      </c>
      <c r="Y28" s="89">
        <v>2.4</v>
      </c>
      <c r="Z28" s="89" t="s">
        <v>342</v>
      </c>
      <c r="AA28" s="85">
        <v>155</v>
      </c>
      <c r="AB28" s="110" t="s">
        <v>355</v>
      </c>
      <c r="AC28" s="110" t="s">
        <v>355</v>
      </c>
      <c r="AD28" s="110" t="s">
        <v>355</v>
      </c>
      <c r="AE28" s="110" t="s">
        <v>355</v>
      </c>
      <c r="AF28" s="84">
        <v>0.03</v>
      </c>
      <c r="AG28" s="84">
        <v>0.65</v>
      </c>
      <c r="AH28" s="84">
        <v>52.03</v>
      </c>
      <c r="AI28" s="86">
        <v>47.974221491905311</v>
      </c>
      <c r="AJ28" s="84">
        <v>36.340000000000003</v>
      </c>
      <c r="AK28" s="84">
        <v>20.8</v>
      </c>
      <c r="AL28" s="84">
        <v>0.74034190335172967</v>
      </c>
      <c r="AM28" s="84">
        <v>2.46</v>
      </c>
      <c r="AN28" s="85">
        <v>22280</v>
      </c>
      <c r="AO28" s="85">
        <v>22287</v>
      </c>
      <c r="AP28" s="85">
        <v>322</v>
      </c>
      <c r="AQ28" s="135">
        <v>293.26047358834245</v>
      </c>
      <c r="AR28" s="85">
        <v>1098</v>
      </c>
      <c r="AS28" s="85">
        <v>429</v>
      </c>
      <c r="AT28" s="135">
        <v>1137.9310344827586</v>
      </c>
      <c r="AU28" s="85">
        <v>377</v>
      </c>
      <c r="AV28" s="85">
        <v>44</v>
      </c>
      <c r="AW28" s="135">
        <v>316.54676258992805</v>
      </c>
      <c r="AX28" s="85">
        <v>139</v>
      </c>
      <c r="AY28" s="135" t="s">
        <v>379</v>
      </c>
      <c r="AZ28" s="135" t="s">
        <v>379</v>
      </c>
      <c r="BA28" s="89">
        <v>0</v>
      </c>
      <c r="BB28" s="87">
        <v>274.06941132075474</v>
      </c>
      <c r="BC28" s="91">
        <v>11.202185792349727</v>
      </c>
      <c r="BD28" s="85">
        <v>5923</v>
      </c>
      <c r="BE28" s="92">
        <v>26.584380610412929</v>
      </c>
      <c r="BF28" s="85">
        <v>2344</v>
      </c>
      <c r="BG28" s="92">
        <v>10.520646319569121</v>
      </c>
      <c r="BH28" s="85">
        <v>558</v>
      </c>
      <c r="BI28" s="92">
        <v>2.504488330341113</v>
      </c>
      <c r="BJ28" s="85">
        <v>408</v>
      </c>
      <c r="BK28" s="92">
        <v>1.8312387791741473</v>
      </c>
      <c r="BL28" s="85">
        <v>677</v>
      </c>
      <c r="BM28" s="92">
        <v>3.0385996409335725</v>
      </c>
      <c r="BN28" s="85">
        <v>11959</v>
      </c>
      <c r="BO28" s="92">
        <v>53.675942549371634</v>
      </c>
      <c r="BP28" s="85">
        <v>411</v>
      </c>
      <c r="BQ28" s="92">
        <v>1.8447037701974867</v>
      </c>
      <c r="BR28" s="165">
        <v>3208.5590465872156</v>
      </c>
      <c r="BS28" s="165">
        <v>302.27518959913328</v>
      </c>
      <c r="BT28" s="111">
        <v>1076.9230769230769</v>
      </c>
      <c r="BU28" s="165">
        <v>221.01841820151679</v>
      </c>
      <c r="BV28" s="165">
        <v>366.73889490790901</v>
      </c>
      <c r="BW28" s="165">
        <v>192.84940411700975</v>
      </c>
      <c r="BX28" s="165">
        <v>222.64355362946912</v>
      </c>
      <c r="BY28" s="112">
        <v>0</v>
      </c>
      <c r="BZ28" s="165">
        <v>6478.3315276273024</v>
      </c>
      <c r="CA28" s="110" t="s">
        <v>355</v>
      </c>
      <c r="CB28" s="112">
        <v>459.01639344262293</v>
      </c>
      <c r="CC28" s="110" t="s">
        <v>355</v>
      </c>
      <c r="CD28" s="110" t="s">
        <v>355</v>
      </c>
      <c r="CE28" s="110" t="s">
        <v>355</v>
      </c>
      <c r="CF28" s="110" t="s">
        <v>355</v>
      </c>
      <c r="CG28" s="110" t="s">
        <v>355</v>
      </c>
      <c r="CH28" s="110" t="s">
        <v>355</v>
      </c>
      <c r="CI28" s="110" t="s">
        <v>355</v>
      </c>
      <c r="CJ28" s="87">
        <v>1251</v>
      </c>
      <c r="CK28" s="92">
        <v>31.095123900879294</v>
      </c>
      <c r="CL28" s="139">
        <v>2395.8200000000002</v>
      </c>
      <c r="CM28" s="139">
        <v>1297.8439869989165</v>
      </c>
      <c r="CN28" s="139">
        <v>1</v>
      </c>
      <c r="CO28" s="115">
        <v>4</v>
      </c>
      <c r="CP28" s="115">
        <v>7</v>
      </c>
      <c r="CQ28" s="110">
        <v>0</v>
      </c>
      <c r="CR28" s="86">
        <v>0</v>
      </c>
      <c r="CS28" s="85">
        <v>5706</v>
      </c>
      <c r="CT28" s="85">
        <v>6931</v>
      </c>
      <c r="CU28" s="84">
        <v>82.33</v>
      </c>
      <c r="CV28" s="84">
        <v>0.23</v>
      </c>
      <c r="CW28" s="84">
        <v>19.11</v>
      </c>
      <c r="CX28" s="115" t="s">
        <v>339</v>
      </c>
      <c r="CY28" s="114">
        <v>0</v>
      </c>
      <c r="CZ28" s="129">
        <v>0</v>
      </c>
      <c r="DA28" s="129">
        <v>0</v>
      </c>
      <c r="DB28" s="129">
        <v>0</v>
      </c>
      <c r="DC28" s="129">
        <v>0</v>
      </c>
      <c r="DD28" s="129">
        <v>200000</v>
      </c>
      <c r="DE28" s="87">
        <v>0</v>
      </c>
      <c r="DF28" s="87">
        <v>0</v>
      </c>
      <c r="DG28" s="114">
        <v>0</v>
      </c>
      <c r="DH28" s="164">
        <v>0</v>
      </c>
      <c r="DI28" s="114" t="s">
        <v>379</v>
      </c>
      <c r="DJ28" s="114" t="s">
        <v>379</v>
      </c>
      <c r="DK28" s="114" t="s">
        <v>379</v>
      </c>
      <c r="DL28" s="114" t="s">
        <v>379</v>
      </c>
      <c r="DM28" s="114" t="s">
        <v>379</v>
      </c>
      <c r="DN28" s="114" t="s">
        <v>379</v>
      </c>
      <c r="DO28" s="114" t="s">
        <v>379</v>
      </c>
      <c r="DP28" s="114" t="s">
        <v>379</v>
      </c>
      <c r="DQ28" s="88">
        <v>42</v>
      </c>
      <c r="DR28" s="147">
        <v>43.952380952380949</v>
      </c>
      <c r="DT28" s="55"/>
      <c r="DU28" s="55"/>
    </row>
    <row r="29" spans="1:125" s="32" customFormat="1" ht="15" customHeight="1" thickBot="1">
      <c r="A29" s="100" t="s">
        <v>252</v>
      </c>
      <c r="B29" s="184">
        <v>2017</v>
      </c>
      <c r="C29" s="109">
        <v>4</v>
      </c>
      <c r="D29" s="83" t="s">
        <v>347</v>
      </c>
      <c r="E29" s="83" t="s">
        <v>412</v>
      </c>
      <c r="F29" s="132">
        <v>1965.2</v>
      </c>
      <c r="G29" s="85">
        <v>57521</v>
      </c>
      <c r="H29" s="86">
        <v>7.9416014562104786</v>
      </c>
      <c r="I29" s="132">
        <v>29.269794422959496</v>
      </c>
      <c r="J29" s="85">
        <v>28684</v>
      </c>
      <c r="K29" s="173">
        <v>49.867005093791832</v>
      </c>
      <c r="L29" s="85">
        <v>28837</v>
      </c>
      <c r="M29" s="173">
        <v>50.132994906208175</v>
      </c>
      <c r="N29" s="161">
        <v>27.221362632777595</v>
      </c>
      <c r="O29" s="161">
        <v>50.927487352445191</v>
      </c>
      <c r="P29" s="161">
        <v>21.851150014777211</v>
      </c>
      <c r="Q29" s="161">
        <v>40.258340432189982</v>
      </c>
      <c r="R29" s="159">
        <v>37.8905095530328</v>
      </c>
      <c r="S29" s="160">
        <v>21.851150014777211</v>
      </c>
      <c r="T29" s="84">
        <v>7.2</v>
      </c>
      <c r="U29" s="84">
        <v>1.9</v>
      </c>
      <c r="V29" s="89">
        <v>12</v>
      </c>
      <c r="W29" s="90">
        <v>7.6</v>
      </c>
      <c r="X29" s="148">
        <v>55219</v>
      </c>
      <c r="Y29" s="89">
        <v>2.6</v>
      </c>
      <c r="Z29" s="89" t="s">
        <v>340</v>
      </c>
      <c r="AA29" s="85">
        <v>2750</v>
      </c>
      <c r="AB29" s="110" t="s">
        <v>355</v>
      </c>
      <c r="AC29" s="110" t="s">
        <v>355</v>
      </c>
      <c r="AD29" s="110" t="s">
        <v>355</v>
      </c>
      <c r="AE29" s="110" t="s">
        <v>355</v>
      </c>
      <c r="AF29" s="84">
        <v>-3.14</v>
      </c>
      <c r="AG29" s="84">
        <v>2.66</v>
      </c>
      <c r="AH29" s="84">
        <v>52.16</v>
      </c>
      <c r="AI29" s="86">
        <v>47.844067018795634</v>
      </c>
      <c r="AJ29" s="84">
        <v>1.69</v>
      </c>
      <c r="AK29" s="84">
        <v>4.78</v>
      </c>
      <c r="AL29" s="84">
        <v>2.2948766454878733</v>
      </c>
      <c r="AM29" s="84">
        <v>6.35</v>
      </c>
      <c r="AN29" s="85">
        <v>79057</v>
      </c>
      <c r="AO29" s="85">
        <v>76649</v>
      </c>
      <c r="AP29" s="85">
        <v>25833</v>
      </c>
      <c r="AQ29" s="135">
        <v>1101.1508951406649</v>
      </c>
      <c r="AR29" s="85">
        <v>23460</v>
      </c>
      <c r="AS29" s="85">
        <v>2870</v>
      </c>
      <c r="AT29" s="135">
        <v>3033.8266384778012</v>
      </c>
      <c r="AU29" s="85">
        <v>946</v>
      </c>
      <c r="AV29" s="85">
        <v>4794</v>
      </c>
      <c r="AW29" s="135">
        <v>3191.7443408788281</v>
      </c>
      <c r="AX29" s="85">
        <v>1502</v>
      </c>
      <c r="AY29" s="85">
        <v>1027</v>
      </c>
      <c r="AZ29" s="135">
        <v>205400</v>
      </c>
      <c r="BA29" s="89">
        <v>5</v>
      </c>
      <c r="BB29" s="87">
        <v>134.01110549183176</v>
      </c>
      <c r="BC29" s="91">
        <v>19.714407502131287</v>
      </c>
      <c r="BD29" s="85">
        <v>15478</v>
      </c>
      <c r="BE29" s="92">
        <v>18.87031686234349</v>
      </c>
      <c r="BF29" s="85">
        <v>3295</v>
      </c>
      <c r="BG29" s="92">
        <v>4.0171659168769729</v>
      </c>
      <c r="BH29" s="85">
        <v>21004</v>
      </c>
      <c r="BI29" s="92">
        <v>25.607451568462501</v>
      </c>
      <c r="BJ29" s="85">
        <v>6518</v>
      </c>
      <c r="BK29" s="92">
        <v>7.946551576996697</v>
      </c>
      <c r="BL29" s="85">
        <v>10826</v>
      </c>
      <c r="BM29" s="92">
        <v>13.198736939638881</v>
      </c>
      <c r="BN29" s="85">
        <v>14691</v>
      </c>
      <c r="BO29" s="92">
        <v>17.910829889177428</v>
      </c>
      <c r="BP29" s="85">
        <v>10211</v>
      </c>
      <c r="BQ29" s="92">
        <v>12.448947246504028</v>
      </c>
      <c r="BR29" s="165">
        <v>269.08433441699555</v>
      </c>
      <c r="BS29" s="165">
        <v>365.15359607795415</v>
      </c>
      <c r="BT29" s="111">
        <v>0</v>
      </c>
      <c r="BU29" s="165">
        <v>113.31513708037065</v>
      </c>
      <c r="BV29" s="165">
        <v>152.06620190886807</v>
      </c>
      <c r="BW29" s="165">
        <v>57.283426922341405</v>
      </c>
      <c r="BX29" s="165">
        <v>177.51777611654873</v>
      </c>
      <c r="BY29" s="112">
        <v>36.143321569513745</v>
      </c>
      <c r="BZ29" s="165">
        <v>255.40237478486119</v>
      </c>
      <c r="CA29" s="110" t="s">
        <v>355</v>
      </c>
      <c r="CB29" s="112">
        <v>481.20204603580561</v>
      </c>
      <c r="CC29" s="110" t="s">
        <v>355</v>
      </c>
      <c r="CD29" s="110" t="s">
        <v>355</v>
      </c>
      <c r="CE29" s="110" t="s">
        <v>355</v>
      </c>
      <c r="CF29" s="110" t="s">
        <v>355</v>
      </c>
      <c r="CG29" s="110" t="s">
        <v>355</v>
      </c>
      <c r="CH29" s="110" t="s">
        <v>355</v>
      </c>
      <c r="CI29" s="110" t="s">
        <v>355</v>
      </c>
      <c r="CJ29" s="87">
        <v>41779</v>
      </c>
      <c r="CK29" s="92">
        <v>63.484047009263023</v>
      </c>
      <c r="CL29" s="139">
        <v>1051.1199999999999</v>
      </c>
      <c r="CM29" s="139">
        <v>18.273673962552806</v>
      </c>
      <c r="CN29" s="139">
        <v>651.41999999999996</v>
      </c>
      <c r="CO29" s="115">
        <v>3</v>
      </c>
      <c r="CP29" s="115">
        <v>22</v>
      </c>
      <c r="CQ29" s="110">
        <v>2</v>
      </c>
      <c r="CR29" s="86">
        <v>3.2474142576529283</v>
      </c>
      <c r="CS29" s="85">
        <v>11672</v>
      </c>
      <c r="CT29" s="85">
        <v>10818</v>
      </c>
      <c r="CU29" s="84">
        <v>107.89</v>
      </c>
      <c r="CV29" s="84">
        <v>35.46</v>
      </c>
      <c r="CW29" s="84">
        <v>4.26</v>
      </c>
      <c r="CX29" s="115" t="s">
        <v>339</v>
      </c>
      <c r="CY29" s="114">
        <v>91000</v>
      </c>
      <c r="CZ29" s="129">
        <v>293000</v>
      </c>
      <c r="DA29" s="129">
        <v>0</v>
      </c>
      <c r="DB29" s="129">
        <v>45000</v>
      </c>
      <c r="DC29" s="129">
        <v>4000</v>
      </c>
      <c r="DD29" s="129">
        <v>308449</v>
      </c>
      <c r="DE29" s="87">
        <v>1</v>
      </c>
      <c r="DF29" s="87">
        <v>26508</v>
      </c>
      <c r="DG29" s="114">
        <v>0</v>
      </c>
      <c r="DH29" s="162">
        <v>13</v>
      </c>
      <c r="DI29" s="114">
        <v>4424.6923076923076</v>
      </c>
      <c r="DJ29" s="114">
        <v>23.076923076923077</v>
      </c>
      <c r="DK29" s="114">
        <v>76.923076923076934</v>
      </c>
      <c r="DL29" s="114">
        <v>0</v>
      </c>
      <c r="DM29" s="114">
        <v>0</v>
      </c>
      <c r="DN29" s="114">
        <v>0</v>
      </c>
      <c r="DO29" s="114">
        <v>69</v>
      </c>
      <c r="DP29" s="114">
        <v>31</v>
      </c>
      <c r="DQ29" s="88">
        <v>299</v>
      </c>
      <c r="DR29" s="147">
        <v>192.37792642140468</v>
      </c>
      <c r="DT29" s="55"/>
      <c r="DU29" s="55"/>
    </row>
    <row r="30" spans="1:125" s="32" customFormat="1" ht="15" customHeight="1" thickBot="1">
      <c r="A30" s="100" t="s">
        <v>121</v>
      </c>
      <c r="B30" s="184">
        <v>2017</v>
      </c>
      <c r="C30" s="109">
        <v>4</v>
      </c>
      <c r="D30" s="83" t="s">
        <v>347</v>
      </c>
      <c r="E30" s="83"/>
      <c r="F30" s="132">
        <v>10428.700000000001</v>
      </c>
      <c r="G30" s="85">
        <v>51570</v>
      </c>
      <c r="H30" s="86">
        <v>0.43625598878198613</v>
      </c>
      <c r="I30" s="132">
        <v>4.9450075273044574</v>
      </c>
      <c r="J30" s="85">
        <v>25772</v>
      </c>
      <c r="K30" s="173">
        <v>49.974791545472172</v>
      </c>
      <c r="L30" s="85">
        <v>25798</v>
      </c>
      <c r="M30" s="173">
        <v>50.025208454527828</v>
      </c>
      <c r="N30" s="161">
        <v>22.883459375605973</v>
      </c>
      <c r="O30" s="161">
        <v>43.872406437851467</v>
      </c>
      <c r="P30" s="161">
        <v>33.24413418654256</v>
      </c>
      <c r="Q30" s="161">
        <v>31.516385495443089</v>
      </c>
      <c r="R30" s="159">
        <v>35.239480318014351</v>
      </c>
      <c r="S30" s="160">
        <v>33.24413418654256</v>
      </c>
      <c r="T30" s="84">
        <v>6.3</v>
      </c>
      <c r="U30" s="84">
        <v>2.1</v>
      </c>
      <c r="V30" s="89">
        <v>16</v>
      </c>
      <c r="W30" s="90">
        <v>10.3</v>
      </c>
      <c r="X30" s="148">
        <v>45451</v>
      </c>
      <c r="Y30" s="89">
        <v>2.2999999999999998</v>
      </c>
      <c r="Z30" s="89" t="s">
        <v>340</v>
      </c>
      <c r="AA30" s="85">
        <v>3847</v>
      </c>
      <c r="AB30" s="110" t="s">
        <v>355</v>
      </c>
      <c r="AC30" s="110" t="s">
        <v>355</v>
      </c>
      <c r="AD30" s="110" t="s">
        <v>355</v>
      </c>
      <c r="AE30" s="110" t="s">
        <v>355</v>
      </c>
      <c r="AF30" s="84">
        <v>-5.97</v>
      </c>
      <c r="AG30" s="84">
        <v>4.29</v>
      </c>
      <c r="AH30" s="84">
        <v>67.319999999999993</v>
      </c>
      <c r="AI30" s="86">
        <v>32.681150828518163</v>
      </c>
      <c r="AJ30" s="84">
        <v>6.03</v>
      </c>
      <c r="AK30" s="84">
        <v>2.89</v>
      </c>
      <c r="AL30" s="84">
        <v>11.479793180097611</v>
      </c>
      <c r="AM30" s="84">
        <v>13.22</v>
      </c>
      <c r="AN30" s="85">
        <v>131583</v>
      </c>
      <c r="AO30" s="85">
        <v>124159</v>
      </c>
      <c r="AP30" s="85">
        <v>20755</v>
      </c>
      <c r="AQ30" s="135">
        <v>917.21833817979336</v>
      </c>
      <c r="AR30" s="85">
        <v>22628.2</v>
      </c>
      <c r="AS30" s="85">
        <v>2886</v>
      </c>
      <c r="AT30" s="135">
        <v>1295.3321364452424</v>
      </c>
      <c r="AU30" s="85">
        <v>2228</v>
      </c>
      <c r="AV30" s="85">
        <v>3518</v>
      </c>
      <c r="AW30" s="135">
        <v>2367.748014537623</v>
      </c>
      <c r="AX30" s="85">
        <v>1485.8</v>
      </c>
      <c r="AY30" s="135" t="s">
        <v>379</v>
      </c>
      <c r="AZ30" s="135" t="s">
        <v>379</v>
      </c>
      <c r="BA30" s="89">
        <v>0</v>
      </c>
      <c r="BB30" s="87">
        <v>167.30280032401782</v>
      </c>
      <c r="BC30" s="91">
        <v>26.533263803572531</v>
      </c>
      <c r="BD30" s="85">
        <v>23212</v>
      </c>
      <c r="BE30" s="92">
        <v>17.10676620801981</v>
      </c>
      <c r="BF30" s="85">
        <v>33904</v>
      </c>
      <c r="BG30" s="92">
        <v>24.98655012565499</v>
      </c>
      <c r="BH30" s="85">
        <v>14899</v>
      </c>
      <c r="BI30" s="92">
        <v>10.980256321440942</v>
      </c>
      <c r="BJ30" s="85">
        <v>10749</v>
      </c>
      <c r="BK30" s="92">
        <v>7.9217917443565806</v>
      </c>
      <c r="BL30" s="85">
        <v>10459</v>
      </c>
      <c r="BM30" s="92">
        <v>7.7080677136687576</v>
      </c>
      <c r="BN30" s="85">
        <v>32623</v>
      </c>
      <c r="BO30" s="92">
        <v>24.042479493547745</v>
      </c>
      <c r="BP30" s="85">
        <v>9843</v>
      </c>
      <c r="BQ30" s="92">
        <v>7.2540883933111751</v>
      </c>
      <c r="BR30" s="165">
        <v>450.10665115377157</v>
      </c>
      <c r="BS30" s="165">
        <v>288.90828000775645</v>
      </c>
      <c r="BT30" s="111">
        <v>604.82838859802212</v>
      </c>
      <c r="BU30" s="165">
        <v>208.43513670738801</v>
      </c>
      <c r="BV30" s="165">
        <v>170.00193911188674</v>
      </c>
      <c r="BW30" s="165">
        <v>52.608105487686636</v>
      </c>
      <c r="BX30" s="165">
        <v>190.86678301337986</v>
      </c>
      <c r="BY30" s="112">
        <v>32.809773123909252</v>
      </c>
      <c r="BZ30" s="165">
        <v>632.59647081636615</v>
      </c>
      <c r="CA30" s="110" t="s">
        <v>355</v>
      </c>
      <c r="CB30" s="112">
        <v>266.57003208385993</v>
      </c>
      <c r="CC30" s="110" t="s">
        <v>355</v>
      </c>
      <c r="CD30" s="110" t="s">
        <v>355</v>
      </c>
      <c r="CE30" s="110" t="s">
        <v>355</v>
      </c>
      <c r="CF30" s="110" t="s">
        <v>355</v>
      </c>
      <c r="CG30" s="110" t="s">
        <v>355</v>
      </c>
      <c r="CH30" s="110" t="s">
        <v>355</v>
      </c>
      <c r="CI30" s="110" t="s">
        <v>355</v>
      </c>
      <c r="CJ30" s="87">
        <v>31631</v>
      </c>
      <c r="CK30" s="92">
        <v>50.883626821788752</v>
      </c>
      <c r="CL30" s="139">
        <v>2446.3300000000004</v>
      </c>
      <c r="CM30" s="139">
        <v>47.437075819274781</v>
      </c>
      <c r="CN30" s="139">
        <v>646</v>
      </c>
      <c r="CO30" s="115">
        <v>7</v>
      </c>
      <c r="CP30" s="115">
        <v>24</v>
      </c>
      <c r="CQ30" s="110">
        <v>4</v>
      </c>
      <c r="CR30" s="86">
        <v>4.4979531365745249</v>
      </c>
      <c r="CS30" s="85">
        <v>15706</v>
      </c>
      <c r="CT30" s="85">
        <v>21084</v>
      </c>
      <c r="CU30" s="84">
        <v>74.489999999999995</v>
      </c>
      <c r="CV30" s="84">
        <v>21.29</v>
      </c>
      <c r="CW30" s="84">
        <v>3.87</v>
      </c>
      <c r="CX30" s="115" t="s">
        <v>339</v>
      </c>
      <c r="CY30" s="114">
        <v>24000</v>
      </c>
      <c r="CZ30" s="129">
        <v>195000</v>
      </c>
      <c r="DA30" s="129">
        <v>0</v>
      </c>
      <c r="DB30" s="129">
        <v>4000</v>
      </c>
      <c r="DC30" s="129">
        <v>5000</v>
      </c>
      <c r="DD30" s="129">
        <v>272366</v>
      </c>
      <c r="DE30" s="87">
        <v>4</v>
      </c>
      <c r="DF30" s="87">
        <v>200</v>
      </c>
      <c r="DG30" s="114">
        <v>0</v>
      </c>
      <c r="DH30" s="162">
        <v>9</v>
      </c>
      <c r="DI30" s="114">
        <v>5730</v>
      </c>
      <c r="DJ30" s="114">
        <v>23</v>
      </c>
      <c r="DK30" s="114">
        <v>77</v>
      </c>
      <c r="DL30" s="114">
        <v>0</v>
      </c>
      <c r="DM30" s="114">
        <v>0</v>
      </c>
      <c r="DN30" s="114">
        <v>0</v>
      </c>
      <c r="DO30" s="114">
        <v>56</v>
      </c>
      <c r="DP30" s="114">
        <v>44</v>
      </c>
      <c r="DQ30" s="88">
        <v>512</v>
      </c>
      <c r="DR30" s="147">
        <v>100.72265625</v>
      </c>
      <c r="DT30" s="55"/>
      <c r="DU30" s="55"/>
    </row>
    <row r="31" spans="1:125" s="32" customFormat="1" ht="15" customHeight="1" thickBot="1">
      <c r="A31" s="100" t="s">
        <v>253</v>
      </c>
      <c r="B31" s="184">
        <v>2017</v>
      </c>
      <c r="C31" s="109">
        <v>10</v>
      </c>
      <c r="D31" s="83" t="s">
        <v>350</v>
      </c>
      <c r="E31" s="83" t="s">
        <v>417</v>
      </c>
      <c r="F31" s="132">
        <v>45579.3</v>
      </c>
      <c r="G31" s="85">
        <v>4729</v>
      </c>
      <c r="H31" s="86">
        <v>-3.4897959183673444</v>
      </c>
      <c r="I31" s="132">
        <v>0.10375323886062313</v>
      </c>
      <c r="J31" s="85">
        <v>2433</v>
      </c>
      <c r="K31" s="173">
        <v>51.448509198562064</v>
      </c>
      <c r="L31" s="85">
        <v>2296</v>
      </c>
      <c r="M31" s="173">
        <v>48.551490801437936</v>
      </c>
      <c r="N31" s="161">
        <v>27.341932755339393</v>
      </c>
      <c r="O31" s="161">
        <v>53.245929371960244</v>
      </c>
      <c r="P31" s="161">
        <v>19.41213787270036</v>
      </c>
      <c r="Q31" s="161">
        <v>40.515965320363712</v>
      </c>
      <c r="R31" s="159">
        <v>40.071896806935925</v>
      </c>
      <c r="S31" s="160">
        <v>19.41213787270036</v>
      </c>
      <c r="T31" s="84">
        <v>13.7</v>
      </c>
      <c r="U31" s="84">
        <v>4.0999999999999996</v>
      </c>
      <c r="V31" s="89">
        <v>58</v>
      </c>
      <c r="W31" s="90">
        <v>1.4</v>
      </c>
      <c r="X31" s="148">
        <v>69031</v>
      </c>
      <c r="Y31" s="89">
        <v>2.4</v>
      </c>
      <c r="Z31" s="89" t="s">
        <v>345</v>
      </c>
      <c r="AA31" s="85">
        <v>462</v>
      </c>
      <c r="AB31" s="110" t="s">
        <v>355</v>
      </c>
      <c r="AC31" s="110" t="s">
        <v>355</v>
      </c>
      <c r="AD31" s="110" t="s">
        <v>355</v>
      </c>
      <c r="AE31" s="110" t="s">
        <v>355</v>
      </c>
      <c r="AF31" s="84">
        <v>2.66</v>
      </c>
      <c r="AG31" s="84">
        <v>6.07</v>
      </c>
      <c r="AH31" s="84">
        <v>49.65</v>
      </c>
      <c r="AI31" s="86">
        <v>50.354627973337728</v>
      </c>
      <c r="AJ31" s="84">
        <v>5.14</v>
      </c>
      <c r="AK31" s="84">
        <v>5.52</v>
      </c>
      <c r="AL31" s="84">
        <v>3.914790732362925</v>
      </c>
      <c r="AM31" s="84">
        <v>8.48</v>
      </c>
      <c r="AN31" s="85">
        <v>31751.802</v>
      </c>
      <c r="AO31" s="85">
        <v>32619.879000000001</v>
      </c>
      <c r="AP31" s="85">
        <v>1093</v>
      </c>
      <c r="AQ31" s="135">
        <v>533.95212506106498</v>
      </c>
      <c r="AR31" s="85">
        <v>2047</v>
      </c>
      <c r="AS31" s="85">
        <v>677</v>
      </c>
      <c r="AT31" s="135">
        <v>1635.2657004830917</v>
      </c>
      <c r="AU31" s="85">
        <v>414</v>
      </c>
      <c r="AV31" s="85">
        <v>394</v>
      </c>
      <c r="AW31" s="135">
        <v>1028.7206266318537</v>
      </c>
      <c r="AX31" s="85">
        <v>383</v>
      </c>
      <c r="AY31" s="85">
        <v>3107</v>
      </c>
      <c r="AZ31" s="135">
        <v>115074.07407407407</v>
      </c>
      <c r="BA31" s="89">
        <v>27</v>
      </c>
      <c r="BB31" s="87">
        <v>49.753293492695882</v>
      </c>
      <c r="BC31" s="91">
        <v>13.336590131900342</v>
      </c>
      <c r="BD31" s="85">
        <v>2061</v>
      </c>
      <c r="BE31" s="92">
        <v>6.4909297052154189</v>
      </c>
      <c r="BF31" s="85">
        <v>5179</v>
      </c>
      <c r="BG31" s="92">
        <v>16.310783572688333</v>
      </c>
      <c r="BH31" s="85">
        <v>765</v>
      </c>
      <c r="BI31" s="92">
        <v>2.4092970521541952</v>
      </c>
      <c r="BJ31" s="85">
        <v>5791</v>
      </c>
      <c r="BK31" s="92">
        <v>18.238221214411691</v>
      </c>
      <c r="BL31" s="85">
        <v>2898</v>
      </c>
      <c r="BM31" s="92">
        <v>9.1269841269841265</v>
      </c>
      <c r="BN31" s="85">
        <v>7361</v>
      </c>
      <c r="BO31" s="92">
        <v>23.182791635172588</v>
      </c>
      <c r="BP31" s="85">
        <v>7697</v>
      </c>
      <c r="BQ31" s="92">
        <v>24.240992693373645</v>
      </c>
      <c r="BR31" s="165">
        <v>435.82152674984138</v>
      </c>
      <c r="BS31" s="165">
        <v>161.76781560583632</v>
      </c>
      <c r="BT31" s="111">
        <v>902.93931063649825</v>
      </c>
      <c r="BU31" s="165">
        <v>1224.5717910763376</v>
      </c>
      <c r="BV31" s="165">
        <v>523.15500105730598</v>
      </c>
      <c r="BW31" s="165">
        <v>192.21822795517022</v>
      </c>
      <c r="BX31" s="165">
        <v>1627.6168323112709</v>
      </c>
      <c r="BY31" s="112">
        <v>89.6595474730387</v>
      </c>
      <c r="BZ31" s="165">
        <v>1556.5658701628251</v>
      </c>
      <c r="CA31" s="110" t="s">
        <v>355</v>
      </c>
      <c r="CB31" s="112">
        <v>283.82999511480216</v>
      </c>
      <c r="CC31" s="110" t="s">
        <v>355</v>
      </c>
      <c r="CD31" s="110" t="s">
        <v>355</v>
      </c>
      <c r="CE31" s="110" t="s">
        <v>355</v>
      </c>
      <c r="CF31" s="110" t="s">
        <v>355</v>
      </c>
      <c r="CG31" s="110" t="s">
        <v>355</v>
      </c>
      <c r="CH31" s="110" t="s">
        <v>355</v>
      </c>
      <c r="CI31" s="110" t="s">
        <v>355</v>
      </c>
      <c r="CJ31" s="87">
        <v>4181</v>
      </c>
      <c r="CK31" s="92">
        <v>41.138483616359721</v>
      </c>
      <c r="CL31" s="139">
        <v>2319.98</v>
      </c>
      <c r="CM31" s="139">
        <v>490.58574751533092</v>
      </c>
      <c r="CN31" s="139">
        <v>121</v>
      </c>
      <c r="CO31" s="115">
        <v>1</v>
      </c>
      <c r="CP31" s="115">
        <v>4</v>
      </c>
      <c r="CQ31" s="110">
        <v>1</v>
      </c>
      <c r="CR31" s="86">
        <v>5.4075960110333119</v>
      </c>
      <c r="CS31" s="85">
        <v>4788</v>
      </c>
      <c r="CT31" s="85">
        <v>4430</v>
      </c>
      <c r="CU31" s="84">
        <v>108.08</v>
      </c>
      <c r="CV31" s="84">
        <v>28.92</v>
      </c>
      <c r="CW31" s="84">
        <v>1.79</v>
      </c>
      <c r="CX31" s="115" t="s">
        <v>339</v>
      </c>
      <c r="CY31" s="114">
        <v>18000</v>
      </c>
      <c r="CZ31" s="129">
        <v>164000</v>
      </c>
      <c r="DA31" s="129">
        <v>0</v>
      </c>
      <c r="DB31" s="129">
        <v>15996</v>
      </c>
      <c r="DC31" s="129">
        <v>0</v>
      </c>
      <c r="DD31" s="129">
        <v>228517</v>
      </c>
      <c r="DE31" s="87">
        <v>1</v>
      </c>
      <c r="DF31" s="87">
        <v>27000</v>
      </c>
      <c r="DG31" s="114">
        <v>2</v>
      </c>
      <c r="DH31" s="162">
        <v>12</v>
      </c>
      <c r="DI31" s="114">
        <v>394.08333333333331</v>
      </c>
      <c r="DJ31" s="114">
        <v>33.333333333333329</v>
      </c>
      <c r="DK31" s="114">
        <v>66.666666666666657</v>
      </c>
      <c r="DL31" s="114">
        <v>8.3333333333333321</v>
      </c>
      <c r="DM31" s="114">
        <v>0</v>
      </c>
      <c r="DN31" s="114">
        <v>8</v>
      </c>
      <c r="DO31" s="114">
        <v>42</v>
      </c>
      <c r="DP31" s="114">
        <v>50</v>
      </c>
      <c r="DQ31" s="88">
        <v>142</v>
      </c>
      <c r="DR31" s="147">
        <v>33.302816901408448</v>
      </c>
      <c r="DT31" s="55"/>
      <c r="DU31" s="55"/>
    </row>
    <row r="32" spans="1:125" s="32" customFormat="1" ht="15" customHeight="1" thickBot="1">
      <c r="A32" s="100" t="s">
        <v>254</v>
      </c>
      <c r="B32" s="184">
        <v>2017</v>
      </c>
      <c r="C32" s="109">
        <v>5</v>
      </c>
      <c r="D32" s="83" t="s">
        <v>347</v>
      </c>
      <c r="E32" s="83"/>
      <c r="F32" s="132">
        <v>1173.7</v>
      </c>
      <c r="G32" s="85">
        <v>75503</v>
      </c>
      <c r="H32" s="86">
        <v>6.3572334131567931</v>
      </c>
      <c r="I32" s="132">
        <v>64.329044900741238</v>
      </c>
      <c r="J32" s="85">
        <v>36707</v>
      </c>
      <c r="K32" s="173">
        <v>48.616611260479715</v>
      </c>
      <c r="L32" s="85">
        <v>38796</v>
      </c>
      <c r="M32" s="173">
        <v>51.383388739520285</v>
      </c>
      <c r="N32" s="161">
        <v>24.74868548269605</v>
      </c>
      <c r="O32" s="161">
        <v>47.510694939273932</v>
      </c>
      <c r="P32" s="161">
        <v>27.740619578030014</v>
      </c>
      <c r="Q32" s="161">
        <v>35.640967908559922</v>
      </c>
      <c r="R32" s="159">
        <v>36.618412513410064</v>
      </c>
      <c r="S32" s="160">
        <v>27.740619578030014</v>
      </c>
      <c r="T32" s="84">
        <v>5</v>
      </c>
      <c r="U32" s="84">
        <v>7.5</v>
      </c>
      <c r="V32" s="89">
        <v>61</v>
      </c>
      <c r="W32" s="90">
        <v>8.1</v>
      </c>
      <c r="X32" s="148">
        <v>46577</v>
      </c>
      <c r="Y32" s="89">
        <v>2.4</v>
      </c>
      <c r="Z32" s="89" t="s">
        <v>340</v>
      </c>
      <c r="AA32" s="85">
        <v>5750</v>
      </c>
      <c r="AB32" s="110" t="s">
        <v>355</v>
      </c>
      <c r="AC32" s="110" t="s">
        <v>355</v>
      </c>
      <c r="AD32" s="110" t="s">
        <v>355</v>
      </c>
      <c r="AE32" s="110" t="s">
        <v>355</v>
      </c>
      <c r="AF32" s="84">
        <v>3.23</v>
      </c>
      <c r="AG32" s="84">
        <v>9.64</v>
      </c>
      <c r="AH32" s="84">
        <v>73.2</v>
      </c>
      <c r="AI32" s="86">
        <v>26.786233446853753</v>
      </c>
      <c r="AJ32" s="84">
        <v>6.58</v>
      </c>
      <c r="AK32" s="84">
        <v>2.33</v>
      </c>
      <c r="AL32" s="84">
        <v>14.692048877588768</v>
      </c>
      <c r="AM32" s="84">
        <v>10.199999999999999</v>
      </c>
      <c r="AN32" s="85">
        <v>164827</v>
      </c>
      <c r="AO32" s="85">
        <v>170406</v>
      </c>
      <c r="AP32" s="85">
        <v>35375</v>
      </c>
      <c r="AQ32" s="135">
        <v>1167.2220939056983</v>
      </c>
      <c r="AR32" s="85">
        <v>30307</v>
      </c>
      <c r="AS32" s="85">
        <v>888</v>
      </c>
      <c r="AT32" s="135">
        <v>2119.3317422434366</v>
      </c>
      <c r="AU32" s="85">
        <v>419</v>
      </c>
      <c r="AV32" s="85">
        <v>8191</v>
      </c>
      <c r="AW32" s="135">
        <v>4512.9476584022041</v>
      </c>
      <c r="AX32" s="85">
        <v>1815</v>
      </c>
      <c r="AY32" s="85" t="s">
        <v>379</v>
      </c>
      <c r="AZ32" s="135" t="s">
        <v>379</v>
      </c>
      <c r="BA32" s="89">
        <v>0</v>
      </c>
      <c r="BB32" s="87">
        <v>163.15597356818284</v>
      </c>
      <c r="BC32" s="91">
        <v>20.20985250932128</v>
      </c>
      <c r="BD32" s="85">
        <v>39955</v>
      </c>
      <c r="BE32" s="92">
        <v>23.39436380563151</v>
      </c>
      <c r="BF32" s="85">
        <v>46800</v>
      </c>
      <c r="BG32" s="92">
        <v>27.402233164899382</v>
      </c>
      <c r="BH32" s="85">
        <v>25054</v>
      </c>
      <c r="BI32" s="92">
        <v>14.669563028063868</v>
      </c>
      <c r="BJ32" s="85">
        <v>5958</v>
      </c>
      <c r="BK32" s="92">
        <v>3.4885150683006518</v>
      </c>
      <c r="BL32" s="85">
        <v>12514</v>
      </c>
      <c r="BM32" s="92">
        <v>7.3271697825972399</v>
      </c>
      <c r="BN32" s="85">
        <v>21888</v>
      </c>
      <c r="BO32" s="92">
        <v>12.815813664814479</v>
      </c>
      <c r="BP32" s="85">
        <v>18620</v>
      </c>
      <c r="BQ32" s="92">
        <v>10.902341485692872</v>
      </c>
      <c r="BR32" s="165">
        <v>529.18427082367589</v>
      </c>
      <c r="BS32" s="165">
        <v>331.82787438909713</v>
      </c>
      <c r="BT32" s="111">
        <v>569.89788485225756</v>
      </c>
      <c r="BU32" s="165">
        <v>78.910771757413613</v>
      </c>
      <c r="BV32" s="165">
        <v>137.82233818523767</v>
      </c>
      <c r="BW32" s="165">
        <v>49.945035296610733</v>
      </c>
      <c r="BX32" s="165">
        <v>246.61271737546852</v>
      </c>
      <c r="BY32" s="112">
        <v>27.919420420380646</v>
      </c>
      <c r="BZ32" s="165">
        <v>289.89576573116301</v>
      </c>
      <c r="CA32" s="110" t="s">
        <v>355</v>
      </c>
      <c r="CB32" s="112">
        <v>593.5922394166364</v>
      </c>
      <c r="CC32" s="110" t="s">
        <v>355</v>
      </c>
      <c r="CD32" s="110" t="s">
        <v>355</v>
      </c>
      <c r="CE32" s="110" t="s">
        <v>355</v>
      </c>
      <c r="CF32" s="110" t="s">
        <v>355</v>
      </c>
      <c r="CG32" s="110" t="s">
        <v>355</v>
      </c>
      <c r="CH32" s="110" t="s">
        <v>355</v>
      </c>
      <c r="CI32" s="110" t="s">
        <v>355</v>
      </c>
      <c r="CJ32" s="87">
        <v>35431</v>
      </c>
      <c r="CK32" s="92">
        <v>69.662160255143803</v>
      </c>
      <c r="CL32" s="139">
        <v>880.09300000000007</v>
      </c>
      <c r="CM32" s="139">
        <v>11.656397759029444</v>
      </c>
      <c r="CN32" s="139">
        <v>1618</v>
      </c>
      <c r="CO32" s="115">
        <v>4</v>
      </c>
      <c r="CP32" s="115">
        <v>10</v>
      </c>
      <c r="CQ32" s="110">
        <v>3</v>
      </c>
      <c r="CR32" s="86">
        <v>4.576055852895978</v>
      </c>
      <c r="CS32" s="85">
        <v>15476</v>
      </c>
      <c r="CT32" s="85">
        <v>15432</v>
      </c>
      <c r="CU32" s="84">
        <v>100.29</v>
      </c>
      <c r="CV32" s="84">
        <v>19.829999999999998</v>
      </c>
      <c r="CW32" s="84">
        <v>0</v>
      </c>
      <c r="CX32" s="115" t="s">
        <v>339</v>
      </c>
      <c r="CY32" s="114">
        <v>70000</v>
      </c>
      <c r="CZ32" s="129">
        <v>212000</v>
      </c>
      <c r="DA32" s="129">
        <v>0</v>
      </c>
      <c r="DB32" s="129">
        <v>28158</v>
      </c>
      <c r="DC32" s="129">
        <v>12345</v>
      </c>
      <c r="DD32" s="129">
        <v>340154</v>
      </c>
      <c r="DE32" s="87">
        <v>2</v>
      </c>
      <c r="DF32" s="87">
        <v>14016</v>
      </c>
      <c r="DG32" s="114">
        <v>0</v>
      </c>
      <c r="DH32" s="162">
        <v>9</v>
      </c>
      <c r="DI32" s="114">
        <v>8389.2222222222226</v>
      </c>
      <c r="DJ32" s="114">
        <v>50</v>
      </c>
      <c r="DK32" s="114">
        <v>50</v>
      </c>
      <c r="DL32" s="114">
        <v>0</v>
      </c>
      <c r="DM32" s="114">
        <v>0</v>
      </c>
      <c r="DN32" s="114">
        <v>0</v>
      </c>
      <c r="DO32" s="114">
        <v>57</v>
      </c>
      <c r="DP32" s="114">
        <v>43</v>
      </c>
      <c r="DQ32" s="88">
        <v>564</v>
      </c>
      <c r="DR32" s="147">
        <v>133.87056737588654</v>
      </c>
      <c r="DT32" s="55"/>
      <c r="DU32" s="55"/>
    </row>
    <row r="33" spans="1:125" s="32" customFormat="1" ht="15" customHeight="1" thickBot="1">
      <c r="A33" s="100" t="s">
        <v>255</v>
      </c>
      <c r="B33" s="184">
        <v>2017</v>
      </c>
      <c r="C33" s="109">
        <v>9</v>
      </c>
      <c r="D33" s="83" t="s">
        <v>348</v>
      </c>
      <c r="E33" s="83" t="s">
        <v>411</v>
      </c>
      <c r="F33" s="132">
        <v>2430.9</v>
      </c>
      <c r="G33" s="85">
        <v>4390</v>
      </c>
      <c r="H33" s="86">
        <v>2.3548612730240226</v>
      </c>
      <c r="I33" s="132">
        <v>1.8059155045456414</v>
      </c>
      <c r="J33" s="85">
        <v>2183</v>
      </c>
      <c r="K33" s="173">
        <v>49.726651480637813</v>
      </c>
      <c r="L33" s="85">
        <v>2207</v>
      </c>
      <c r="M33" s="173">
        <v>50.27334851936218</v>
      </c>
      <c r="N33" s="161">
        <v>27.061503416856493</v>
      </c>
      <c r="O33" s="161">
        <v>44.396355353075172</v>
      </c>
      <c r="P33" s="161">
        <v>28.542141230068335</v>
      </c>
      <c r="Q33" s="161">
        <v>36.81093394077449</v>
      </c>
      <c r="R33" s="159">
        <v>34.646924829157179</v>
      </c>
      <c r="S33" s="160">
        <v>28.542141230068335</v>
      </c>
      <c r="T33" s="84">
        <v>3.2</v>
      </c>
      <c r="U33" s="84">
        <v>1.2</v>
      </c>
      <c r="V33" s="89">
        <v>71</v>
      </c>
      <c r="W33" s="90">
        <v>3.5</v>
      </c>
      <c r="X33" s="148">
        <v>48069</v>
      </c>
      <c r="Y33" s="89">
        <v>2.5</v>
      </c>
      <c r="Z33" s="89" t="s">
        <v>342</v>
      </c>
      <c r="AA33" s="85">
        <v>279</v>
      </c>
      <c r="AB33" s="110" t="s">
        <v>355</v>
      </c>
      <c r="AC33" s="110" t="s">
        <v>355</v>
      </c>
      <c r="AD33" s="110" t="s">
        <v>355</v>
      </c>
      <c r="AE33" s="110" t="s">
        <v>355</v>
      </c>
      <c r="AF33" s="84">
        <v>9.49</v>
      </c>
      <c r="AG33" s="84">
        <v>9.74</v>
      </c>
      <c r="AH33" s="84">
        <v>47.89</v>
      </c>
      <c r="AI33" s="86">
        <v>52.110457610589037</v>
      </c>
      <c r="AJ33" s="84">
        <v>5.5</v>
      </c>
      <c r="AK33" s="84">
        <v>547.62</v>
      </c>
      <c r="AL33" s="84">
        <v>1.3456233600215299E-2</v>
      </c>
      <c r="AM33" s="84">
        <v>21.44</v>
      </c>
      <c r="AN33" s="85">
        <v>13453</v>
      </c>
      <c r="AO33" s="85">
        <v>14863</v>
      </c>
      <c r="AP33" s="85">
        <v>599</v>
      </c>
      <c r="AQ33" s="135">
        <v>335.38633818589028</v>
      </c>
      <c r="AR33" s="85">
        <v>1786</v>
      </c>
      <c r="AS33" s="85">
        <v>1585</v>
      </c>
      <c r="AT33" s="135">
        <v>1849.4749124854143</v>
      </c>
      <c r="AU33" s="85">
        <v>857</v>
      </c>
      <c r="AV33" s="85">
        <v>90</v>
      </c>
      <c r="AW33" s="135">
        <v>386.26609442060084</v>
      </c>
      <c r="AX33" s="85">
        <v>233</v>
      </c>
      <c r="AY33" s="135" t="s">
        <v>379</v>
      </c>
      <c r="AZ33" s="135" t="s">
        <v>379</v>
      </c>
      <c r="BA33" s="89">
        <v>0</v>
      </c>
      <c r="BB33" s="87">
        <v>249.83418645558487</v>
      </c>
      <c r="BC33" s="91">
        <v>21.948488241881297</v>
      </c>
      <c r="BD33" s="85">
        <v>603</v>
      </c>
      <c r="BE33" s="92">
        <v>4.4822716122797885</v>
      </c>
      <c r="BF33" s="85">
        <v>1439</v>
      </c>
      <c r="BG33" s="92">
        <v>10.696498922173493</v>
      </c>
      <c r="BH33" s="85">
        <v>822</v>
      </c>
      <c r="BI33" s="92">
        <v>6.1101613023117523</v>
      </c>
      <c r="BJ33" s="85">
        <v>1944</v>
      </c>
      <c r="BK33" s="92">
        <v>14.450308481379617</v>
      </c>
      <c r="BL33" s="85">
        <v>1241</v>
      </c>
      <c r="BM33" s="92">
        <v>9.2247082435144581</v>
      </c>
      <c r="BN33" s="85">
        <v>4085</v>
      </c>
      <c r="BO33" s="92">
        <v>30.364974355162417</v>
      </c>
      <c r="BP33" s="85">
        <v>3319</v>
      </c>
      <c r="BQ33" s="92">
        <v>24.671077083178471</v>
      </c>
      <c r="BR33" s="165">
        <v>137.35763097949885</v>
      </c>
      <c r="BS33" s="165">
        <v>187.24373576309796</v>
      </c>
      <c r="BT33" s="111">
        <v>183.59908883826878</v>
      </c>
      <c r="BU33" s="165">
        <v>442.82460136674257</v>
      </c>
      <c r="BV33" s="165">
        <v>235.99088838268793</v>
      </c>
      <c r="BW33" s="165">
        <v>144.19134396355352</v>
      </c>
      <c r="BX33" s="165">
        <v>756.03644646924829</v>
      </c>
      <c r="BY33" s="112">
        <v>46.697038724373577</v>
      </c>
      <c r="BZ33" s="165">
        <v>930.52391799544421</v>
      </c>
      <c r="CA33" s="110" t="s">
        <v>355</v>
      </c>
      <c r="CB33" s="112">
        <v>260.91825307950728</v>
      </c>
      <c r="CC33" s="110" t="s">
        <v>355</v>
      </c>
      <c r="CD33" s="110" t="s">
        <v>355</v>
      </c>
      <c r="CE33" s="110" t="s">
        <v>355</v>
      </c>
      <c r="CF33" s="110" t="s">
        <v>355</v>
      </c>
      <c r="CG33" s="110" t="s">
        <v>355</v>
      </c>
      <c r="CH33" s="110" t="s">
        <v>355</v>
      </c>
      <c r="CI33" s="110" t="s">
        <v>355</v>
      </c>
      <c r="CJ33" s="87">
        <v>3691</v>
      </c>
      <c r="CK33" s="92">
        <v>45.380655648875646</v>
      </c>
      <c r="CL33" s="139">
        <v>1338.67</v>
      </c>
      <c r="CM33" s="139">
        <v>304.93621867881546</v>
      </c>
      <c r="CN33" s="139">
        <v>13</v>
      </c>
      <c r="CO33" s="115">
        <v>3</v>
      </c>
      <c r="CP33" s="115">
        <v>7</v>
      </c>
      <c r="CQ33" s="110">
        <v>1</v>
      </c>
      <c r="CR33" s="86">
        <v>5.4347727272727271</v>
      </c>
      <c r="CS33" s="85">
        <v>3410</v>
      </c>
      <c r="CT33" s="85">
        <v>3108</v>
      </c>
      <c r="CU33" s="84">
        <v>109.72</v>
      </c>
      <c r="CV33" s="84">
        <v>146.36000000000001</v>
      </c>
      <c r="CW33" s="84">
        <v>0.4</v>
      </c>
      <c r="CX33" s="115" t="s">
        <v>339</v>
      </c>
      <c r="CY33" s="114">
        <v>10000</v>
      </c>
      <c r="CZ33" s="129">
        <v>92000</v>
      </c>
      <c r="DA33" s="129">
        <v>0</v>
      </c>
      <c r="DB33" s="129">
        <v>3769</v>
      </c>
      <c r="DC33" s="129">
        <v>0</v>
      </c>
      <c r="DD33" s="129">
        <v>209650</v>
      </c>
      <c r="DE33" s="87">
        <v>0</v>
      </c>
      <c r="DF33" s="87">
        <v>0</v>
      </c>
      <c r="DG33" s="114">
        <v>0</v>
      </c>
      <c r="DH33" s="162">
        <v>9</v>
      </c>
      <c r="DI33" s="114">
        <v>487.77777777777777</v>
      </c>
      <c r="DJ33" s="114">
        <v>22</v>
      </c>
      <c r="DK33" s="114">
        <v>78</v>
      </c>
      <c r="DL33" s="114">
        <v>0</v>
      </c>
      <c r="DM33" s="114">
        <v>0</v>
      </c>
      <c r="DN33" s="114">
        <v>0</v>
      </c>
      <c r="DO33" s="114">
        <v>77.777777777777786</v>
      </c>
      <c r="DP33" s="114">
        <v>22.222222222222221</v>
      </c>
      <c r="DQ33" s="88">
        <v>74</v>
      </c>
      <c r="DR33" s="147">
        <v>59.324324324324323</v>
      </c>
      <c r="DT33" s="55"/>
      <c r="DU33" s="55"/>
    </row>
    <row r="34" spans="1:125" s="32" customFormat="1" ht="15" customHeight="1" thickBot="1">
      <c r="A34" s="100" t="s">
        <v>256</v>
      </c>
      <c r="B34" s="184">
        <v>2017</v>
      </c>
      <c r="C34" s="109">
        <v>9</v>
      </c>
      <c r="D34" s="83" t="s">
        <v>348</v>
      </c>
      <c r="E34" s="83"/>
      <c r="F34" s="132">
        <v>9916.1</v>
      </c>
      <c r="G34" s="85">
        <v>4031</v>
      </c>
      <c r="H34" s="86">
        <v>-4.8170011806375479</v>
      </c>
      <c r="I34" s="132">
        <v>0.40651062413650524</v>
      </c>
      <c r="J34" s="85">
        <v>2027</v>
      </c>
      <c r="K34" s="173">
        <v>50.285289010171176</v>
      </c>
      <c r="L34" s="85">
        <v>2004</v>
      </c>
      <c r="M34" s="173">
        <v>49.714710989828824</v>
      </c>
      <c r="N34" s="161">
        <v>27.01562887620938</v>
      </c>
      <c r="O34" s="161">
        <v>47.457206648474326</v>
      </c>
      <c r="P34" s="161">
        <v>25.527164475316301</v>
      </c>
      <c r="Q34" s="161">
        <v>38.327958322996771</v>
      </c>
      <c r="R34" s="159">
        <v>36.144877201686924</v>
      </c>
      <c r="S34" s="160">
        <v>25.527164475316301</v>
      </c>
      <c r="T34" s="84">
        <v>4.5999999999999996</v>
      </c>
      <c r="U34" s="84">
        <v>1.3</v>
      </c>
      <c r="V34" s="89">
        <v>5</v>
      </c>
      <c r="W34" s="90">
        <v>4.8</v>
      </c>
      <c r="X34" s="148">
        <v>41468</v>
      </c>
      <c r="Y34" s="89">
        <v>2.4</v>
      </c>
      <c r="Z34" s="89" t="s">
        <v>342</v>
      </c>
      <c r="AA34" s="85">
        <v>632</v>
      </c>
      <c r="AB34" s="110" t="s">
        <v>355</v>
      </c>
      <c r="AC34" s="110" t="s">
        <v>355</v>
      </c>
      <c r="AD34" s="110" t="s">
        <v>355</v>
      </c>
      <c r="AE34" s="110" t="s">
        <v>355</v>
      </c>
      <c r="AF34" s="84">
        <v>8</v>
      </c>
      <c r="AG34" s="84">
        <v>5.13</v>
      </c>
      <c r="AH34" s="84">
        <v>61.58</v>
      </c>
      <c r="AI34" s="86">
        <v>38.42286358309638</v>
      </c>
      <c r="AJ34" s="84">
        <v>5.25</v>
      </c>
      <c r="AK34" s="84">
        <v>131.97999999999999</v>
      </c>
      <c r="AL34" s="84">
        <v>0.22879555482922045</v>
      </c>
      <c r="AM34" s="84">
        <v>18.39</v>
      </c>
      <c r="AN34" s="85">
        <v>22519</v>
      </c>
      <c r="AO34" s="85">
        <v>24476</v>
      </c>
      <c r="AP34" s="85">
        <v>603</v>
      </c>
      <c r="AQ34" s="135">
        <v>415.28925619834712</v>
      </c>
      <c r="AR34" s="85">
        <v>1452</v>
      </c>
      <c r="AS34" s="85">
        <v>3772</v>
      </c>
      <c r="AT34" s="135">
        <v>4233.4455667788998</v>
      </c>
      <c r="AU34" s="85">
        <v>891</v>
      </c>
      <c r="AV34" s="85">
        <v>159</v>
      </c>
      <c r="AW34" s="135">
        <v>757.14285714285711</v>
      </c>
      <c r="AX34" s="85">
        <v>210</v>
      </c>
      <c r="AY34" s="135" t="s">
        <v>379</v>
      </c>
      <c r="AZ34" s="135" t="s">
        <v>379</v>
      </c>
      <c r="BA34" s="89">
        <v>0</v>
      </c>
      <c r="BB34" s="87">
        <v>225.93374194971327</v>
      </c>
      <c r="BC34" s="91">
        <v>20.179063360881543</v>
      </c>
      <c r="BD34" s="85">
        <v>5158</v>
      </c>
      <c r="BE34" s="92">
        <v>22.614871974745704</v>
      </c>
      <c r="BF34" s="85">
        <v>3246</v>
      </c>
      <c r="BG34" s="92">
        <v>14.231848474219571</v>
      </c>
      <c r="BH34" s="85">
        <v>1314</v>
      </c>
      <c r="BI34" s="92">
        <v>5.7611364433532097</v>
      </c>
      <c r="BJ34" s="85">
        <v>647</v>
      </c>
      <c r="BK34" s="92">
        <v>2.8367239565064888</v>
      </c>
      <c r="BL34" s="85">
        <v>1626</v>
      </c>
      <c r="BM34" s="92">
        <v>7.1290775166608213</v>
      </c>
      <c r="BN34" s="85">
        <v>5654</v>
      </c>
      <c r="BO34" s="92">
        <v>24.789547527183444</v>
      </c>
      <c r="BP34" s="85">
        <v>5163</v>
      </c>
      <c r="BQ34" s="92">
        <v>22.636794107330761</v>
      </c>
      <c r="BR34" s="165">
        <v>1279.58322996775</v>
      </c>
      <c r="BS34" s="165">
        <v>325.97370379558424</v>
      </c>
      <c r="BT34" s="111">
        <v>599.1069213594642</v>
      </c>
      <c r="BU34" s="165">
        <v>160.50607789630365</v>
      </c>
      <c r="BV34" s="165">
        <v>343.83527660630119</v>
      </c>
      <c r="BW34" s="165">
        <v>206.1523195236914</v>
      </c>
      <c r="BX34" s="165">
        <v>1280.8236169684942</v>
      </c>
      <c r="BY34" s="112">
        <v>59.538576035723146</v>
      </c>
      <c r="BZ34" s="165">
        <v>1402.6296204415778</v>
      </c>
      <c r="CA34" s="110" t="s">
        <v>355</v>
      </c>
      <c r="CB34" s="112">
        <v>316.80440771349862</v>
      </c>
      <c r="CC34" s="110" t="s">
        <v>355</v>
      </c>
      <c r="CD34" s="110" t="s">
        <v>355</v>
      </c>
      <c r="CE34" s="110" t="s">
        <v>355</v>
      </c>
      <c r="CF34" s="110" t="s">
        <v>355</v>
      </c>
      <c r="CG34" s="110" t="s">
        <v>355</v>
      </c>
      <c r="CH34" s="110" t="s">
        <v>355</v>
      </c>
      <c r="CI34" s="110" t="s">
        <v>355</v>
      </c>
      <c r="CJ34" s="87">
        <v>3958</v>
      </c>
      <c r="CK34" s="92">
        <v>54.775138959070233</v>
      </c>
      <c r="CL34" s="139">
        <v>1657.0400000000002</v>
      </c>
      <c r="CM34" s="139">
        <v>411.07417514264455</v>
      </c>
      <c r="CN34" s="139">
        <v>30</v>
      </c>
      <c r="CO34" s="115">
        <v>3</v>
      </c>
      <c r="CP34" s="115">
        <v>3</v>
      </c>
      <c r="CQ34" s="110">
        <v>1</v>
      </c>
      <c r="CR34" s="86">
        <v>4.1459566074950693</v>
      </c>
      <c r="CS34" s="85">
        <v>3936</v>
      </c>
      <c r="CT34" s="85">
        <v>2283</v>
      </c>
      <c r="CU34" s="84">
        <v>172.4</v>
      </c>
      <c r="CV34" s="84">
        <v>111.69</v>
      </c>
      <c r="CW34" s="84">
        <v>0.8</v>
      </c>
      <c r="CX34" s="115" t="s">
        <v>339</v>
      </c>
      <c r="CY34" s="114">
        <v>22000</v>
      </c>
      <c r="CZ34" s="129">
        <v>88000</v>
      </c>
      <c r="DA34" s="129">
        <v>0</v>
      </c>
      <c r="DB34" s="129">
        <v>3596</v>
      </c>
      <c r="DC34" s="129">
        <v>0</v>
      </c>
      <c r="DD34" s="129">
        <v>271535</v>
      </c>
      <c r="DE34" s="87">
        <v>0</v>
      </c>
      <c r="DF34" s="87">
        <v>0</v>
      </c>
      <c r="DG34" s="114">
        <v>0</v>
      </c>
      <c r="DH34" s="162">
        <v>7</v>
      </c>
      <c r="DI34" s="114">
        <v>575.85714285714289</v>
      </c>
      <c r="DJ34" s="114">
        <v>14</v>
      </c>
      <c r="DK34" s="114">
        <v>86</v>
      </c>
      <c r="DL34" s="114">
        <v>28.571428571428569</v>
      </c>
      <c r="DM34" s="114">
        <v>14.285714285714285</v>
      </c>
      <c r="DN34" s="114">
        <v>0</v>
      </c>
      <c r="DO34" s="114">
        <v>57.142857142857139</v>
      </c>
      <c r="DP34" s="114">
        <v>42.857142857142854</v>
      </c>
      <c r="DQ34" s="88">
        <v>84</v>
      </c>
      <c r="DR34" s="147">
        <v>47.988095238095241</v>
      </c>
      <c r="DT34" s="55"/>
      <c r="DU34" s="55"/>
    </row>
    <row r="35" spans="1:125" s="32" customFormat="1" ht="15" customHeight="1" thickBot="1">
      <c r="A35" s="100" t="s">
        <v>257</v>
      </c>
      <c r="B35" s="184">
        <v>2017</v>
      </c>
      <c r="C35" s="109">
        <v>11</v>
      </c>
      <c r="D35" s="83" t="s">
        <v>350</v>
      </c>
      <c r="E35" s="83" t="s">
        <v>411</v>
      </c>
      <c r="F35" s="132">
        <v>3981.4</v>
      </c>
      <c r="G35" s="85">
        <v>11244</v>
      </c>
      <c r="H35" s="86">
        <v>-1.221119212861288</v>
      </c>
      <c r="I35" s="132">
        <v>2.8241322147988144</v>
      </c>
      <c r="J35" s="85">
        <v>5619</v>
      </c>
      <c r="K35" s="173">
        <v>49.973319103521881</v>
      </c>
      <c r="L35" s="85">
        <v>5625</v>
      </c>
      <c r="M35" s="173">
        <v>50.026680896478126</v>
      </c>
      <c r="N35" s="161">
        <v>24.341871220206333</v>
      </c>
      <c r="O35" s="161">
        <v>43.329775880469583</v>
      </c>
      <c r="P35" s="161">
        <v>32.328352899324088</v>
      </c>
      <c r="Q35" s="161">
        <v>32.986481679117752</v>
      </c>
      <c r="R35" s="159">
        <v>34.68516542155816</v>
      </c>
      <c r="S35" s="160">
        <v>32.328352899324088</v>
      </c>
      <c r="T35" s="84">
        <v>30.1</v>
      </c>
      <c r="U35" s="84">
        <v>2</v>
      </c>
      <c r="V35" s="89">
        <v>27</v>
      </c>
      <c r="W35" s="90">
        <v>7</v>
      </c>
      <c r="X35" s="148">
        <v>45568</v>
      </c>
      <c r="Y35" s="89">
        <v>2.2999999999999998</v>
      </c>
      <c r="Z35" s="89" t="s">
        <v>342</v>
      </c>
      <c r="AA35" s="85">
        <v>1156</v>
      </c>
      <c r="AB35" s="110" t="s">
        <v>355</v>
      </c>
      <c r="AC35" s="110" t="s">
        <v>355</v>
      </c>
      <c r="AD35" s="110" t="s">
        <v>355</v>
      </c>
      <c r="AE35" s="110" t="s">
        <v>355</v>
      </c>
      <c r="AF35" s="84">
        <v>-29.61</v>
      </c>
      <c r="AG35" s="84">
        <v>5.4</v>
      </c>
      <c r="AH35" s="84">
        <v>65.28</v>
      </c>
      <c r="AI35" s="86">
        <v>34.720037519589162</v>
      </c>
      <c r="AJ35" s="84">
        <v>7.68</v>
      </c>
      <c r="AK35" s="84">
        <v>-0.66</v>
      </c>
      <c r="AL35" s="84">
        <v>1.9119271120927663</v>
      </c>
      <c r="AM35" s="84">
        <v>13.16</v>
      </c>
      <c r="AN35" s="85">
        <v>37557</v>
      </c>
      <c r="AO35" s="85">
        <v>28976</v>
      </c>
      <c r="AP35" s="85">
        <v>2526</v>
      </c>
      <c r="AQ35" s="135">
        <v>545.69021386908616</v>
      </c>
      <c r="AR35" s="85">
        <v>4629</v>
      </c>
      <c r="AS35" s="85">
        <v>3492</v>
      </c>
      <c r="AT35" s="135">
        <v>2704.8799380325331</v>
      </c>
      <c r="AU35" s="85">
        <v>1291</v>
      </c>
      <c r="AV35" s="85">
        <v>987</v>
      </c>
      <c r="AW35" s="135">
        <v>1855.2631578947369</v>
      </c>
      <c r="AX35" s="85">
        <v>532</v>
      </c>
      <c r="AY35" s="85" t="s">
        <v>379</v>
      </c>
      <c r="AZ35" s="135" t="s">
        <v>379</v>
      </c>
      <c r="BA35" s="89">
        <v>0</v>
      </c>
      <c r="BB35" s="87">
        <v>178.26941713062098</v>
      </c>
      <c r="BC35" s="91">
        <v>31.021818967379566</v>
      </c>
      <c r="BD35" s="85">
        <v>13598</v>
      </c>
      <c r="BE35" s="92">
        <v>34.99588223183035</v>
      </c>
      <c r="BF35" s="85">
        <v>5815</v>
      </c>
      <c r="BG35" s="92">
        <v>14.965513691579163</v>
      </c>
      <c r="BH35" s="85">
        <v>1692</v>
      </c>
      <c r="BI35" s="92">
        <v>4.3545398394070416</v>
      </c>
      <c r="BJ35" s="85">
        <v>1496</v>
      </c>
      <c r="BK35" s="92">
        <v>3.8501132386246653</v>
      </c>
      <c r="BL35" s="85">
        <v>2893</v>
      </c>
      <c r="BM35" s="92">
        <v>7.4454395717521109</v>
      </c>
      <c r="BN35" s="85">
        <v>9846</v>
      </c>
      <c r="BO35" s="92">
        <v>25.339715873996294</v>
      </c>
      <c r="BP35" s="85">
        <v>3516</v>
      </c>
      <c r="BQ35" s="92">
        <v>9.0487955528103772</v>
      </c>
      <c r="BR35" s="165">
        <v>1209.3561010316614</v>
      </c>
      <c r="BS35" s="165">
        <v>150.48025613660619</v>
      </c>
      <c r="BT35" s="111">
        <v>430.54073283528993</v>
      </c>
      <c r="BU35" s="165">
        <v>133.04873710423337</v>
      </c>
      <c r="BV35" s="165">
        <v>194.4147990039132</v>
      </c>
      <c r="BW35" s="165">
        <v>86.623977232301669</v>
      </c>
      <c r="BX35" s="165">
        <v>312.70010672358592</v>
      </c>
      <c r="BY35" s="112">
        <v>62.877979366773388</v>
      </c>
      <c r="BZ35" s="165">
        <v>875.66702241195298</v>
      </c>
      <c r="CA35" s="110" t="s">
        <v>355</v>
      </c>
      <c r="CB35" s="112">
        <v>351.2637718729747</v>
      </c>
      <c r="CC35" s="110" t="s">
        <v>355</v>
      </c>
      <c r="CD35" s="110" t="s">
        <v>355</v>
      </c>
      <c r="CE35" s="110" t="s">
        <v>355</v>
      </c>
      <c r="CF35" s="110" t="s">
        <v>355</v>
      </c>
      <c r="CG35" s="110" t="s">
        <v>355</v>
      </c>
      <c r="CH35" s="110" t="s">
        <v>355</v>
      </c>
      <c r="CI35" s="110" t="s">
        <v>355</v>
      </c>
      <c r="CJ35" s="87">
        <v>8195</v>
      </c>
      <c r="CK35" s="92">
        <v>40.890787065283703</v>
      </c>
      <c r="CL35" s="139">
        <v>0</v>
      </c>
      <c r="CM35" s="139">
        <v>0</v>
      </c>
      <c r="CN35" s="139">
        <v>143</v>
      </c>
      <c r="CO35" s="115">
        <v>2</v>
      </c>
      <c r="CP35" s="115">
        <v>8</v>
      </c>
      <c r="CQ35" s="110">
        <v>2</v>
      </c>
      <c r="CR35" s="86">
        <v>5.718366257341164</v>
      </c>
      <c r="CS35" s="85">
        <v>7436</v>
      </c>
      <c r="CT35" s="85">
        <v>0</v>
      </c>
      <c r="CU35" s="84">
        <v>0</v>
      </c>
      <c r="CV35" s="84">
        <v>93.87</v>
      </c>
      <c r="CW35" s="84">
        <v>6.95</v>
      </c>
      <c r="CX35" s="115" t="s">
        <v>378</v>
      </c>
      <c r="CY35" s="114">
        <v>49000</v>
      </c>
      <c r="CZ35" s="129">
        <v>122000</v>
      </c>
      <c r="DA35" s="129">
        <v>0</v>
      </c>
      <c r="DB35" s="129">
        <v>4000</v>
      </c>
      <c r="DC35" s="129">
        <v>0</v>
      </c>
      <c r="DD35" s="129">
        <v>275522</v>
      </c>
      <c r="DE35" s="87">
        <v>0</v>
      </c>
      <c r="DF35" s="87">
        <v>0</v>
      </c>
      <c r="DG35" s="114">
        <v>0</v>
      </c>
      <c r="DH35" s="162">
        <v>9</v>
      </c>
      <c r="DI35" s="114">
        <v>1249.3333333333333</v>
      </c>
      <c r="DJ35" s="114">
        <v>22</v>
      </c>
      <c r="DK35" s="114">
        <v>78</v>
      </c>
      <c r="DL35" s="114">
        <v>0</v>
      </c>
      <c r="DM35" s="114">
        <v>0</v>
      </c>
      <c r="DN35" s="114">
        <v>0</v>
      </c>
      <c r="DO35" s="114">
        <v>44</v>
      </c>
      <c r="DP35" s="114">
        <v>56</v>
      </c>
      <c r="DQ35" s="88">
        <v>188</v>
      </c>
      <c r="DR35" s="147">
        <v>59.808510638297875</v>
      </c>
      <c r="DT35" s="55"/>
      <c r="DU35" s="55"/>
    </row>
    <row r="36" spans="1:125" s="32" customFormat="1" ht="15" customHeight="1" thickBot="1">
      <c r="A36" s="100" t="s">
        <v>258</v>
      </c>
      <c r="B36" s="184">
        <v>2017</v>
      </c>
      <c r="C36" s="109">
        <v>11</v>
      </c>
      <c r="D36" s="83" t="s">
        <v>350</v>
      </c>
      <c r="E36" s="83" t="s">
        <v>408</v>
      </c>
      <c r="F36" s="132">
        <v>2808.8</v>
      </c>
      <c r="G36" s="85">
        <v>12694</v>
      </c>
      <c r="H36" s="86">
        <v>0.57043257803834901</v>
      </c>
      <c r="I36" s="132">
        <v>4.519367701509541</v>
      </c>
      <c r="J36" s="85">
        <v>6328</v>
      </c>
      <c r="K36" s="173">
        <v>49.850322987238066</v>
      </c>
      <c r="L36" s="85">
        <v>6366</v>
      </c>
      <c r="M36" s="173">
        <v>50.149677012761941</v>
      </c>
      <c r="N36" s="161">
        <v>23.838033716716559</v>
      </c>
      <c r="O36" s="161">
        <v>44.879470616039072</v>
      </c>
      <c r="P36" s="161">
        <v>31.282495667244369</v>
      </c>
      <c r="Q36" s="161">
        <v>34.197258547345207</v>
      </c>
      <c r="R36" s="159">
        <v>34.520245785410431</v>
      </c>
      <c r="S36" s="160">
        <v>31.282495667244369</v>
      </c>
      <c r="T36" s="84">
        <v>7.9</v>
      </c>
      <c r="U36" s="84">
        <v>2.6</v>
      </c>
      <c r="V36" s="89">
        <v>19</v>
      </c>
      <c r="W36" s="90">
        <v>8.1</v>
      </c>
      <c r="X36" s="148">
        <v>42984</v>
      </c>
      <c r="Y36" s="89">
        <v>2.2999999999999998</v>
      </c>
      <c r="Z36" s="89" t="s">
        <v>342</v>
      </c>
      <c r="AA36" s="85">
        <v>1328</v>
      </c>
      <c r="AB36" s="110" t="s">
        <v>355</v>
      </c>
      <c r="AC36" s="110" t="s">
        <v>355</v>
      </c>
      <c r="AD36" s="110" t="s">
        <v>355</v>
      </c>
      <c r="AE36" s="110" t="s">
        <v>355</v>
      </c>
      <c r="AF36" s="84">
        <v>8.14</v>
      </c>
      <c r="AG36" s="84">
        <v>4.07</v>
      </c>
      <c r="AH36" s="84">
        <v>77.73</v>
      </c>
      <c r="AI36" s="86">
        <v>22.270771562385764</v>
      </c>
      <c r="AJ36" s="84">
        <v>9.01</v>
      </c>
      <c r="AK36" s="84">
        <v>4.13</v>
      </c>
      <c r="AL36" s="84">
        <v>6.8109171379395139</v>
      </c>
      <c r="AM36" s="84">
        <v>10.6</v>
      </c>
      <c r="AN36" s="85">
        <v>33622</v>
      </c>
      <c r="AO36" s="85">
        <v>36603</v>
      </c>
      <c r="AP36" s="85">
        <v>2195</v>
      </c>
      <c r="AQ36" s="135">
        <v>422.11538461538464</v>
      </c>
      <c r="AR36" s="85">
        <v>5200</v>
      </c>
      <c r="AS36" s="85">
        <v>2899</v>
      </c>
      <c r="AT36" s="135">
        <v>1769.8412698412699</v>
      </c>
      <c r="AU36" s="85">
        <v>1638</v>
      </c>
      <c r="AV36" s="85">
        <v>1250</v>
      </c>
      <c r="AW36" s="135">
        <v>3109.4527363184079</v>
      </c>
      <c r="AX36" s="85">
        <v>402</v>
      </c>
      <c r="AY36" s="85">
        <v>19</v>
      </c>
      <c r="AZ36" s="135">
        <v>19000</v>
      </c>
      <c r="BA36" s="89">
        <v>1</v>
      </c>
      <c r="BB36" s="87">
        <v>146.1477194719472</v>
      </c>
      <c r="BC36" s="91">
        <v>26.692307692307693</v>
      </c>
      <c r="BD36" s="85">
        <v>5302</v>
      </c>
      <c r="BE36" s="92">
        <v>15.769436678365356</v>
      </c>
      <c r="BF36" s="85">
        <v>8565</v>
      </c>
      <c r="BG36" s="92">
        <v>25.474391767295224</v>
      </c>
      <c r="BH36" s="85">
        <v>3111</v>
      </c>
      <c r="BI36" s="92">
        <v>9.2528701445482131</v>
      </c>
      <c r="BJ36" s="85">
        <v>2073</v>
      </c>
      <c r="BK36" s="92">
        <v>6.1656058533103328</v>
      </c>
      <c r="BL36" s="85">
        <v>3585</v>
      </c>
      <c r="BM36" s="92">
        <v>10.662661352685742</v>
      </c>
      <c r="BN36" s="85">
        <v>5090</v>
      </c>
      <c r="BO36" s="92">
        <v>15.138897150675154</v>
      </c>
      <c r="BP36" s="85">
        <v>5896</v>
      </c>
      <c r="BQ36" s="92">
        <v>17.536137053119983</v>
      </c>
      <c r="BR36" s="165">
        <v>417.6776429809359</v>
      </c>
      <c r="BS36" s="165">
        <v>245.07641405388372</v>
      </c>
      <c r="BT36" s="111">
        <v>626.91035134709307</v>
      </c>
      <c r="BU36" s="165">
        <v>163.30549866078462</v>
      </c>
      <c r="BV36" s="165">
        <v>209.15393099101937</v>
      </c>
      <c r="BW36" s="165">
        <v>47.817866708681265</v>
      </c>
      <c r="BX36" s="165">
        <v>464.47140381282497</v>
      </c>
      <c r="BY36" s="112">
        <v>73.262958878210185</v>
      </c>
      <c r="BZ36" s="165">
        <v>400.97683945170945</v>
      </c>
      <c r="CA36" s="110" t="s">
        <v>355</v>
      </c>
      <c r="CB36" s="112">
        <v>378.07692307692309</v>
      </c>
      <c r="CC36" s="110" t="s">
        <v>355</v>
      </c>
      <c r="CD36" s="110" t="s">
        <v>355</v>
      </c>
      <c r="CE36" s="110" t="s">
        <v>355</v>
      </c>
      <c r="CF36" s="110" t="s">
        <v>355</v>
      </c>
      <c r="CG36" s="110" t="s">
        <v>355</v>
      </c>
      <c r="CH36" s="110" t="s">
        <v>355</v>
      </c>
      <c r="CI36" s="110" t="s">
        <v>355</v>
      </c>
      <c r="CJ36" s="87">
        <v>9181</v>
      </c>
      <c r="CK36" s="92">
        <v>37.958828014377524</v>
      </c>
      <c r="CL36" s="139">
        <v>1267.8600000000001</v>
      </c>
      <c r="CM36" s="139">
        <v>99.878682842287716</v>
      </c>
      <c r="CN36" s="139">
        <v>48</v>
      </c>
      <c r="CO36" s="115">
        <v>1</v>
      </c>
      <c r="CP36" s="115">
        <v>1</v>
      </c>
      <c r="CQ36" s="110">
        <v>1</v>
      </c>
      <c r="CR36" s="86">
        <v>2.6798456328266518</v>
      </c>
      <c r="CS36" s="85">
        <v>9314</v>
      </c>
      <c r="CT36" s="85">
        <v>8557</v>
      </c>
      <c r="CU36" s="84">
        <v>108.85</v>
      </c>
      <c r="CV36" s="84">
        <v>70.680000000000007</v>
      </c>
      <c r="CW36" s="84">
        <v>0.46</v>
      </c>
      <c r="CX36" s="115" t="s">
        <v>339</v>
      </c>
      <c r="CY36" s="114">
        <v>50000</v>
      </c>
      <c r="CZ36" s="129">
        <v>129000</v>
      </c>
      <c r="DA36" s="129">
        <v>8000</v>
      </c>
      <c r="DB36" s="129">
        <v>12000</v>
      </c>
      <c r="DC36" s="129">
        <v>0</v>
      </c>
      <c r="DD36" s="129">
        <v>225657</v>
      </c>
      <c r="DE36" s="87">
        <v>0</v>
      </c>
      <c r="DF36" s="87">
        <v>0</v>
      </c>
      <c r="DG36" s="114">
        <v>0</v>
      </c>
      <c r="DH36" s="163">
        <v>9</v>
      </c>
      <c r="DI36" s="114">
        <v>1410.4444444444443</v>
      </c>
      <c r="DJ36" s="114">
        <v>22</v>
      </c>
      <c r="DK36" s="114">
        <v>78</v>
      </c>
      <c r="DL36" s="114">
        <v>0</v>
      </c>
      <c r="DM36" s="114">
        <v>0</v>
      </c>
      <c r="DN36" s="114">
        <v>0</v>
      </c>
      <c r="DO36" s="114">
        <v>33.333333333333329</v>
      </c>
      <c r="DP36" s="114">
        <v>66.666666666666657</v>
      </c>
      <c r="DQ36" s="88">
        <v>178</v>
      </c>
      <c r="DR36" s="147">
        <v>71.31460674157303</v>
      </c>
      <c r="DT36" s="55"/>
      <c r="DU36" s="55"/>
    </row>
    <row r="37" spans="1:125" s="32" customFormat="1" ht="15" customHeight="1" thickBot="1">
      <c r="A37" s="100" t="s">
        <v>259</v>
      </c>
      <c r="B37" s="184">
        <v>2017</v>
      </c>
      <c r="C37" s="109">
        <v>3</v>
      </c>
      <c r="D37" s="83" t="s">
        <v>349</v>
      </c>
      <c r="E37" s="83"/>
      <c r="F37" s="132">
        <v>71.599999999999994</v>
      </c>
      <c r="G37" s="85">
        <v>231443</v>
      </c>
      <c r="H37" s="86" t="s">
        <v>380</v>
      </c>
      <c r="I37" s="132">
        <v>3232.4441340782128</v>
      </c>
      <c r="J37" s="85">
        <v>119952</v>
      </c>
      <c r="K37" s="173">
        <v>51.827879866749051</v>
      </c>
      <c r="L37" s="85">
        <v>111491</v>
      </c>
      <c r="M37" s="173">
        <v>48.172120133250949</v>
      </c>
      <c r="N37" s="161">
        <v>25.957147116136586</v>
      </c>
      <c r="O37" s="161">
        <v>58.726338666539924</v>
      </c>
      <c r="P37" s="161">
        <v>15.316514217323487</v>
      </c>
      <c r="Q37" s="161">
        <v>44.505990675889961</v>
      </c>
      <c r="R37" s="159">
        <v>40.177495106786552</v>
      </c>
      <c r="S37" s="160">
        <v>15.316514217323487</v>
      </c>
      <c r="T37" s="84">
        <v>0.6</v>
      </c>
      <c r="U37" s="84">
        <v>65.599999999999994</v>
      </c>
      <c r="V37" s="89">
        <v>69</v>
      </c>
      <c r="W37" s="90">
        <v>7.5</v>
      </c>
      <c r="X37" s="148">
        <v>49593</v>
      </c>
      <c r="Y37" s="89">
        <v>3.2</v>
      </c>
      <c r="Z37" s="89" t="s">
        <v>340</v>
      </c>
      <c r="AA37" s="85">
        <v>20369</v>
      </c>
      <c r="AB37" s="110" t="s">
        <v>355</v>
      </c>
      <c r="AC37" s="110" t="s">
        <v>355</v>
      </c>
      <c r="AD37" s="110" t="s">
        <v>355</v>
      </c>
      <c r="AE37" s="110" t="s">
        <v>355</v>
      </c>
      <c r="AF37" s="84">
        <v>-5.25</v>
      </c>
      <c r="AG37" s="84">
        <v>4.3099999999999996</v>
      </c>
      <c r="AH37" s="84">
        <v>73.72</v>
      </c>
      <c r="AI37" s="86">
        <v>26.271128186372568</v>
      </c>
      <c r="AJ37" s="84">
        <v>3.34</v>
      </c>
      <c r="AK37" s="84">
        <v>11.2</v>
      </c>
      <c r="AL37" s="84">
        <v>1.0766991836641882</v>
      </c>
      <c r="AM37" s="84">
        <v>7.33</v>
      </c>
      <c r="AN37" s="85">
        <v>185149</v>
      </c>
      <c r="AO37" s="85">
        <v>176005</v>
      </c>
      <c r="AP37" s="85">
        <v>59712</v>
      </c>
      <c r="AQ37" s="135">
        <v>874.73448280913522</v>
      </c>
      <c r="AR37" s="85">
        <v>68263</v>
      </c>
      <c r="AS37" s="135" t="s">
        <v>379</v>
      </c>
      <c r="AT37" s="135" t="s">
        <v>379</v>
      </c>
      <c r="AU37" s="135" t="s">
        <v>379</v>
      </c>
      <c r="AV37" s="85">
        <v>28525</v>
      </c>
      <c r="AW37" s="135">
        <v>6560.4875804967805</v>
      </c>
      <c r="AX37" s="85">
        <v>4348</v>
      </c>
      <c r="AY37" s="85" t="s">
        <v>379</v>
      </c>
      <c r="AZ37" s="135" t="s">
        <v>379</v>
      </c>
      <c r="BA37" s="89">
        <v>0</v>
      </c>
      <c r="BB37" s="87">
        <v>384.13792349514131</v>
      </c>
      <c r="BC37" s="91">
        <v>16.051155091337911</v>
      </c>
      <c r="BD37" s="85">
        <v>48930</v>
      </c>
      <c r="BE37" s="92">
        <v>26.407253494522099</v>
      </c>
      <c r="BF37" s="85">
        <v>6479</v>
      </c>
      <c r="BG37" s="92">
        <v>3.4966808786226995</v>
      </c>
      <c r="BH37" s="85">
        <v>43084</v>
      </c>
      <c r="BI37" s="92">
        <v>23.252199255221544</v>
      </c>
      <c r="BJ37" s="85">
        <v>34020</v>
      </c>
      <c r="BK37" s="92">
        <v>18.360408009066866</v>
      </c>
      <c r="BL37" s="85">
        <v>23618</v>
      </c>
      <c r="BM37" s="92">
        <v>12.746505477899509</v>
      </c>
      <c r="BN37" s="85">
        <v>18595</v>
      </c>
      <c r="BO37" s="92">
        <v>10.03561983917103</v>
      </c>
      <c r="BP37" s="85">
        <v>10564</v>
      </c>
      <c r="BQ37" s="92">
        <v>5.7013330454962494</v>
      </c>
      <c r="BR37" s="165">
        <v>211.41274525477115</v>
      </c>
      <c r="BS37" s="165">
        <v>186.1538262120695</v>
      </c>
      <c r="BT37" s="111">
        <v>0</v>
      </c>
      <c r="BU37" s="165">
        <v>146.99083575653617</v>
      </c>
      <c r="BV37" s="165">
        <v>77.371102172025076</v>
      </c>
      <c r="BW37" s="165">
        <v>27.993933711540205</v>
      </c>
      <c r="BX37" s="165">
        <v>45.644067869842679</v>
      </c>
      <c r="BY37" s="112">
        <v>24.675622075413816</v>
      </c>
      <c r="BZ37" s="165">
        <v>80.343756346054974</v>
      </c>
      <c r="CA37" s="110" t="s">
        <v>355</v>
      </c>
      <c r="CB37" s="112">
        <v>459.22388409533716</v>
      </c>
      <c r="CC37" s="110" t="s">
        <v>355</v>
      </c>
      <c r="CD37" s="110" t="s">
        <v>355</v>
      </c>
      <c r="CE37" s="110" t="s">
        <v>355</v>
      </c>
      <c r="CF37" s="110" t="s">
        <v>355</v>
      </c>
      <c r="CG37" s="110" t="s">
        <v>355</v>
      </c>
      <c r="CH37" s="110" t="s">
        <v>355</v>
      </c>
      <c r="CI37" s="110" t="s">
        <v>355</v>
      </c>
      <c r="CJ37" s="87">
        <v>35436</v>
      </c>
      <c r="CK37" s="92">
        <v>57.032396433005985</v>
      </c>
      <c r="CL37" s="139">
        <v>622.53000000000009</v>
      </c>
      <c r="CM37" s="139">
        <v>2.6897767484866688</v>
      </c>
      <c r="CN37" s="139">
        <v>643</v>
      </c>
      <c r="CO37" s="115">
        <v>5</v>
      </c>
      <c r="CP37" s="115">
        <v>23</v>
      </c>
      <c r="CQ37" s="110">
        <v>8</v>
      </c>
      <c r="CR37" s="86">
        <v>3.4111975613547263</v>
      </c>
      <c r="CS37" s="85">
        <v>13927.477999999999</v>
      </c>
      <c r="CT37" s="85">
        <v>12074</v>
      </c>
      <c r="CU37" s="84">
        <v>115.35</v>
      </c>
      <c r="CV37" s="84">
        <v>0</v>
      </c>
      <c r="CW37" s="84">
        <v>5.34</v>
      </c>
      <c r="CX37" s="115" t="s">
        <v>339</v>
      </c>
      <c r="CY37" s="114">
        <v>65000</v>
      </c>
      <c r="CZ37" s="129">
        <v>410000</v>
      </c>
      <c r="DA37" s="129">
        <v>0</v>
      </c>
      <c r="DB37" s="129">
        <v>1000</v>
      </c>
      <c r="DC37" s="129">
        <v>0</v>
      </c>
      <c r="DD37" s="129">
        <v>391442</v>
      </c>
      <c r="DE37" s="87">
        <v>0</v>
      </c>
      <c r="DF37" s="87">
        <v>0</v>
      </c>
      <c r="DG37" s="114">
        <v>0</v>
      </c>
      <c r="DH37" s="163">
        <v>15</v>
      </c>
      <c r="DI37" s="114">
        <v>15429.533333333333</v>
      </c>
      <c r="DJ37" s="114">
        <v>13</v>
      </c>
      <c r="DK37" s="114">
        <v>87</v>
      </c>
      <c r="DL37" s="114">
        <v>0</v>
      </c>
      <c r="DM37" s="114">
        <v>53</v>
      </c>
      <c r="DN37" s="114">
        <v>7</v>
      </c>
      <c r="DO37" s="114">
        <v>80</v>
      </c>
      <c r="DP37" s="114">
        <v>13</v>
      </c>
      <c r="DQ37" s="88">
        <v>872</v>
      </c>
      <c r="DR37" s="147">
        <v>265.41628440366975</v>
      </c>
      <c r="DT37" s="55"/>
      <c r="DU37" s="55"/>
    </row>
    <row r="38" spans="1:125" s="32" customFormat="1" ht="15" thickBot="1">
      <c r="A38" s="100" t="s">
        <v>260</v>
      </c>
      <c r="B38" s="184">
        <v>2017</v>
      </c>
      <c r="C38" s="109">
        <v>4</v>
      </c>
      <c r="D38" s="83" t="s">
        <v>347</v>
      </c>
      <c r="E38" s="83"/>
      <c r="F38" s="132">
        <v>7534.5</v>
      </c>
      <c r="G38" s="85">
        <v>52090</v>
      </c>
      <c r="H38" s="86">
        <v>5.4176026551717049</v>
      </c>
      <c r="I38" s="132">
        <v>6.9135310903178713</v>
      </c>
      <c r="J38" s="85">
        <v>25691</v>
      </c>
      <c r="K38" s="173">
        <v>49.32040698790555</v>
      </c>
      <c r="L38" s="85">
        <v>26399</v>
      </c>
      <c r="M38" s="173">
        <v>50.67959301209445</v>
      </c>
      <c r="N38" s="161">
        <v>27.44480706469572</v>
      </c>
      <c r="O38" s="161">
        <v>50.885006719139945</v>
      </c>
      <c r="P38" s="161">
        <v>21.670186216164332</v>
      </c>
      <c r="Q38" s="161">
        <v>41.140334037243228</v>
      </c>
      <c r="R38" s="159">
        <v>37.189479746592433</v>
      </c>
      <c r="S38" s="160">
        <v>21.670186216164332</v>
      </c>
      <c r="T38" s="84">
        <v>15.5</v>
      </c>
      <c r="U38" s="84">
        <v>4.7</v>
      </c>
      <c r="V38" s="89">
        <v>60</v>
      </c>
      <c r="W38" s="90">
        <v>2.2999999999999998</v>
      </c>
      <c r="X38" s="148">
        <v>51183</v>
      </c>
      <c r="Y38" s="89">
        <v>2.5</v>
      </c>
      <c r="Z38" s="89" t="s">
        <v>340</v>
      </c>
      <c r="AA38" s="85">
        <v>5054</v>
      </c>
      <c r="AB38" s="110" t="s">
        <v>355</v>
      </c>
      <c r="AC38" s="110" t="s">
        <v>355</v>
      </c>
      <c r="AD38" s="110" t="s">
        <v>355</v>
      </c>
      <c r="AE38" s="110" t="s">
        <v>355</v>
      </c>
      <c r="AF38" s="84">
        <v>18.43</v>
      </c>
      <c r="AG38" s="84">
        <v>5.52</v>
      </c>
      <c r="AH38" s="84">
        <v>56.57</v>
      </c>
      <c r="AI38" s="86">
        <v>43.427108725930452</v>
      </c>
      <c r="AJ38" s="84">
        <v>4.88</v>
      </c>
      <c r="AK38" s="84">
        <v>6.17</v>
      </c>
      <c r="AL38" s="84">
        <v>5.9502368087519182</v>
      </c>
      <c r="AM38" s="84">
        <v>25.79</v>
      </c>
      <c r="AN38" s="85">
        <v>122281</v>
      </c>
      <c r="AO38" s="85">
        <v>149910</v>
      </c>
      <c r="AP38" s="85">
        <v>17096</v>
      </c>
      <c r="AQ38" s="135">
        <v>875.19197297020582</v>
      </c>
      <c r="AR38" s="85">
        <v>19534</v>
      </c>
      <c r="AS38" s="85">
        <v>5764</v>
      </c>
      <c r="AT38" s="135">
        <v>3362.8938156359395</v>
      </c>
      <c r="AU38" s="85">
        <v>1714</v>
      </c>
      <c r="AV38" s="85">
        <v>7964</v>
      </c>
      <c r="AW38" s="135">
        <v>4530.1478953356091</v>
      </c>
      <c r="AX38" s="85">
        <v>1758</v>
      </c>
      <c r="AY38" s="85">
        <v>2</v>
      </c>
      <c r="AZ38" s="135">
        <v>1000</v>
      </c>
      <c r="BA38" s="89">
        <v>2</v>
      </c>
      <c r="BB38" s="87">
        <v>121.5607371699215</v>
      </c>
      <c r="BC38" s="91">
        <v>16.048940309204465</v>
      </c>
      <c r="BD38" s="85">
        <v>1587</v>
      </c>
      <c r="BE38" s="92">
        <v>1.2978304070133544</v>
      </c>
      <c r="BF38" s="85">
        <v>36300</v>
      </c>
      <c r="BG38" s="92">
        <v>29.685723865522849</v>
      </c>
      <c r="BH38" s="85">
        <v>11023</v>
      </c>
      <c r="BI38" s="92">
        <v>9.0144830349768146</v>
      </c>
      <c r="BJ38" s="85">
        <v>8908</v>
      </c>
      <c r="BK38" s="92">
        <v>7.2848602808285836</v>
      </c>
      <c r="BL38" s="85">
        <v>21527</v>
      </c>
      <c r="BM38" s="92">
        <v>17.604533819644917</v>
      </c>
      <c r="BN38" s="85">
        <v>20338</v>
      </c>
      <c r="BO38" s="92">
        <v>16.632183250055203</v>
      </c>
      <c r="BP38" s="85">
        <v>22598</v>
      </c>
      <c r="BQ38" s="92">
        <v>18.480385341958279</v>
      </c>
      <c r="BR38" s="165">
        <v>30.466500287963139</v>
      </c>
      <c r="BS38" s="165">
        <v>211.61451334229218</v>
      </c>
      <c r="BT38" s="111">
        <v>612.90074870416584</v>
      </c>
      <c r="BU38" s="165">
        <v>171.01171050105586</v>
      </c>
      <c r="BV38" s="165">
        <v>366.80744864657322</v>
      </c>
      <c r="BW38" s="165">
        <v>83.970051833365332</v>
      </c>
      <c r="BX38" s="165">
        <v>433.82607026300633</v>
      </c>
      <c r="BY38" s="112">
        <v>46.458053369168745</v>
      </c>
      <c r="BZ38" s="165">
        <v>390.43962372816281</v>
      </c>
      <c r="CA38" s="110" t="s">
        <v>355</v>
      </c>
      <c r="CB38" s="112">
        <v>297.99324255144876</v>
      </c>
      <c r="CC38" s="110" t="s">
        <v>355</v>
      </c>
      <c r="CD38" s="110" t="s">
        <v>355</v>
      </c>
      <c r="CE38" s="110" t="s">
        <v>355</v>
      </c>
      <c r="CF38" s="110" t="s">
        <v>355</v>
      </c>
      <c r="CG38" s="110" t="s">
        <v>355</v>
      </c>
      <c r="CH38" s="110" t="s">
        <v>355</v>
      </c>
      <c r="CI38" s="110" t="s">
        <v>355</v>
      </c>
      <c r="CJ38" s="87">
        <v>33131</v>
      </c>
      <c r="CK38" s="92">
        <v>51.066976547644202</v>
      </c>
      <c r="CL38" s="139">
        <v>2719.12</v>
      </c>
      <c r="CM38" s="139">
        <v>52.200422345939721</v>
      </c>
      <c r="CN38" s="139">
        <v>1051</v>
      </c>
      <c r="CO38" s="115">
        <v>3</v>
      </c>
      <c r="CP38" s="115">
        <v>7</v>
      </c>
      <c r="CQ38" s="110">
        <v>2</v>
      </c>
      <c r="CR38" s="86">
        <v>4.3873934413639502</v>
      </c>
      <c r="CS38" s="85">
        <v>10606</v>
      </c>
      <c r="CT38" s="85">
        <v>10606</v>
      </c>
      <c r="CU38" s="84">
        <v>100</v>
      </c>
      <c r="CV38" s="84">
        <v>65.39</v>
      </c>
      <c r="CW38" s="84">
        <v>0.36</v>
      </c>
      <c r="CX38" s="115" t="s">
        <v>339</v>
      </c>
      <c r="CY38" s="114">
        <v>147000</v>
      </c>
      <c r="CZ38" s="129">
        <v>244000</v>
      </c>
      <c r="DA38" s="129">
        <v>0</v>
      </c>
      <c r="DB38" s="129">
        <v>5000</v>
      </c>
      <c r="DC38" s="129">
        <v>7000</v>
      </c>
      <c r="DD38" s="129">
        <v>379470</v>
      </c>
      <c r="DE38" s="87">
        <v>12</v>
      </c>
      <c r="DF38" s="87">
        <v>30498</v>
      </c>
      <c r="DG38" s="114">
        <v>0</v>
      </c>
      <c r="DH38" s="162">
        <v>10</v>
      </c>
      <c r="DI38" s="114">
        <v>5209</v>
      </c>
      <c r="DJ38" s="114">
        <v>30</v>
      </c>
      <c r="DK38" s="114">
        <v>70</v>
      </c>
      <c r="DL38" s="114">
        <v>0</v>
      </c>
      <c r="DM38" s="114">
        <v>10</v>
      </c>
      <c r="DN38" s="114">
        <v>0</v>
      </c>
      <c r="DO38" s="114">
        <v>70</v>
      </c>
      <c r="DP38" s="114">
        <v>30</v>
      </c>
      <c r="DQ38" s="88">
        <v>453</v>
      </c>
      <c r="DR38" s="147">
        <v>114.98896247240619</v>
      </c>
      <c r="DT38" s="55"/>
      <c r="DU38" s="55"/>
    </row>
    <row r="39" spans="1:125" s="32" customFormat="1" ht="15" thickBot="1">
      <c r="A39" s="100" t="s">
        <v>261</v>
      </c>
      <c r="B39" s="184">
        <v>2017</v>
      </c>
      <c r="C39" s="109">
        <v>10</v>
      </c>
      <c r="D39" s="83" t="s">
        <v>350</v>
      </c>
      <c r="E39" s="83" t="s">
        <v>412</v>
      </c>
      <c r="F39" s="132">
        <v>2250</v>
      </c>
      <c r="G39" s="85">
        <v>9188</v>
      </c>
      <c r="H39" s="86">
        <v>5.6577736890524477</v>
      </c>
      <c r="I39" s="132">
        <v>4.0835555555555558</v>
      </c>
      <c r="J39" s="85">
        <v>4619</v>
      </c>
      <c r="K39" s="173">
        <v>50.272094035698736</v>
      </c>
      <c r="L39" s="85">
        <v>4569</v>
      </c>
      <c r="M39" s="173">
        <v>49.727905964301264</v>
      </c>
      <c r="N39" s="161">
        <v>25.45711797997388</v>
      </c>
      <c r="O39" s="161">
        <v>47.061384414453634</v>
      </c>
      <c r="P39" s="161">
        <v>27.481497605572486</v>
      </c>
      <c r="Q39" s="161">
        <v>33.739660426643447</v>
      </c>
      <c r="R39" s="159">
        <v>38.778841967784068</v>
      </c>
      <c r="S39" s="160">
        <v>27.481497605572486</v>
      </c>
      <c r="T39" s="84">
        <v>5.0999999999999996</v>
      </c>
      <c r="U39" s="84">
        <v>0.8</v>
      </c>
      <c r="V39" s="89">
        <v>83</v>
      </c>
      <c r="W39" s="90">
        <v>4.2</v>
      </c>
      <c r="X39" s="148">
        <v>55100</v>
      </c>
      <c r="Y39" s="89">
        <v>2.5</v>
      </c>
      <c r="Z39" s="89" t="s">
        <v>352</v>
      </c>
      <c r="AA39" s="85">
        <v>1036</v>
      </c>
      <c r="AB39" s="110" t="s">
        <v>355</v>
      </c>
      <c r="AC39" s="110" t="s">
        <v>355</v>
      </c>
      <c r="AD39" s="110" t="s">
        <v>355</v>
      </c>
      <c r="AE39" s="110" t="s">
        <v>355</v>
      </c>
      <c r="AF39" s="84">
        <v>-21.84</v>
      </c>
      <c r="AG39" s="84">
        <v>8.39</v>
      </c>
      <c r="AH39" s="84">
        <v>42.28</v>
      </c>
      <c r="AI39" s="86">
        <v>57.716856432549136</v>
      </c>
      <c r="AJ39" s="84">
        <v>6.13</v>
      </c>
      <c r="AK39" s="84">
        <v>12.02</v>
      </c>
      <c r="AL39" s="84">
        <v>1.548750179917882</v>
      </c>
      <c r="AM39" s="84">
        <v>10.19</v>
      </c>
      <c r="AN39" s="85">
        <v>17150</v>
      </c>
      <c r="AO39" s="85">
        <v>14075.866</v>
      </c>
      <c r="AP39" s="85">
        <v>3033</v>
      </c>
      <c r="AQ39" s="135">
        <v>841.79850124895916</v>
      </c>
      <c r="AR39" s="85">
        <v>3603</v>
      </c>
      <c r="AS39" s="85">
        <v>2038</v>
      </c>
      <c r="AT39" s="135">
        <v>2172.7078891257997</v>
      </c>
      <c r="AU39" s="85">
        <v>938</v>
      </c>
      <c r="AV39" s="85">
        <v>317</v>
      </c>
      <c r="AW39" s="135">
        <v>875.69060773480658</v>
      </c>
      <c r="AX39" s="85">
        <v>362</v>
      </c>
      <c r="AY39" s="135" t="s">
        <v>379</v>
      </c>
      <c r="AZ39" s="135" t="s">
        <v>379</v>
      </c>
      <c r="BA39" s="89">
        <v>0</v>
      </c>
      <c r="BB39" s="87">
        <v>246.44564680772086</v>
      </c>
      <c r="BC39" s="91">
        <v>21.121287815709131</v>
      </c>
      <c r="BD39" s="85">
        <v>2524</v>
      </c>
      <c r="BE39" s="92">
        <v>13.830894843553072</v>
      </c>
      <c r="BF39" s="85">
        <v>631</v>
      </c>
      <c r="BG39" s="92">
        <v>3.4577237108882679</v>
      </c>
      <c r="BH39" s="85">
        <v>2072</v>
      </c>
      <c r="BI39" s="92">
        <v>11.354046797084772</v>
      </c>
      <c r="BJ39" s="85">
        <v>1428</v>
      </c>
      <c r="BK39" s="92">
        <v>7.8250863060989646</v>
      </c>
      <c r="BL39" s="85">
        <v>1757</v>
      </c>
      <c r="BM39" s="92">
        <v>9.6279248177982346</v>
      </c>
      <c r="BN39" s="85">
        <v>8878</v>
      </c>
      <c r="BO39" s="92">
        <v>48.649241054304341</v>
      </c>
      <c r="BP39" s="85">
        <v>959</v>
      </c>
      <c r="BQ39" s="92">
        <v>5.2550824702723435</v>
      </c>
      <c r="BR39" s="165">
        <v>274.70613844144538</v>
      </c>
      <c r="BS39" s="165">
        <v>225.51153678711361</v>
      </c>
      <c r="BT39" s="111">
        <v>0</v>
      </c>
      <c r="BU39" s="165">
        <v>155.42011319111884</v>
      </c>
      <c r="BV39" s="165">
        <v>166.84806269046584</v>
      </c>
      <c r="BW39" s="165">
        <v>68.676534610361344</v>
      </c>
      <c r="BX39" s="165">
        <v>104.37527209403569</v>
      </c>
      <c r="BY39" s="112">
        <v>24.379625598606879</v>
      </c>
      <c r="BZ39" s="165">
        <v>966.26033957335653</v>
      </c>
      <c r="CA39" s="110" t="s">
        <v>355</v>
      </c>
      <c r="CB39" s="112">
        <v>386.8998057174577</v>
      </c>
      <c r="CC39" s="110" t="s">
        <v>355</v>
      </c>
      <c r="CD39" s="110" t="s">
        <v>355</v>
      </c>
      <c r="CE39" s="110" t="s">
        <v>355</v>
      </c>
      <c r="CF39" s="110" t="s">
        <v>355</v>
      </c>
      <c r="CG39" s="110" t="s">
        <v>355</v>
      </c>
      <c r="CH39" s="110" t="s">
        <v>355</v>
      </c>
      <c r="CI39" s="110" t="s">
        <v>355</v>
      </c>
      <c r="CJ39" s="91">
        <v>6833</v>
      </c>
      <c r="CK39" s="92">
        <v>62.520122932825991</v>
      </c>
      <c r="CL39" s="138">
        <v>726.93000000000006</v>
      </c>
      <c r="CM39" s="139">
        <v>79.117326948193309</v>
      </c>
      <c r="CN39" s="138">
        <v>71.41</v>
      </c>
      <c r="CO39" s="113">
        <v>2</v>
      </c>
      <c r="CP39" s="113">
        <v>7</v>
      </c>
      <c r="CQ39" s="110">
        <v>1</v>
      </c>
      <c r="CR39" s="86">
        <v>2.2552728854098718</v>
      </c>
      <c r="CS39" s="85">
        <v>3573</v>
      </c>
      <c r="CT39" s="85">
        <v>4780</v>
      </c>
      <c r="CU39" s="84">
        <v>74.75</v>
      </c>
      <c r="CV39" s="84">
        <v>104.67</v>
      </c>
      <c r="CW39" s="84">
        <v>7.95</v>
      </c>
      <c r="CX39" s="115" t="s">
        <v>339</v>
      </c>
      <c r="CY39" s="114">
        <v>10000</v>
      </c>
      <c r="CZ39" s="129">
        <v>89000</v>
      </c>
      <c r="DA39" s="129">
        <v>0</v>
      </c>
      <c r="DB39" s="129">
        <v>0</v>
      </c>
      <c r="DC39" s="129">
        <v>0</v>
      </c>
      <c r="DD39" s="129">
        <v>250000</v>
      </c>
      <c r="DE39" s="87">
        <v>0</v>
      </c>
      <c r="DF39" s="87">
        <v>0</v>
      </c>
      <c r="DG39" s="114">
        <v>0</v>
      </c>
      <c r="DH39" s="162">
        <v>9</v>
      </c>
      <c r="DI39" s="114">
        <v>1020.8888888888889</v>
      </c>
      <c r="DJ39" s="114">
        <v>33.333333333333329</v>
      </c>
      <c r="DK39" s="114">
        <v>66.666666666666657</v>
      </c>
      <c r="DL39" s="114">
        <v>0</v>
      </c>
      <c r="DM39" s="114">
        <v>0</v>
      </c>
      <c r="DN39" s="114">
        <v>0</v>
      </c>
      <c r="DO39" s="114">
        <v>55.555555555555557</v>
      </c>
      <c r="DP39" s="114">
        <v>44.444444444444443</v>
      </c>
      <c r="DQ39" s="88">
        <v>61</v>
      </c>
      <c r="DR39" s="147">
        <v>150.62295081967213</v>
      </c>
      <c r="DT39" s="55"/>
      <c r="DU39" s="55"/>
    </row>
    <row r="40" spans="1:125" s="32" customFormat="1" ht="15" customHeight="1" thickBot="1">
      <c r="A40" s="100" t="s">
        <v>262</v>
      </c>
      <c r="B40" s="184">
        <v>2017</v>
      </c>
      <c r="C40" s="109">
        <v>10</v>
      </c>
      <c r="D40" s="83" t="s">
        <v>350</v>
      </c>
      <c r="E40" s="83" t="s">
        <v>405</v>
      </c>
      <c r="F40" s="132">
        <v>8883.4</v>
      </c>
      <c r="G40" s="85">
        <v>8949</v>
      </c>
      <c r="H40" s="86">
        <v>0.50539083557952225</v>
      </c>
      <c r="I40" s="132">
        <v>1.0073845599657789</v>
      </c>
      <c r="J40" s="85">
        <v>4437</v>
      </c>
      <c r="K40" s="173">
        <v>49.580958766342611</v>
      </c>
      <c r="L40" s="85">
        <v>4512</v>
      </c>
      <c r="M40" s="173">
        <v>50.419041233657389</v>
      </c>
      <c r="N40" s="161">
        <v>23.533355682199129</v>
      </c>
      <c r="O40" s="161">
        <v>46.94379260252542</v>
      </c>
      <c r="P40" s="161">
        <v>29.522851715275451</v>
      </c>
      <c r="Q40" s="161">
        <v>34.584869817856742</v>
      </c>
      <c r="R40" s="159">
        <v>35.892278466867808</v>
      </c>
      <c r="S40" s="160">
        <v>29.522851715275451</v>
      </c>
      <c r="T40" s="84">
        <v>4</v>
      </c>
      <c r="U40" s="84">
        <v>3.3</v>
      </c>
      <c r="V40" s="89">
        <v>43</v>
      </c>
      <c r="W40" s="90">
        <v>8.9</v>
      </c>
      <c r="X40" s="148">
        <v>45202</v>
      </c>
      <c r="Y40" s="89">
        <v>2.2999999999999998</v>
      </c>
      <c r="Z40" s="89" t="s">
        <v>342</v>
      </c>
      <c r="AA40" s="85">
        <v>893</v>
      </c>
      <c r="AB40" s="110" t="s">
        <v>355</v>
      </c>
      <c r="AC40" s="110" t="s">
        <v>355</v>
      </c>
      <c r="AD40" s="110" t="s">
        <v>355</v>
      </c>
      <c r="AE40" s="110" t="s">
        <v>355</v>
      </c>
      <c r="AF40" s="84">
        <v>10.97</v>
      </c>
      <c r="AG40" s="84">
        <v>13.22</v>
      </c>
      <c r="AH40" s="84">
        <v>64.260000000000005</v>
      </c>
      <c r="AI40" s="86">
        <v>35.744123635362932</v>
      </c>
      <c r="AJ40" s="84">
        <v>8.91</v>
      </c>
      <c r="AK40" s="84">
        <v>15.04</v>
      </c>
      <c r="AL40" s="84">
        <v>2.7060506407515006</v>
      </c>
      <c r="AM40" s="84">
        <v>27.85</v>
      </c>
      <c r="AN40" s="85">
        <v>24149</v>
      </c>
      <c r="AO40" s="85">
        <v>27124.400000000001</v>
      </c>
      <c r="AP40" s="85">
        <v>3282</v>
      </c>
      <c r="AQ40" s="135">
        <v>901.89612530915088</v>
      </c>
      <c r="AR40" s="85">
        <v>3639</v>
      </c>
      <c r="AS40" s="85">
        <v>2639</v>
      </c>
      <c r="AT40" s="135">
        <v>2862.2559652928417</v>
      </c>
      <c r="AU40" s="85">
        <v>922</v>
      </c>
      <c r="AV40" s="85">
        <v>1090</v>
      </c>
      <c r="AW40" s="135">
        <v>2158.4158415841584</v>
      </c>
      <c r="AX40" s="85">
        <v>505</v>
      </c>
      <c r="AY40" s="135" t="s">
        <v>379</v>
      </c>
      <c r="AZ40" s="135" t="s">
        <v>379</v>
      </c>
      <c r="BA40" s="89">
        <v>0</v>
      </c>
      <c r="BB40" s="87">
        <v>86.750315218941665</v>
      </c>
      <c r="BC40" s="91">
        <v>23.440505633415771</v>
      </c>
      <c r="BD40" s="85">
        <v>7449</v>
      </c>
      <c r="BE40" s="92">
        <v>30.509932418595128</v>
      </c>
      <c r="BF40" s="85">
        <v>5734</v>
      </c>
      <c r="BG40" s="92">
        <v>23.48556215441327</v>
      </c>
      <c r="BH40" s="85">
        <v>1130</v>
      </c>
      <c r="BI40" s="92">
        <v>4.6283022731927099</v>
      </c>
      <c r="BJ40" s="85">
        <v>676</v>
      </c>
      <c r="BK40" s="92">
        <v>2.7687896784763466</v>
      </c>
      <c r="BL40" s="85">
        <v>2239</v>
      </c>
      <c r="BM40" s="92">
        <v>9.1705918492729879</v>
      </c>
      <c r="BN40" s="85">
        <v>1901</v>
      </c>
      <c r="BO40" s="92">
        <v>7.7861970100348152</v>
      </c>
      <c r="BP40" s="85">
        <v>5286</v>
      </c>
      <c r="BQ40" s="92">
        <v>21.650624616014746</v>
      </c>
      <c r="BR40" s="165">
        <v>832.38350653704322</v>
      </c>
      <c r="BS40" s="165">
        <v>126.27109174209409</v>
      </c>
      <c r="BT40" s="111">
        <v>528.66242038216558</v>
      </c>
      <c r="BU40" s="165">
        <v>75.539166387305841</v>
      </c>
      <c r="BV40" s="165">
        <v>202.25723544530115</v>
      </c>
      <c r="BW40" s="165">
        <v>112.07956196223041</v>
      </c>
      <c r="BX40" s="165">
        <v>590.68052296345957</v>
      </c>
      <c r="BY40" s="112">
        <v>47.938317130405629</v>
      </c>
      <c r="BZ40" s="165">
        <v>212.42596938205386</v>
      </c>
      <c r="CA40" s="110" t="s">
        <v>355</v>
      </c>
      <c r="CB40" s="112">
        <v>273.70156636438583</v>
      </c>
      <c r="CC40" s="110" t="s">
        <v>355</v>
      </c>
      <c r="CD40" s="110" t="s">
        <v>355</v>
      </c>
      <c r="CE40" s="110" t="s">
        <v>355</v>
      </c>
      <c r="CF40" s="110" t="s">
        <v>355</v>
      </c>
      <c r="CG40" s="110" t="s">
        <v>355</v>
      </c>
      <c r="CH40" s="110" t="s">
        <v>355</v>
      </c>
      <c r="CI40" s="110" t="s">
        <v>355</v>
      </c>
      <c r="CJ40" s="87">
        <v>4730</v>
      </c>
      <c r="CK40" s="92">
        <v>33.636363636363633</v>
      </c>
      <c r="CL40" s="139">
        <v>1598.7599999999995</v>
      </c>
      <c r="CM40" s="139">
        <v>178.65236339255779</v>
      </c>
      <c r="CN40" s="139">
        <v>1162.5</v>
      </c>
      <c r="CO40" s="115">
        <v>1</v>
      </c>
      <c r="CP40" s="115">
        <v>10</v>
      </c>
      <c r="CQ40" s="110">
        <v>1</v>
      </c>
      <c r="CR40" s="86">
        <v>5.3573593802627144</v>
      </c>
      <c r="CS40" s="85">
        <v>4312</v>
      </c>
      <c r="CT40" s="85">
        <v>4391</v>
      </c>
      <c r="CU40" s="84">
        <v>98.2</v>
      </c>
      <c r="CV40" s="84">
        <v>81.91</v>
      </c>
      <c r="CW40" s="84">
        <v>0.94</v>
      </c>
      <c r="CX40" s="115" t="s">
        <v>339</v>
      </c>
      <c r="CY40" s="114">
        <v>71000</v>
      </c>
      <c r="CZ40" s="129">
        <v>111000</v>
      </c>
      <c r="DA40" s="129">
        <v>0</v>
      </c>
      <c r="DB40" s="129">
        <v>2000</v>
      </c>
      <c r="DC40" s="129">
        <v>2000</v>
      </c>
      <c r="DD40" s="129">
        <v>200571</v>
      </c>
      <c r="DE40" s="87">
        <v>0</v>
      </c>
      <c r="DF40" s="87">
        <v>0</v>
      </c>
      <c r="DG40" s="114">
        <v>0</v>
      </c>
      <c r="DH40" s="162">
        <v>9</v>
      </c>
      <c r="DI40" s="114">
        <v>994.33333333333337</v>
      </c>
      <c r="DJ40" s="114">
        <v>33</v>
      </c>
      <c r="DK40" s="114">
        <v>67</v>
      </c>
      <c r="DL40" s="114">
        <v>0</v>
      </c>
      <c r="DM40" s="114">
        <v>0</v>
      </c>
      <c r="DN40" s="114">
        <v>0</v>
      </c>
      <c r="DO40" s="114">
        <v>56</v>
      </c>
      <c r="DP40" s="114">
        <v>44</v>
      </c>
      <c r="DQ40" s="88">
        <v>109</v>
      </c>
      <c r="DR40" s="147">
        <v>82.100917431192656</v>
      </c>
      <c r="DT40" s="55"/>
      <c r="DU40" s="55"/>
    </row>
    <row r="41" spans="1:125" s="32" customFormat="1" ht="15" customHeight="1" thickBot="1">
      <c r="A41" s="100" t="s">
        <v>263</v>
      </c>
      <c r="B41" s="184">
        <v>2017</v>
      </c>
      <c r="C41" s="109">
        <v>4</v>
      </c>
      <c r="D41" s="83" t="s">
        <v>347</v>
      </c>
      <c r="E41" s="83" t="s">
        <v>409</v>
      </c>
      <c r="F41" s="132">
        <v>3428.2</v>
      </c>
      <c r="G41" s="85">
        <v>38083</v>
      </c>
      <c r="H41" s="86">
        <v>2.7936730727704528</v>
      </c>
      <c r="I41" s="132">
        <v>11.108745114054024</v>
      </c>
      <c r="J41" s="85">
        <v>18726</v>
      </c>
      <c r="K41" s="173">
        <v>49.171546359267914</v>
      </c>
      <c r="L41" s="85">
        <v>19357</v>
      </c>
      <c r="M41" s="173">
        <v>50.828453640732086</v>
      </c>
      <c r="N41" s="161">
        <v>19.65181314497282</v>
      </c>
      <c r="O41" s="161">
        <v>41.01567628600688</v>
      </c>
      <c r="P41" s="161">
        <v>39.332510569020293</v>
      </c>
      <c r="Q41" s="161">
        <v>26.946406533098759</v>
      </c>
      <c r="R41" s="159">
        <v>33.721082897880947</v>
      </c>
      <c r="S41" s="160">
        <v>39.332510569020293</v>
      </c>
      <c r="T41" s="84">
        <v>5.6</v>
      </c>
      <c r="U41" s="84">
        <v>3.8</v>
      </c>
      <c r="V41" s="89">
        <v>40</v>
      </c>
      <c r="W41" s="90">
        <v>9.4</v>
      </c>
      <c r="X41" s="148">
        <v>42139</v>
      </c>
      <c r="Y41" s="89">
        <v>2.2000000000000002</v>
      </c>
      <c r="Z41" s="89" t="s">
        <v>340</v>
      </c>
      <c r="AA41" s="85">
        <v>2838</v>
      </c>
      <c r="AB41" s="110" t="s">
        <v>355</v>
      </c>
      <c r="AC41" s="110" t="s">
        <v>355</v>
      </c>
      <c r="AD41" s="110" t="s">
        <v>355</v>
      </c>
      <c r="AE41" s="110" t="s">
        <v>355</v>
      </c>
      <c r="AF41" s="84">
        <v>5.79</v>
      </c>
      <c r="AG41" s="84">
        <v>2.5099999999999998</v>
      </c>
      <c r="AH41" s="84">
        <v>74.52</v>
      </c>
      <c r="AI41" s="86">
        <v>25.478117675757726</v>
      </c>
      <c r="AJ41" s="84">
        <v>2.77</v>
      </c>
      <c r="AK41" s="84">
        <v>3.34</v>
      </c>
      <c r="AL41" s="84">
        <v>10.562736507202972</v>
      </c>
      <c r="AM41" s="84">
        <v>14.77</v>
      </c>
      <c r="AN41" s="85">
        <v>106010</v>
      </c>
      <c r="AO41" s="85">
        <v>112523</v>
      </c>
      <c r="AP41" s="85">
        <v>23380</v>
      </c>
      <c r="AQ41" s="135">
        <v>977.38</v>
      </c>
      <c r="AR41" s="85">
        <v>23921</v>
      </c>
      <c r="AS41" s="85">
        <v>426</v>
      </c>
      <c r="AT41" s="135">
        <v>1510.6382978723404</v>
      </c>
      <c r="AU41" s="85">
        <v>282</v>
      </c>
      <c r="AV41" s="85">
        <v>4329</v>
      </c>
      <c r="AW41" s="135">
        <v>3493.946731234867</v>
      </c>
      <c r="AX41" s="85">
        <v>1239</v>
      </c>
      <c r="AY41" s="85" t="s">
        <v>379</v>
      </c>
      <c r="AZ41" s="135" t="s">
        <v>379</v>
      </c>
      <c r="BA41" s="89">
        <v>0</v>
      </c>
      <c r="BB41" s="87">
        <v>179.68763042473788</v>
      </c>
      <c r="BC41" s="91">
        <v>20.8</v>
      </c>
      <c r="BD41" s="85">
        <v>1881</v>
      </c>
      <c r="BE41" s="92">
        <v>1.7164131436549288</v>
      </c>
      <c r="BF41" s="85">
        <v>39127</v>
      </c>
      <c r="BG41" s="92">
        <v>35.703400888775334</v>
      </c>
      <c r="BH41" s="85">
        <v>13260</v>
      </c>
      <c r="BI41" s="92">
        <v>12.099754537407952</v>
      </c>
      <c r="BJ41" s="85">
        <v>11575</v>
      </c>
      <c r="BK41" s="92">
        <v>10.562191460821797</v>
      </c>
      <c r="BL41" s="85">
        <v>12155</v>
      </c>
      <c r="BM41" s="92">
        <v>11.091441659290622</v>
      </c>
      <c r="BN41" s="85">
        <v>17739</v>
      </c>
      <c r="BO41" s="92">
        <v>16.18684357006634</v>
      </c>
      <c r="BP41" s="85">
        <v>13852</v>
      </c>
      <c r="BQ41" s="92">
        <v>12.639954739983029</v>
      </c>
      <c r="BR41" s="165">
        <v>49.392117217656171</v>
      </c>
      <c r="BS41" s="165">
        <v>348.1868550271775</v>
      </c>
      <c r="BT41" s="111">
        <v>936.82220413307778</v>
      </c>
      <c r="BU41" s="165">
        <v>303.94139117191395</v>
      </c>
      <c r="BV41" s="165">
        <v>271.77480765695981</v>
      </c>
      <c r="BW41" s="165">
        <v>90.591602552319927</v>
      </c>
      <c r="BX41" s="165">
        <v>363.73184885644514</v>
      </c>
      <c r="BY41" s="112">
        <v>47.396476117952894</v>
      </c>
      <c r="BZ41" s="165">
        <v>465.79838773205893</v>
      </c>
      <c r="CA41" s="110" t="s">
        <v>355</v>
      </c>
      <c r="CB41" s="112">
        <v>227.33</v>
      </c>
      <c r="CC41" s="110" t="s">
        <v>355</v>
      </c>
      <c r="CD41" s="110" t="s">
        <v>355</v>
      </c>
      <c r="CE41" s="110" t="s">
        <v>355</v>
      </c>
      <c r="CF41" s="110" t="s">
        <v>355</v>
      </c>
      <c r="CG41" s="110" t="s">
        <v>355</v>
      </c>
      <c r="CH41" s="110" t="s">
        <v>355</v>
      </c>
      <c r="CI41" s="110" t="s">
        <v>355</v>
      </c>
      <c r="CJ41" s="87">
        <v>22047</v>
      </c>
      <c r="CK41" s="92">
        <v>52.424366126910691</v>
      </c>
      <c r="CL41" s="139">
        <v>1010.0099999999999</v>
      </c>
      <c r="CM41" s="139">
        <v>26.521282461990911</v>
      </c>
      <c r="CN41" s="139">
        <v>1167.28</v>
      </c>
      <c r="CO41" s="115">
        <v>3</v>
      </c>
      <c r="CP41" s="115">
        <v>15</v>
      </c>
      <c r="CQ41" s="110">
        <v>3</v>
      </c>
      <c r="CR41" s="86">
        <v>5.7230632001469157</v>
      </c>
      <c r="CS41" s="85">
        <v>24012</v>
      </c>
      <c r="CT41" s="85">
        <v>24012</v>
      </c>
      <c r="CU41" s="84">
        <v>100</v>
      </c>
      <c r="CV41" s="84">
        <v>67.11</v>
      </c>
      <c r="CW41" s="84">
        <v>6.8</v>
      </c>
      <c r="CX41" s="115" t="s">
        <v>339</v>
      </c>
      <c r="CY41" s="114">
        <v>118000</v>
      </c>
      <c r="CZ41" s="129">
        <v>215000</v>
      </c>
      <c r="DA41" s="129">
        <v>0</v>
      </c>
      <c r="DB41" s="129">
        <v>26377</v>
      </c>
      <c r="DC41" s="129">
        <v>0</v>
      </c>
      <c r="DD41" s="129">
        <v>315000</v>
      </c>
      <c r="DE41" s="87">
        <v>12</v>
      </c>
      <c r="DF41" s="87">
        <v>12698</v>
      </c>
      <c r="DG41" s="114">
        <v>0</v>
      </c>
      <c r="DH41" s="162">
        <v>9</v>
      </c>
      <c r="DI41" s="114">
        <v>4231.4444444444443</v>
      </c>
      <c r="DJ41" s="114">
        <v>44</v>
      </c>
      <c r="DK41" s="114">
        <v>56</v>
      </c>
      <c r="DL41" s="114">
        <v>0</v>
      </c>
      <c r="DM41" s="114">
        <v>0</v>
      </c>
      <c r="DN41" s="114">
        <v>0</v>
      </c>
      <c r="DO41" s="114">
        <v>44</v>
      </c>
      <c r="DP41" s="114">
        <v>56</v>
      </c>
      <c r="DQ41" s="88">
        <v>489</v>
      </c>
      <c r="DR41" s="147">
        <v>77.879345603271986</v>
      </c>
      <c r="DT41" s="55"/>
      <c r="DU41" s="55"/>
    </row>
    <row r="42" spans="1:125" s="33" customFormat="1" ht="15" customHeight="1" thickBot="1">
      <c r="A42" s="100" t="s">
        <v>264</v>
      </c>
      <c r="B42" s="184">
        <v>2017</v>
      </c>
      <c r="C42" s="109">
        <v>3</v>
      </c>
      <c r="D42" s="83" t="s">
        <v>349</v>
      </c>
      <c r="E42" s="83"/>
      <c r="F42" s="132">
        <v>101.5</v>
      </c>
      <c r="G42" s="85">
        <v>208468</v>
      </c>
      <c r="H42" s="86">
        <v>5.1090326972042188</v>
      </c>
      <c r="I42" s="132">
        <v>2053.8719211822659</v>
      </c>
      <c r="J42" s="85">
        <v>103567</v>
      </c>
      <c r="K42" s="173">
        <v>49.680046817737015</v>
      </c>
      <c r="L42" s="85">
        <v>104901</v>
      </c>
      <c r="M42" s="173">
        <v>50.319953182262992</v>
      </c>
      <c r="N42" s="161">
        <v>26.014544198630006</v>
      </c>
      <c r="O42" s="161">
        <v>54.567607498512963</v>
      </c>
      <c r="P42" s="161">
        <v>19.417848302857031</v>
      </c>
      <c r="Q42" s="161">
        <v>41.764683308709252</v>
      </c>
      <c r="R42" s="159">
        <v>38.817468388433717</v>
      </c>
      <c r="S42" s="160">
        <v>19.417848302857031</v>
      </c>
      <c r="T42" s="84">
        <v>0.7</v>
      </c>
      <c r="U42" s="84">
        <v>70.8</v>
      </c>
      <c r="V42" s="89">
        <v>8</v>
      </c>
      <c r="W42" s="90">
        <v>9.1</v>
      </c>
      <c r="X42" s="148">
        <v>48052</v>
      </c>
      <c r="Y42" s="89">
        <v>3.3</v>
      </c>
      <c r="Z42" s="89" t="s">
        <v>343</v>
      </c>
      <c r="AA42" s="85">
        <v>15099</v>
      </c>
      <c r="AB42" s="110" t="s">
        <v>355</v>
      </c>
      <c r="AC42" s="110" t="s">
        <v>355</v>
      </c>
      <c r="AD42" s="110" t="s">
        <v>355</v>
      </c>
      <c r="AE42" s="110" t="s">
        <v>355</v>
      </c>
      <c r="AF42" s="84">
        <v>8.27</v>
      </c>
      <c r="AG42" s="84">
        <v>2.82</v>
      </c>
      <c r="AH42" s="84">
        <v>82.61</v>
      </c>
      <c r="AI42" s="86">
        <v>17.389492043649579</v>
      </c>
      <c r="AJ42" s="84">
        <v>3.37</v>
      </c>
      <c r="AK42" s="84">
        <v>123.88</v>
      </c>
      <c r="AL42" s="84">
        <v>0.20058122969969799</v>
      </c>
      <c r="AM42" s="84">
        <v>3.15</v>
      </c>
      <c r="AN42" s="85">
        <v>160975</v>
      </c>
      <c r="AO42" s="85">
        <v>175544</v>
      </c>
      <c r="AP42" s="85">
        <v>45468</v>
      </c>
      <c r="AQ42" s="135">
        <v>791.5875972771114</v>
      </c>
      <c r="AR42" s="85">
        <v>57439</v>
      </c>
      <c r="AS42" s="85">
        <v>216</v>
      </c>
      <c r="AT42" s="135">
        <v>1928.5714285714287</v>
      </c>
      <c r="AU42" s="85">
        <v>112</v>
      </c>
      <c r="AV42" s="85">
        <v>32409</v>
      </c>
      <c r="AW42" s="135">
        <v>7744.0860215053763</v>
      </c>
      <c r="AX42" s="85">
        <v>4185</v>
      </c>
      <c r="AY42" s="135" t="s">
        <v>379</v>
      </c>
      <c r="AZ42" s="135" t="s">
        <v>379</v>
      </c>
      <c r="BA42" s="89">
        <v>0</v>
      </c>
      <c r="BB42" s="87">
        <v>370.81044829882319</v>
      </c>
      <c r="BC42" s="91">
        <v>21.945019934191055</v>
      </c>
      <c r="BD42" s="85">
        <v>44461</v>
      </c>
      <c r="BE42" s="92">
        <v>27.367183508657462</v>
      </c>
      <c r="BF42" s="85">
        <v>8749</v>
      </c>
      <c r="BG42" s="92">
        <v>5.3852924701928462</v>
      </c>
      <c r="BH42" s="85">
        <v>32158</v>
      </c>
      <c r="BI42" s="92">
        <v>19.794289090920284</v>
      </c>
      <c r="BJ42" s="85">
        <v>20260</v>
      </c>
      <c r="BK42" s="92">
        <v>12.470685272157626</v>
      </c>
      <c r="BL42" s="85">
        <v>25678</v>
      </c>
      <c r="BM42" s="92">
        <v>15.805639507327912</v>
      </c>
      <c r="BN42" s="85">
        <v>17252</v>
      </c>
      <c r="BO42" s="92">
        <v>10.619163983971537</v>
      </c>
      <c r="BP42" s="85">
        <v>13903</v>
      </c>
      <c r="BQ42" s="92">
        <v>8.5577461667723327</v>
      </c>
      <c r="BR42" s="165">
        <v>213.2749390793791</v>
      </c>
      <c r="BS42" s="165">
        <v>154.25868718460387</v>
      </c>
      <c r="BT42" s="111">
        <v>0</v>
      </c>
      <c r="BU42" s="165">
        <v>97.185179499971213</v>
      </c>
      <c r="BV42" s="165">
        <v>88.824184047431743</v>
      </c>
      <c r="BW42" s="165">
        <v>41.968071838363684</v>
      </c>
      <c r="BX42" s="165">
        <v>66.691290749659416</v>
      </c>
      <c r="BY42" s="112">
        <v>34.350595774891111</v>
      </c>
      <c r="BZ42" s="165">
        <v>82.756106452788913</v>
      </c>
      <c r="CA42" s="110" t="s">
        <v>355</v>
      </c>
      <c r="CB42" s="112">
        <v>512.64820069987286</v>
      </c>
      <c r="CC42" s="110" t="s">
        <v>355</v>
      </c>
      <c r="CD42" s="110" t="s">
        <v>355</v>
      </c>
      <c r="CE42" s="110" t="s">
        <v>355</v>
      </c>
      <c r="CF42" s="110" t="s">
        <v>355</v>
      </c>
      <c r="CG42" s="110" t="s">
        <v>355</v>
      </c>
      <c r="CH42" s="110" t="s">
        <v>355</v>
      </c>
      <c r="CI42" s="110" t="s">
        <v>355</v>
      </c>
      <c r="CJ42" s="87">
        <v>38964</v>
      </c>
      <c r="CK42" s="92">
        <v>74.638127502309828</v>
      </c>
      <c r="CL42" s="139">
        <v>681.06999999999994</v>
      </c>
      <c r="CM42" s="139">
        <v>3.2670241955599897</v>
      </c>
      <c r="CN42" s="139">
        <v>981</v>
      </c>
      <c r="CO42" s="87">
        <v>3</v>
      </c>
      <c r="CP42" s="87">
        <v>24</v>
      </c>
      <c r="CQ42" s="110">
        <v>5</v>
      </c>
      <c r="CR42" s="86">
        <v>2.1047980220652587</v>
      </c>
      <c r="CS42" s="85">
        <v>42372</v>
      </c>
      <c r="CT42" s="85">
        <v>34616</v>
      </c>
      <c r="CU42" s="84">
        <v>122.41</v>
      </c>
      <c r="CV42" s="84">
        <v>147.63</v>
      </c>
      <c r="CW42" s="84">
        <v>1.67</v>
      </c>
      <c r="CX42" s="115" t="s">
        <v>339</v>
      </c>
      <c r="CY42" s="114">
        <v>61000</v>
      </c>
      <c r="CZ42" s="129">
        <v>444000</v>
      </c>
      <c r="DA42" s="129">
        <v>0</v>
      </c>
      <c r="DB42" s="129">
        <v>18247</v>
      </c>
      <c r="DC42" s="129">
        <v>0</v>
      </c>
      <c r="DD42" s="129">
        <v>443582</v>
      </c>
      <c r="DE42" s="87">
        <v>2</v>
      </c>
      <c r="DF42" s="87">
        <v>4893</v>
      </c>
      <c r="DG42" s="114">
        <v>0</v>
      </c>
      <c r="DH42" s="162">
        <v>13</v>
      </c>
      <c r="DI42" s="114">
        <v>16036</v>
      </c>
      <c r="DJ42" s="114">
        <v>31</v>
      </c>
      <c r="DK42" s="114">
        <v>69</v>
      </c>
      <c r="DL42" s="114">
        <v>0</v>
      </c>
      <c r="DM42" s="114">
        <v>69</v>
      </c>
      <c r="DN42" s="114">
        <v>15</v>
      </c>
      <c r="DO42" s="114">
        <v>62</v>
      </c>
      <c r="DP42" s="114">
        <v>23</v>
      </c>
      <c r="DQ42" s="93">
        <v>733</v>
      </c>
      <c r="DR42" s="147">
        <v>284.40381991814462</v>
      </c>
      <c r="DT42" s="55"/>
      <c r="DU42" s="55"/>
    </row>
    <row r="43" spans="1:125" s="32" customFormat="1" ht="15" customHeight="1" thickBot="1">
      <c r="A43" s="100" t="s">
        <v>265</v>
      </c>
      <c r="B43" s="184">
        <v>2017</v>
      </c>
      <c r="C43" s="109">
        <v>11</v>
      </c>
      <c r="D43" s="83" t="s">
        <v>350</v>
      </c>
      <c r="E43" s="83" t="s">
        <v>405</v>
      </c>
      <c r="F43" s="132">
        <v>5685</v>
      </c>
      <c r="G43" s="85">
        <v>12444</v>
      </c>
      <c r="H43" s="86">
        <v>-0.94722598105547728</v>
      </c>
      <c r="I43" s="132">
        <v>2.1889182058047494</v>
      </c>
      <c r="J43" s="85">
        <v>6172</v>
      </c>
      <c r="K43" s="173">
        <v>49.598199935711989</v>
      </c>
      <c r="L43" s="85">
        <v>6272</v>
      </c>
      <c r="M43" s="173">
        <v>50.401800064288004</v>
      </c>
      <c r="N43" s="161">
        <v>22.749919639987144</v>
      </c>
      <c r="O43" s="161">
        <v>42.357762777242044</v>
      </c>
      <c r="P43" s="161">
        <v>34.892317582770815</v>
      </c>
      <c r="Q43" s="161">
        <v>31.195756991321115</v>
      </c>
      <c r="R43" s="159">
        <v>33.911925425908066</v>
      </c>
      <c r="S43" s="160">
        <v>34.892317582770815</v>
      </c>
      <c r="T43" s="84">
        <v>1.7</v>
      </c>
      <c r="U43" s="84">
        <v>2</v>
      </c>
      <c r="V43" s="89">
        <v>37</v>
      </c>
      <c r="W43" s="90">
        <v>7.6</v>
      </c>
      <c r="X43" s="148">
        <v>46249</v>
      </c>
      <c r="Y43" s="89">
        <v>2.2999999999999998</v>
      </c>
      <c r="Z43" s="89" t="s">
        <v>342</v>
      </c>
      <c r="AA43" s="85">
        <v>1260</v>
      </c>
      <c r="AB43" s="110" t="s">
        <v>355</v>
      </c>
      <c r="AC43" s="110" t="s">
        <v>355</v>
      </c>
      <c r="AD43" s="110" t="s">
        <v>355</v>
      </c>
      <c r="AE43" s="110" t="s">
        <v>355</v>
      </c>
      <c r="AF43" s="84">
        <v>3.85</v>
      </c>
      <c r="AG43" s="84">
        <v>1.89</v>
      </c>
      <c r="AH43" s="84">
        <v>59.28</v>
      </c>
      <c r="AI43" s="86">
        <v>40.721887386986921</v>
      </c>
      <c r="AJ43" s="84">
        <v>9.6999999999999993</v>
      </c>
      <c r="AK43" s="84">
        <v>28.39</v>
      </c>
      <c r="AL43" s="84">
        <v>0.86395543808793029</v>
      </c>
      <c r="AM43" s="84">
        <v>24.57</v>
      </c>
      <c r="AN43" s="85">
        <v>33833</v>
      </c>
      <c r="AO43" s="85">
        <v>35187</v>
      </c>
      <c r="AP43" s="85">
        <v>3227</v>
      </c>
      <c r="AQ43" s="135">
        <v>533.03600925008254</v>
      </c>
      <c r="AR43" s="85">
        <v>6054</v>
      </c>
      <c r="AS43" s="85">
        <v>3385</v>
      </c>
      <c r="AT43" s="135">
        <v>2958.9160839160841</v>
      </c>
      <c r="AU43" s="85">
        <v>1144</v>
      </c>
      <c r="AV43" s="85">
        <v>561</v>
      </c>
      <c r="AW43" s="135">
        <v>883.46456692913387</v>
      </c>
      <c r="AX43" s="85">
        <v>635</v>
      </c>
      <c r="AY43" s="135" t="s">
        <v>379</v>
      </c>
      <c r="AZ43" s="135" t="s">
        <v>379</v>
      </c>
      <c r="BA43" s="89">
        <v>0</v>
      </c>
      <c r="BB43" s="87">
        <v>215.51232664157257</v>
      </c>
      <c r="BC43" s="91">
        <v>27.271225635943182</v>
      </c>
      <c r="BD43" s="85">
        <v>8367</v>
      </c>
      <c r="BE43" s="92">
        <v>22.440057930590569</v>
      </c>
      <c r="BF43" s="85">
        <v>8768</v>
      </c>
      <c r="BG43" s="92">
        <v>23.515528616638953</v>
      </c>
      <c r="BH43" s="85">
        <v>3369</v>
      </c>
      <c r="BI43" s="92">
        <v>9.0355629458778086</v>
      </c>
      <c r="BJ43" s="85">
        <v>1422</v>
      </c>
      <c r="BK43" s="92">
        <v>3.8137638792039907</v>
      </c>
      <c r="BL43" s="85">
        <v>2400</v>
      </c>
      <c r="BM43" s="92">
        <v>6.4367322855763565</v>
      </c>
      <c r="BN43" s="85">
        <v>7499</v>
      </c>
      <c r="BO43" s="92">
        <v>20.112106420640455</v>
      </c>
      <c r="BP43" s="85">
        <v>5461</v>
      </c>
      <c r="BQ43" s="92">
        <v>14.646247921471867</v>
      </c>
      <c r="BR43" s="165">
        <v>672.37222757955647</v>
      </c>
      <c r="BS43" s="165">
        <v>270.73288331726133</v>
      </c>
      <c r="BT43" s="111">
        <v>626.40630022500807</v>
      </c>
      <c r="BU43" s="165">
        <v>114.27193828351012</v>
      </c>
      <c r="BV43" s="165">
        <v>153.40726454516232</v>
      </c>
      <c r="BW43" s="165">
        <v>78.190292510446795</v>
      </c>
      <c r="BX43" s="165">
        <v>438.84603021536486</v>
      </c>
      <c r="BY43" s="112">
        <v>39.456766313082611</v>
      </c>
      <c r="BZ43" s="165">
        <v>602.61973641915779</v>
      </c>
      <c r="CA43" s="110" t="s">
        <v>355</v>
      </c>
      <c r="CB43" s="112">
        <v>217.37694086554345</v>
      </c>
      <c r="CC43" s="110" t="s">
        <v>355</v>
      </c>
      <c r="CD43" s="110" t="s">
        <v>355</v>
      </c>
      <c r="CE43" s="110" t="s">
        <v>355</v>
      </c>
      <c r="CF43" s="110" t="s">
        <v>355</v>
      </c>
      <c r="CG43" s="110" t="s">
        <v>355</v>
      </c>
      <c r="CH43" s="110" t="s">
        <v>355</v>
      </c>
      <c r="CI43" s="110" t="s">
        <v>355</v>
      </c>
      <c r="CJ43" s="87">
        <v>7567</v>
      </c>
      <c r="CK43" s="92">
        <v>56.283864146953874</v>
      </c>
      <c r="CL43" s="139">
        <v>2308.1400000000003</v>
      </c>
      <c r="CM43" s="139">
        <v>185.48216007714564</v>
      </c>
      <c r="CN43" s="139">
        <v>327.73</v>
      </c>
      <c r="CO43" s="115">
        <v>5</v>
      </c>
      <c r="CP43" s="115">
        <v>9</v>
      </c>
      <c r="CQ43" s="110">
        <v>3</v>
      </c>
      <c r="CR43" s="86">
        <v>4.5962717882504842</v>
      </c>
      <c r="CS43" s="85">
        <v>3852</v>
      </c>
      <c r="CT43" s="85">
        <v>5340</v>
      </c>
      <c r="CU43" s="84">
        <v>72.13</v>
      </c>
      <c r="CV43" s="84">
        <v>80.52</v>
      </c>
      <c r="CW43" s="84">
        <v>4.55</v>
      </c>
      <c r="CX43" s="115" t="s">
        <v>339</v>
      </c>
      <c r="CY43" s="114">
        <v>3000</v>
      </c>
      <c r="CZ43" s="129">
        <v>141000</v>
      </c>
      <c r="DA43" s="129">
        <v>0</v>
      </c>
      <c r="DB43" s="129">
        <v>17000</v>
      </c>
      <c r="DC43" s="129">
        <v>0</v>
      </c>
      <c r="DD43" s="129">
        <v>290000</v>
      </c>
      <c r="DE43" s="87">
        <v>5</v>
      </c>
      <c r="DF43" s="87">
        <v>15372</v>
      </c>
      <c r="DG43" s="114">
        <v>0</v>
      </c>
      <c r="DH43" s="162">
        <v>9</v>
      </c>
      <c r="DI43" s="114">
        <v>1382.6666666666667</v>
      </c>
      <c r="DJ43" s="114">
        <v>23</v>
      </c>
      <c r="DK43" s="114">
        <v>77</v>
      </c>
      <c r="DL43" s="114">
        <v>0</v>
      </c>
      <c r="DM43" s="114">
        <v>0</v>
      </c>
      <c r="DN43" s="114">
        <v>0</v>
      </c>
      <c r="DO43" s="114">
        <v>56</v>
      </c>
      <c r="DP43" s="114">
        <v>44</v>
      </c>
      <c r="DQ43" s="88">
        <v>147</v>
      </c>
      <c r="DR43" s="147">
        <v>84.65306122448979</v>
      </c>
      <c r="DT43" s="55"/>
      <c r="DU43" s="55"/>
    </row>
    <row r="44" spans="1:125" s="32" customFormat="1" ht="15" customHeight="1" thickBot="1">
      <c r="A44" s="100" t="s">
        <v>266</v>
      </c>
      <c r="B44" s="184">
        <v>2017</v>
      </c>
      <c r="C44" s="109">
        <v>10</v>
      </c>
      <c r="D44" s="83" t="s">
        <v>350</v>
      </c>
      <c r="E44" s="83" t="s">
        <v>408</v>
      </c>
      <c r="F44" s="132">
        <v>4710.1000000000004</v>
      </c>
      <c r="G44" s="85">
        <v>9859</v>
      </c>
      <c r="H44" s="86">
        <v>3.4956959899223206</v>
      </c>
      <c r="I44" s="132">
        <v>2.0931615040020382</v>
      </c>
      <c r="J44" s="85">
        <v>4976</v>
      </c>
      <c r="K44" s="173">
        <v>50.471650268789936</v>
      </c>
      <c r="L44" s="85">
        <v>4883</v>
      </c>
      <c r="M44" s="173">
        <v>49.528349731210064</v>
      </c>
      <c r="N44" s="161">
        <v>27.771579267674205</v>
      </c>
      <c r="O44" s="161">
        <v>44.811847043310685</v>
      </c>
      <c r="P44" s="161">
        <v>27.416573689015109</v>
      </c>
      <c r="Q44" s="161">
        <v>38.665179024241809</v>
      </c>
      <c r="R44" s="159">
        <v>33.918247286743075</v>
      </c>
      <c r="S44" s="160">
        <v>27.416573689015109</v>
      </c>
      <c r="T44" s="84">
        <v>11.1</v>
      </c>
      <c r="U44" s="84">
        <v>2.1</v>
      </c>
      <c r="V44" s="89">
        <v>39</v>
      </c>
      <c r="W44" s="90">
        <v>5.0999999999999996</v>
      </c>
      <c r="X44" s="148">
        <v>47072</v>
      </c>
      <c r="Y44" s="89">
        <v>2.4</v>
      </c>
      <c r="Z44" s="89" t="s">
        <v>342</v>
      </c>
      <c r="AA44" s="85">
        <v>1137</v>
      </c>
      <c r="AB44" s="110" t="s">
        <v>355</v>
      </c>
      <c r="AC44" s="110" t="s">
        <v>355</v>
      </c>
      <c r="AD44" s="110" t="s">
        <v>355</v>
      </c>
      <c r="AE44" s="110" t="s">
        <v>355</v>
      </c>
      <c r="AF44" s="84">
        <v>14.3</v>
      </c>
      <c r="AG44" s="84">
        <v>7.25</v>
      </c>
      <c r="AH44" s="84">
        <v>61.66</v>
      </c>
      <c r="AI44" s="86">
        <v>38.339663374409561</v>
      </c>
      <c r="AJ44" s="84">
        <v>8.76</v>
      </c>
      <c r="AK44" s="84">
        <v>5.63</v>
      </c>
      <c r="AL44" s="84">
        <v>3.0061676354439366</v>
      </c>
      <c r="AM44" s="84">
        <v>15.61</v>
      </c>
      <c r="AN44" s="85">
        <v>38629</v>
      </c>
      <c r="AO44" s="85">
        <v>45074</v>
      </c>
      <c r="AP44" s="85">
        <v>2516</v>
      </c>
      <c r="AQ44" s="135">
        <v>759.43253848475706</v>
      </c>
      <c r="AR44" s="85">
        <v>3313</v>
      </c>
      <c r="AS44" s="85">
        <v>3324</v>
      </c>
      <c r="AT44" s="135">
        <v>2340.8450704225352</v>
      </c>
      <c r="AU44" s="85">
        <v>1420</v>
      </c>
      <c r="AV44" s="85">
        <v>1172</v>
      </c>
      <c r="AW44" s="135">
        <v>2751.1737089201879</v>
      </c>
      <c r="AX44" s="85">
        <v>426</v>
      </c>
      <c r="AY44" s="135" t="s">
        <v>379</v>
      </c>
      <c r="AZ44" s="135" t="s">
        <v>379</v>
      </c>
      <c r="BA44" s="89">
        <v>0</v>
      </c>
      <c r="BB44" s="87">
        <v>132.17576269252709</v>
      </c>
      <c r="BC44" s="91">
        <v>22.758828856021733</v>
      </c>
      <c r="BD44" s="85">
        <v>4294</v>
      </c>
      <c r="BE44" s="92">
        <v>11.116000931942322</v>
      </c>
      <c r="BF44" s="85">
        <v>6963</v>
      </c>
      <c r="BG44" s="92">
        <v>18.0253177664449</v>
      </c>
      <c r="BH44" s="85">
        <v>2193</v>
      </c>
      <c r="BI44" s="92">
        <v>5.6770819850371481</v>
      </c>
      <c r="BJ44" s="85">
        <v>1483</v>
      </c>
      <c r="BK44" s="92">
        <v>3.839084625540397</v>
      </c>
      <c r="BL44" s="85">
        <v>2776</v>
      </c>
      <c r="BM44" s="92">
        <v>7.1863108027647629</v>
      </c>
      <c r="BN44" s="85">
        <v>9785</v>
      </c>
      <c r="BO44" s="92">
        <v>25.330710088275648</v>
      </c>
      <c r="BP44" s="85">
        <v>11135</v>
      </c>
      <c r="BQ44" s="92">
        <v>28.825493799994824</v>
      </c>
      <c r="BR44" s="165">
        <v>435.54112993204177</v>
      </c>
      <c r="BS44" s="165">
        <v>222.4363525712547</v>
      </c>
      <c r="BT44" s="111">
        <v>616.99969570950395</v>
      </c>
      <c r="BU44" s="165">
        <v>150.42093518612435</v>
      </c>
      <c r="BV44" s="165">
        <v>244.85241910944316</v>
      </c>
      <c r="BW44" s="165">
        <v>89.258545491429146</v>
      </c>
      <c r="BX44" s="165">
        <v>1129.4248909625724</v>
      </c>
      <c r="BY44" s="112">
        <v>36.717719849883352</v>
      </c>
      <c r="BZ44" s="165">
        <v>992.49416776549344</v>
      </c>
      <c r="CA44" s="110" t="s">
        <v>355</v>
      </c>
      <c r="CB44" s="112">
        <v>345.30636884998489</v>
      </c>
      <c r="CC44" s="110" t="s">
        <v>355</v>
      </c>
      <c r="CD44" s="110" t="s">
        <v>355</v>
      </c>
      <c r="CE44" s="110" t="s">
        <v>355</v>
      </c>
      <c r="CF44" s="110" t="s">
        <v>355</v>
      </c>
      <c r="CG44" s="110" t="s">
        <v>355</v>
      </c>
      <c r="CH44" s="110" t="s">
        <v>355</v>
      </c>
      <c r="CI44" s="110" t="s">
        <v>355</v>
      </c>
      <c r="CJ44" s="87">
        <v>5411</v>
      </c>
      <c r="CK44" s="92">
        <v>28.053964147107745</v>
      </c>
      <c r="CL44" s="139">
        <v>1869.17</v>
      </c>
      <c r="CM44" s="139">
        <v>189.59022213206208</v>
      </c>
      <c r="CN44" s="139">
        <v>48</v>
      </c>
      <c r="CO44" s="115">
        <v>1</v>
      </c>
      <c r="CP44" s="115">
        <v>2</v>
      </c>
      <c r="CQ44" s="110">
        <v>1</v>
      </c>
      <c r="CR44" s="86">
        <v>3.2454286875253961</v>
      </c>
      <c r="CS44" s="85">
        <v>5092</v>
      </c>
      <c r="CT44" s="85">
        <v>8638</v>
      </c>
      <c r="CU44" s="84">
        <v>58.95</v>
      </c>
      <c r="CV44" s="84">
        <v>114.28</v>
      </c>
      <c r="CW44" s="84">
        <v>3.43</v>
      </c>
      <c r="CX44" s="115" t="s">
        <v>339</v>
      </c>
      <c r="CY44" s="114">
        <v>52000</v>
      </c>
      <c r="CZ44" s="129">
        <v>128000</v>
      </c>
      <c r="DA44" s="129">
        <v>0</v>
      </c>
      <c r="DB44" s="129">
        <v>41000</v>
      </c>
      <c r="DC44" s="129">
        <v>1000</v>
      </c>
      <c r="DD44" s="129">
        <v>269000</v>
      </c>
      <c r="DE44" s="87">
        <v>1</v>
      </c>
      <c r="DF44" s="87">
        <v>9060</v>
      </c>
      <c r="DG44" s="114">
        <v>0</v>
      </c>
      <c r="DH44" s="162">
        <v>9</v>
      </c>
      <c r="DI44" s="114">
        <v>1095.4444444444443</v>
      </c>
      <c r="DJ44" s="114">
        <v>44</v>
      </c>
      <c r="DK44" s="114">
        <v>56</v>
      </c>
      <c r="DL44" s="114">
        <v>0</v>
      </c>
      <c r="DM44" s="114">
        <v>22</v>
      </c>
      <c r="DN44" s="114">
        <v>0</v>
      </c>
      <c r="DO44" s="114">
        <v>56</v>
      </c>
      <c r="DP44" s="114">
        <v>44</v>
      </c>
      <c r="DQ44" s="88">
        <v>118</v>
      </c>
      <c r="DR44" s="147">
        <v>83.550847457627114</v>
      </c>
      <c r="DT44" s="55"/>
      <c r="DU44" s="55"/>
    </row>
    <row r="45" spans="1:125" s="32" customFormat="1" ht="15" customHeight="1" thickBot="1">
      <c r="A45" s="100" t="s">
        <v>267</v>
      </c>
      <c r="B45" s="184">
        <v>2017</v>
      </c>
      <c r="C45" s="109">
        <v>3</v>
      </c>
      <c r="D45" s="83" t="s">
        <v>349</v>
      </c>
      <c r="E45" s="83"/>
      <c r="F45" s="132">
        <v>38.299999999999997</v>
      </c>
      <c r="G45" s="85">
        <v>156293</v>
      </c>
      <c r="H45" s="86">
        <v>8.9506667689068777</v>
      </c>
      <c r="I45" s="132">
        <v>4078.7</v>
      </c>
      <c r="J45" s="85">
        <v>77136</v>
      </c>
      <c r="K45" s="173">
        <v>49.353457928378106</v>
      </c>
      <c r="L45" s="85">
        <v>79157</v>
      </c>
      <c r="M45" s="173">
        <v>50.646542071621894</v>
      </c>
      <c r="N45" s="161">
        <v>22.585784392135285</v>
      </c>
      <c r="O45" s="161">
        <v>57.18298324301152</v>
      </c>
      <c r="P45" s="161">
        <v>20.231232364853192</v>
      </c>
      <c r="Q45" s="161">
        <v>40.046579181409278</v>
      </c>
      <c r="R45" s="159">
        <v>39.72218845373753</v>
      </c>
      <c r="S45" s="160">
        <v>20.231232364853192</v>
      </c>
      <c r="T45" s="84">
        <v>0.5</v>
      </c>
      <c r="U45" s="84">
        <v>53.5</v>
      </c>
      <c r="V45" s="89">
        <v>107</v>
      </c>
      <c r="W45" s="90">
        <v>3.5</v>
      </c>
      <c r="X45" s="148">
        <v>59090</v>
      </c>
      <c r="Y45" s="89">
        <v>2.9</v>
      </c>
      <c r="Z45" s="89" t="s">
        <v>340</v>
      </c>
      <c r="AA45" s="85">
        <v>15369</v>
      </c>
      <c r="AB45" s="110" t="s">
        <v>355</v>
      </c>
      <c r="AC45" s="110" t="s">
        <v>355</v>
      </c>
      <c r="AD45" s="110" t="s">
        <v>355</v>
      </c>
      <c r="AE45" s="110" t="s">
        <v>355</v>
      </c>
      <c r="AF45" s="84">
        <v>-2.57</v>
      </c>
      <c r="AG45" s="84">
        <v>3.86</v>
      </c>
      <c r="AH45" s="84">
        <v>78.489999999999995</v>
      </c>
      <c r="AI45" s="86">
        <v>21.452379587386936</v>
      </c>
      <c r="AJ45" s="84">
        <v>3</v>
      </c>
      <c r="AK45" s="84">
        <v>25.82</v>
      </c>
      <c r="AL45" s="84">
        <v>0.45988837963396001</v>
      </c>
      <c r="AM45" s="84">
        <v>10.88</v>
      </c>
      <c r="AN45" s="85">
        <v>131583</v>
      </c>
      <c r="AO45" s="85">
        <v>128678</v>
      </c>
      <c r="AP45" s="85">
        <v>53682</v>
      </c>
      <c r="AQ45" s="135">
        <v>1031.9294131216241</v>
      </c>
      <c r="AR45" s="85">
        <v>52021</v>
      </c>
      <c r="AS45" s="135" t="s">
        <v>379</v>
      </c>
      <c r="AT45" s="135" t="s">
        <v>379</v>
      </c>
      <c r="AU45" s="135" t="s">
        <v>379</v>
      </c>
      <c r="AV45" s="85">
        <v>10109</v>
      </c>
      <c r="AW45" s="135">
        <v>2926.751592356688</v>
      </c>
      <c r="AX45" s="85">
        <v>3454</v>
      </c>
      <c r="AY45" s="85" t="s">
        <v>379</v>
      </c>
      <c r="AZ45" s="135" t="s">
        <v>379</v>
      </c>
      <c r="BA45" s="89">
        <v>0</v>
      </c>
      <c r="BB45" s="87">
        <v>576.27326397140666</v>
      </c>
      <c r="BC45" s="91">
        <v>15.157340304876875</v>
      </c>
      <c r="BD45" s="85">
        <v>39114.904000000002</v>
      </c>
      <c r="BE45" s="92">
        <v>29.72641146652683</v>
      </c>
      <c r="BF45" s="85">
        <v>4359</v>
      </c>
      <c r="BG45" s="92">
        <v>3.3127379676705959</v>
      </c>
      <c r="BH45" s="85">
        <v>25708.207999999999</v>
      </c>
      <c r="BI45" s="92">
        <v>19.537636320801319</v>
      </c>
      <c r="BJ45" s="85">
        <v>16936</v>
      </c>
      <c r="BK45" s="92">
        <v>12.870963574321911</v>
      </c>
      <c r="BL45" s="85">
        <v>25277.724999999999</v>
      </c>
      <c r="BM45" s="92">
        <v>19.210479317237027</v>
      </c>
      <c r="BN45" s="85">
        <v>8791.1630000000005</v>
      </c>
      <c r="BO45" s="92">
        <v>6.6810781027944337</v>
      </c>
      <c r="BP45" s="85">
        <v>11396</v>
      </c>
      <c r="BQ45" s="92">
        <v>8.6606932506478795</v>
      </c>
      <c r="BR45" s="165">
        <v>250.26651225582719</v>
      </c>
      <c r="BS45" s="165">
        <v>164.48726430486329</v>
      </c>
      <c r="BT45" s="111">
        <v>0</v>
      </c>
      <c r="BU45" s="165">
        <v>108.3605791686128</v>
      </c>
      <c r="BV45" s="165">
        <v>118.63439181537241</v>
      </c>
      <c r="BW45" s="165">
        <v>27.889924692724563</v>
      </c>
      <c r="BX45" s="165">
        <v>72.914333975290006</v>
      </c>
      <c r="BY45" s="112">
        <v>43.098539281989595</v>
      </c>
      <c r="BZ45" s="165">
        <v>56.247963760373146</v>
      </c>
      <c r="CA45" s="110" t="s">
        <v>355</v>
      </c>
      <c r="CB45" s="112">
        <v>434.92051286980256</v>
      </c>
      <c r="CC45" s="110" t="s">
        <v>355</v>
      </c>
      <c r="CD45" s="110" t="s">
        <v>355</v>
      </c>
      <c r="CE45" s="110" t="s">
        <v>355</v>
      </c>
      <c r="CF45" s="110" t="s">
        <v>355</v>
      </c>
      <c r="CG45" s="110" t="s">
        <v>355</v>
      </c>
      <c r="CH45" s="110" t="s">
        <v>355</v>
      </c>
      <c r="CI45" s="110" t="s">
        <v>355</v>
      </c>
      <c r="CJ45" s="87">
        <v>30150</v>
      </c>
      <c r="CK45" s="92">
        <v>57.111111111111114</v>
      </c>
      <c r="CL45" s="139">
        <v>409.2</v>
      </c>
      <c r="CM45" s="139">
        <v>2.6181594825104133</v>
      </c>
      <c r="CN45" s="139">
        <v>427.1</v>
      </c>
      <c r="CO45" s="115">
        <v>7</v>
      </c>
      <c r="CP45" s="115">
        <v>11</v>
      </c>
      <c r="CQ45" s="110">
        <v>5</v>
      </c>
      <c r="CR45" s="86">
        <v>5.6716249041165945</v>
      </c>
      <c r="CS45" s="85">
        <v>22028</v>
      </c>
      <c r="CT45" s="85">
        <v>19222</v>
      </c>
      <c r="CU45" s="84">
        <v>114.6</v>
      </c>
      <c r="CV45" s="84">
        <v>76.61</v>
      </c>
      <c r="CW45" s="84">
        <v>1.83</v>
      </c>
      <c r="CX45" s="115" t="s">
        <v>339</v>
      </c>
      <c r="CY45" s="114">
        <v>17000</v>
      </c>
      <c r="CZ45" s="129">
        <v>464000</v>
      </c>
      <c r="DA45" s="129">
        <v>0</v>
      </c>
      <c r="DB45" s="129">
        <v>8000</v>
      </c>
      <c r="DC45" s="129">
        <v>0</v>
      </c>
      <c r="DD45" s="129">
        <v>428200</v>
      </c>
      <c r="DE45" s="87">
        <v>2</v>
      </c>
      <c r="DF45" s="87">
        <v>13760</v>
      </c>
      <c r="DG45" s="114">
        <v>0</v>
      </c>
      <c r="DH45" s="162">
        <v>15</v>
      </c>
      <c r="DI45" s="114">
        <v>10419.533333333333</v>
      </c>
      <c r="DJ45" s="114">
        <v>47</v>
      </c>
      <c r="DK45" s="114">
        <v>53</v>
      </c>
      <c r="DL45" s="114">
        <v>0</v>
      </c>
      <c r="DM45" s="114">
        <v>40</v>
      </c>
      <c r="DN45" s="114">
        <v>0</v>
      </c>
      <c r="DO45" s="114">
        <v>87</v>
      </c>
      <c r="DP45" s="114">
        <v>13</v>
      </c>
      <c r="DQ45" s="88">
        <v>554</v>
      </c>
      <c r="DR45" s="147">
        <v>282.11732851985562</v>
      </c>
      <c r="DT45" s="55"/>
      <c r="DU45" s="55"/>
    </row>
    <row r="46" spans="1:125" s="32" customFormat="1" ht="15" customHeight="1" thickBot="1">
      <c r="A46" s="100" t="s">
        <v>268</v>
      </c>
      <c r="B46" s="184">
        <v>2017</v>
      </c>
      <c r="C46" s="109">
        <v>9</v>
      </c>
      <c r="D46" s="83" t="s">
        <v>348</v>
      </c>
      <c r="E46" s="83" t="s">
        <v>413</v>
      </c>
      <c r="F46" s="132">
        <v>4831.5</v>
      </c>
      <c r="G46" s="85">
        <v>4247</v>
      </c>
      <c r="H46" s="86">
        <v>-5.1373687737324092</v>
      </c>
      <c r="I46" s="132">
        <v>0.87902307771913479</v>
      </c>
      <c r="J46" s="85">
        <v>2111</v>
      </c>
      <c r="K46" s="173">
        <v>49.705674593830942</v>
      </c>
      <c r="L46" s="85">
        <v>2136</v>
      </c>
      <c r="M46" s="173">
        <v>50.294325406169058</v>
      </c>
      <c r="N46" s="161">
        <v>25.453261125500354</v>
      </c>
      <c r="O46" s="161">
        <v>44.855191900164819</v>
      </c>
      <c r="P46" s="161">
        <v>29.691546974334827</v>
      </c>
      <c r="Q46" s="161">
        <v>35.789969390157758</v>
      </c>
      <c r="R46" s="159">
        <v>34.518483635507415</v>
      </c>
      <c r="S46" s="160">
        <v>29.691546974334827</v>
      </c>
      <c r="T46" s="84">
        <v>14.1</v>
      </c>
      <c r="U46" s="84">
        <v>2.1</v>
      </c>
      <c r="V46" s="89">
        <v>14</v>
      </c>
      <c r="W46" s="90">
        <v>3.2</v>
      </c>
      <c r="X46" s="148">
        <v>42332</v>
      </c>
      <c r="Y46" s="89">
        <v>2.4</v>
      </c>
      <c r="Z46" s="89" t="s">
        <v>342</v>
      </c>
      <c r="AA46" s="85">
        <v>597</v>
      </c>
      <c r="AB46" s="110" t="s">
        <v>355</v>
      </c>
      <c r="AC46" s="110" t="s">
        <v>355</v>
      </c>
      <c r="AD46" s="110" t="s">
        <v>355</v>
      </c>
      <c r="AE46" s="110" t="s">
        <v>355</v>
      </c>
      <c r="AF46" s="84">
        <v>4.66</v>
      </c>
      <c r="AG46" s="84">
        <v>3.57</v>
      </c>
      <c r="AH46" s="84">
        <v>62.39</v>
      </c>
      <c r="AI46" s="86">
        <v>37.61265643345051</v>
      </c>
      <c r="AJ46" s="84">
        <v>6.54</v>
      </c>
      <c r="AK46" s="84">
        <v>8.49</v>
      </c>
      <c r="AL46" s="84">
        <v>2.2547673531655223</v>
      </c>
      <c r="AM46" s="84">
        <v>10.35</v>
      </c>
      <c r="AN46" s="85">
        <v>31247</v>
      </c>
      <c r="AO46" s="85">
        <v>32775</v>
      </c>
      <c r="AP46" s="85">
        <v>891</v>
      </c>
      <c r="AQ46" s="135">
        <v>664.42953020134223</v>
      </c>
      <c r="AR46" s="85">
        <v>1341</v>
      </c>
      <c r="AS46" s="85">
        <v>3527</v>
      </c>
      <c r="AT46" s="135">
        <v>4343.5960591133007</v>
      </c>
      <c r="AU46" s="85">
        <v>812</v>
      </c>
      <c r="AV46" s="85">
        <v>235</v>
      </c>
      <c r="AW46" s="135">
        <v>1068.1818181818182</v>
      </c>
      <c r="AX46" s="85">
        <v>220</v>
      </c>
      <c r="AY46" s="135" t="s">
        <v>379</v>
      </c>
      <c r="AZ46" s="135" t="s">
        <v>379</v>
      </c>
      <c r="BA46" s="89">
        <v>0</v>
      </c>
      <c r="BB46" s="87">
        <v>110.19131893402106</v>
      </c>
      <c r="BC46" s="91">
        <v>28.187919463087248</v>
      </c>
      <c r="BD46" s="85">
        <v>8799</v>
      </c>
      <c r="BE46" s="92">
        <v>27.810613483359148</v>
      </c>
      <c r="BF46" s="85">
        <v>2807</v>
      </c>
      <c r="BG46" s="92">
        <v>8.8719618192736807</v>
      </c>
      <c r="BH46" s="85">
        <v>738</v>
      </c>
      <c r="BI46" s="92">
        <v>2.3325642403362936</v>
      </c>
      <c r="BJ46" s="85">
        <v>8445</v>
      </c>
      <c r="BK46" s="92">
        <v>26.691741205474255</v>
      </c>
      <c r="BL46" s="85">
        <v>1057</v>
      </c>
      <c r="BM46" s="92">
        <v>3.340813552893581</v>
      </c>
      <c r="BN46" s="85">
        <v>5876</v>
      </c>
      <c r="BO46" s="92">
        <v>18.572015550428269</v>
      </c>
      <c r="BP46" s="85">
        <v>3917</v>
      </c>
      <c r="BQ46" s="92">
        <v>12.380290148234774</v>
      </c>
      <c r="BR46" s="165">
        <v>2071.8153991052509</v>
      </c>
      <c r="BS46" s="165">
        <v>173.76971980221333</v>
      </c>
      <c r="BT46" s="111">
        <v>437.24982340475628</v>
      </c>
      <c r="BU46" s="165">
        <v>1988.4624440781729</v>
      </c>
      <c r="BV46" s="165">
        <v>183.65905344949377</v>
      </c>
      <c r="BW46" s="165">
        <v>223.68730868848598</v>
      </c>
      <c r="BX46" s="165">
        <v>922.29809277136803</v>
      </c>
      <c r="BY46" s="112">
        <v>65.222510007063804</v>
      </c>
      <c r="BZ46" s="165">
        <v>1383.5648693195196</v>
      </c>
      <c r="CA46" s="110" t="s">
        <v>355</v>
      </c>
      <c r="CB46" s="112">
        <v>330.35048471290082</v>
      </c>
      <c r="CC46" s="110" t="s">
        <v>355</v>
      </c>
      <c r="CD46" s="110" t="s">
        <v>355</v>
      </c>
      <c r="CE46" s="110" t="s">
        <v>355</v>
      </c>
      <c r="CF46" s="110" t="s">
        <v>355</v>
      </c>
      <c r="CG46" s="110" t="s">
        <v>355</v>
      </c>
      <c r="CH46" s="110" t="s">
        <v>355</v>
      </c>
      <c r="CI46" s="110" t="s">
        <v>355</v>
      </c>
      <c r="CJ46" s="87">
        <v>3059</v>
      </c>
      <c r="CK46" s="92">
        <v>45.799280810722458</v>
      </c>
      <c r="CL46" s="139">
        <v>1308.662</v>
      </c>
      <c r="CM46" s="139">
        <v>308.13797975041206</v>
      </c>
      <c r="CN46" s="139">
        <v>5</v>
      </c>
      <c r="CO46" s="115">
        <v>1</v>
      </c>
      <c r="CP46" s="115">
        <v>4</v>
      </c>
      <c r="CQ46" s="110">
        <v>1</v>
      </c>
      <c r="CR46" s="86">
        <v>5.0507518796992485</v>
      </c>
      <c r="CS46" s="85">
        <v>5785</v>
      </c>
      <c r="CT46" s="85">
        <v>4802</v>
      </c>
      <c r="CU46" s="84">
        <v>120.47</v>
      </c>
      <c r="CV46" s="84">
        <v>138.66</v>
      </c>
      <c r="CW46" s="84">
        <v>2.14</v>
      </c>
      <c r="CX46" s="115" t="s">
        <v>339</v>
      </c>
      <c r="CY46" s="114">
        <v>25000</v>
      </c>
      <c r="CZ46" s="129">
        <v>127000</v>
      </c>
      <c r="DA46" s="129">
        <v>0</v>
      </c>
      <c r="DB46" s="129">
        <v>6000</v>
      </c>
      <c r="DC46" s="129">
        <v>0</v>
      </c>
      <c r="DD46" s="129">
        <v>246000</v>
      </c>
      <c r="DE46" s="87">
        <v>0</v>
      </c>
      <c r="DF46" s="87">
        <v>0</v>
      </c>
      <c r="DG46" s="114">
        <v>0</v>
      </c>
      <c r="DH46" s="162">
        <v>9</v>
      </c>
      <c r="DI46" s="114">
        <v>471.88888888888891</v>
      </c>
      <c r="DJ46" s="114">
        <v>33</v>
      </c>
      <c r="DK46" s="114">
        <v>67</v>
      </c>
      <c r="DL46" s="114">
        <v>11</v>
      </c>
      <c r="DM46" s="114">
        <v>0</v>
      </c>
      <c r="DN46" s="114">
        <v>0</v>
      </c>
      <c r="DO46" s="114">
        <v>44</v>
      </c>
      <c r="DP46" s="114">
        <v>56</v>
      </c>
      <c r="DQ46" s="88">
        <v>179</v>
      </c>
      <c r="DR46" s="147">
        <v>23.726256983240223</v>
      </c>
      <c r="DT46" s="55"/>
      <c r="DU46" s="55"/>
    </row>
    <row r="47" spans="1:125" s="32" customFormat="1" ht="15" customHeight="1" thickBot="1">
      <c r="A47" s="100" t="s">
        <v>87</v>
      </c>
      <c r="B47" s="184">
        <v>2017</v>
      </c>
      <c r="C47" s="109">
        <v>10</v>
      </c>
      <c r="D47" s="83" t="s">
        <v>350</v>
      </c>
      <c r="E47" s="83" t="s">
        <v>406</v>
      </c>
      <c r="F47" s="132">
        <v>5480</v>
      </c>
      <c r="G47" s="85">
        <v>8919</v>
      </c>
      <c r="H47" s="86">
        <v>0.42787974327216372</v>
      </c>
      <c r="I47" s="132">
        <v>1.6275547445255474</v>
      </c>
      <c r="J47" s="85">
        <v>4426</v>
      </c>
      <c r="K47" s="173">
        <v>49.624397353963452</v>
      </c>
      <c r="L47" s="85">
        <v>4493</v>
      </c>
      <c r="M47" s="173">
        <v>50.375602646036555</v>
      </c>
      <c r="N47" s="161">
        <v>23.231303957842808</v>
      </c>
      <c r="O47" s="161">
        <v>43.805359345218079</v>
      </c>
      <c r="P47" s="161">
        <v>32.963336696939116</v>
      </c>
      <c r="Q47" s="161">
        <v>32.032739096311246</v>
      </c>
      <c r="R47" s="159">
        <v>35.003924206749637</v>
      </c>
      <c r="S47" s="160">
        <v>32.963336696939116</v>
      </c>
      <c r="T47" s="84">
        <v>6</v>
      </c>
      <c r="U47" s="84">
        <v>2.1</v>
      </c>
      <c r="V47" s="89">
        <v>18</v>
      </c>
      <c r="W47" s="90">
        <v>10.1</v>
      </c>
      <c r="X47" s="148">
        <v>40925</v>
      </c>
      <c r="Y47" s="89">
        <v>2.2000000000000002</v>
      </c>
      <c r="Z47" s="89" t="s">
        <v>342</v>
      </c>
      <c r="AA47" s="85">
        <v>1087</v>
      </c>
      <c r="AB47" s="110" t="s">
        <v>355</v>
      </c>
      <c r="AC47" s="110" t="s">
        <v>355</v>
      </c>
      <c r="AD47" s="110" t="s">
        <v>355</v>
      </c>
      <c r="AE47" s="110" t="s">
        <v>355</v>
      </c>
      <c r="AF47" s="84">
        <v>7.74</v>
      </c>
      <c r="AG47" s="84">
        <v>4.6500000000000004</v>
      </c>
      <c r="AH47" s="84">
        <v>62.76</v>
      </c>
      <c r="AI47" s="86">
        <v>37.242864029512155</v>
      </c>
      <c r="AJ47" s="84">
        <v>6.63</v>
      </c>
      <c r="AK47" s="84">
        <v>3.64</v>
      </c>
      <c r="AL47" s="84">
        <v>7.7508534136899359</v>
      </c>
      <c r="AM47" s="84">
        <v>9.77</v>
      </c>
      <c r="AN47" s="85">
        <v>28102</v>
      </c>
      <c r="AO47" s="85">
        <v>30461.161809999998</v>
      </c>
      <c r="AP47" s="85">
        <v>2773</v>
      </c>
      <c r="AQ47" s="135">
        <v>738.48202396804265</v>
      </c>
      <c r="AR47" s="85">
        <v>3755</v>
      </c>
      <c r="AS47" s="85">
        <v>2948</v>
      </c>
      <c r="AT47" s="135">
        <v>2848.3091787439612</v>
      </c>
      <c r="AU47" s="85">
        <v>1035</v>
      </c>
      <c r="AV47" s="85">
        <v>682</v>
      </c>
      <c r="AW47" s="135">
        <v>1717.8841309823677</v>
      </c>
      <c r="AX47" s="85">
        <v>397</v>
      </c>
      <c r="AY47" s="135" t="s">
        <v>379</v>
      </c>
      <c r="AZ47" s="135" t="s">
        <v>379</v>
      </c>
      <c r="BA47" s="89">
        <v>1</v>
      </c>
      <c r="BB47" s="87">
        <v>139.59718225831642</v>
      </c>
      <c r="BC47" s="91">
        <v>35.36617842876165</v>
      </c>
      <c r="BD47" s="85">
        <v>9212</v>
      </c>
      <c r="BE47" s="92">
        <v>27.980439206633662</v>
      </c>
      <c r="BF47" s="85">
        <v>3418</v>
      </c>
      <c r="BG47" s="92">
        <v>10.381799957476536</v>
      </c>
      <c r="BH47" s="85">
        <v>1407</v>
      </c>
      <c r="BI47" s="92">
        <v>4.2736081159068124</v>
      </c>
      <c r="BJ47" s="85">
        <v>3793</v>
      </c>
      <c r="BK47" s="92">
        <v>11.520821310330165</v>
      </c>
      <c r="BL47" s="85">
        <v>2014</v>
      </c>
      <c r="BM47" s="92">
        <v>6.1173040123925517</v>
      </c>
      <c r="BN47" s="85">
        <v>5621</v>
      </c>
      <c r="BO47" s="92">
        <v>17.073170731707318</v>
      </c>
      <c r="BP47" s="85">
        <v>7458</v>
      </c>
      <c r="BQ47" s="92">
        <v>22.652856665552957</v>
      </c>
      <c r="BR47" s="165">
        <v>1032.8512165040925</v>
      </c>
      <c r="BS47" s="165">
        <v>157.75311133535149</v>
      </c>
      <c r="BT47" s="111">
        <v>278.39443883843478</v>
      </c>
      <c r="BU47" s="165">
        <v>425.27189146765335</v>
      </c>
      <c r="BV47" s="165">
        <v>168.51664984863774</v>
      </c>
      <c r="BW47" s="165">
        <v>104.83238031169414</v>
      </c>
      <c r="BX47" s="165">
        <v>836.19239825092495</v>
      </c>
      <c r="BY47" s="112">
        <v>57.293418544679895</v>
      </c>
      <c r="BZ47" s="165">
        <v>630.22760399147887</v>
      </c>
      <c r="CA47" s="110" t="s">
        <v>355</v>
      </c>
      <c r="CB47" s="112">
        <v>261.5179760319574</v>
      </c>
      <c r="CC47" s="110" t="s">
        <v>355</v>
      </c>
      <c r="CD47" s="110" t="s">
        <v>355</v>
      </c>
      <c r="CE47" s="110" t="s">
        <v>355</v>
      </c>
      <c r="CF47" s="110" t="s">
        <v>355</v>
      </c>
      <c r="CG47" s="110" t="s">
        <v>355</v>
      </c>
      <c r="CH47" s="110" t="s">
        <v>355</v>
      </c>
      <c r="CI47" s="110" t="s">
        <v>355</v>
      </c>
      <c r="CJ47" s="87">
        <v>7451</v>
      </c>
      <c r="CK47" s="92">
        <v>81.62662729834922</v>
      </c>
      <c r="CL47" s="139">
        <v>1165.8599999999999</v>
      </c>
      <c r="CM47" s="139">
        <v>130.71644803229063</v>
      </c>
      <c r="CN47" s="139">
        <v>133</v>
      </c>
      <c r="CO47" s="115">
        <v>2</v>
      </c>
      <c r="CP47" s="115">
        <v>5</v>
      </c>
      <c r="CQ47" s="110">
        <v>1</v>
      </c>
      <c r="CR47" s="86">
        <v>7.349394890183774</v>
      </c>
      <c r="CS47" s="85">
        <v>3402</v>
      </c>
      <c r="CT47" s="85">
        <v>3402</v>
      </c>
      <c r="CU47" s="84">
        <v>100</v>
      </c>
      <c r="CV47" s="84">
        <v>97.18</v>
      </c>
      <c r="CW47" s="84">
        <v>11.62</v>
      </c>
      <c r="CX47" s="115" t="s">
        <v>339</v>
      </c>
      <c r="CY47" s="114">
        <v>22000</v>
      </c>
      <c r="CZ47" s="129">
        <v>106000</v>
      </c>
      <c r="DA47" s="129">
        <v>0</v>
      </c>
      <c r="DB47" s="129">
        <v>2826</v>
      </c>
      <c r="DC47" s="129">
        <v>1552</v>
      </c>
      <c r="DD47" s="129">
        <v>235768</v>
      </c>
      <c r="DE47" s="87">
        <v>3</v>
      </c>
      <c r="DF47" s="87">
        <v>3700</v>
      </c>
      <c r="DG47" s="114">
        <v>0</v>
      </c>
      <c r="DH47" s="162">
        <v>7</v>
      </c>
      <c r="DI47" s="114">
        <v>1274.1428571428571</v>
      </c>
      <c r="DJ47" s="114">
        <v>29</v>
      </c>
      <c r="DK47" s="114">
        <v>71</v>
      </c>
      <c r="DL47" s="114">
        <v>14</v>
      </c>
      <c r="DM47" s="114">
        <v>0</v>
      </c>
      <c r="DN47" s="114">
        <v>0</v>
      </c>
      <c r="DO47" s="114">
        <v>57.142857142857139</v>
      </c>
      <c r="DP47" s="114">
        <v>43</v>
      </c>
      <c r="DQ47" s="88">
        <v>118</v>
      </c>
      <c r="DR47" s="147">
        <v>75.584745762711862</v>
      </c>
      <c r="DT47" s="55"/>
      <c r="DU47" s="55"/>
    </row>
    <row r="48" spans="1:125" s="32" customFormat="1" ht="15" customHeight="1" thickBot="1">
      <c r="A48" s="100" t="s">
        <v>90</v>
      </c>
      <c r="B48" s="184">
        <v>2017</v>
      </c>
      <c r="C48" s="109">
        <v>4</v>
      </c>
      <c r="D48" s="83" t="s">
        <v>347</v>
      </c>
      <c r="E48" s="83" t="s">
        <v>409</v>
      </c>
      <c r="F48" s="132">
        <v>3220.1</v>
      </c>
      <c r="G48" s="85">
        <v>30556</v>
      </c>
      <c r="H48" s="86">
        <v>6.3890533059433929</v>
      </c>
      <c r="I48" s="132">
        <v>9.4891462998043536</v>
      </c>
      <c r="J48" s="85">
        <v>15600</v>
      </c>
      <c r="K48" s="173">
        <v>51.053802853776673</v>
      </c>
      <c r="L48" s="85">
        <v>14956</v>
      </c>
      <c r="M48" s="173">
        <v>48.946197146223334</v>
      </c>
      <c r="N48" s="161">
        <v>24.22437491818301</v>
      </c>
      <c r="O48" s="161">
        <v>50.490901950517085</v>
      </c>
      <c r="P48" s="161">
        <v>25.284723131299909</v>
      </c>
      <c r="Q48" s="161">
        <v>36.611467469564083</v>
      </c>
      <c r="R48" s="159">
        <v>38.103809399136011</v>
      </c>
      <c r="S48" s="160">
        <v>25.284723131299909</v>
      </c>
      <c r="T48" s="84">
        <v>4</v>
      </c>
      <c r="U48" s="84">
        <v>4.7</v>
      </c>
      <c r="V48" s="89">
        <v>52</v>
      </c>
      <c r="W48" s="90">
        <v>6.1</v>
      </c>
      <c r="X48" s="148">
        <v>53517</v>
      </c>
      <c r="Y48" s="89">
        <v>2.4</v>
      </c>
      <c r="Z48" s="89" t="s">
        <v>340</v>
      </c>
      <c r="AA48" s="85">
        <v>2264</v>
      </c>
      <c r="AB48" s="110" t="s">
        <v>355</v>
      </c>
      <c r="AC48" s="110" t="s">
        <v>355</v>
      </c>
      <c r="AD48" s="110" t="s">
        <v>355</v>
      </c>
      <c r="AE48" s="110" t="s">
        <v>355</v>
      </c>
      <c r="AF48" s="84">
        <v>9.35</v>
      </c>
      <c r="AG48" s="84">
        <v>3.49</v>
      </c>
      <c r="AH48" s="84">
        <v>53.37</v>
      </c>
      <c r="AI48" s="86">
        <v>46.620794446266501</v>
      </c>
      <c r="AJ48" s="84">
        <v>3.02</v>
      </c>
      <c r="AK48" s="84">
        <v>2.0699999999999998</v>
      </c>
      <c r="AL48" s="84">
        <v>18.870697878062892</v>
      </c>
      <c r="AM48" s="84">
        <v>17.850000000000001</v>
      </c>
      <c r="AN48" s="85">
        <v>57909</v>
      </c>
      <c r="AO48" s="85">
        <v>63961</v>
      </c>
      <c r="AP48" s="85">
        <v>11937</v>
      </c>
      <c r="AQ48" s="135">
        <v>910.24858929388438</v>
      </c>
      <c r="AR48" s="85">
        <v>13114</v>
      </c>
      <c r="AS48" s="85">
        <v>2424</v>
      </c>
      <c r="AT48" s="135">
        <v>1671.7241379310344</v>
      </c>
      <c r="AU48" s="85">
        <v>1450</v>
      </c>
      <c r="AV48" s="85">
        <v>4418</v>
      </c>
      <c r="AW48" s="135">
        <v>5095.7324106113037</v>
      </c>
      <c r="AX48" s="85">
        <v>867</v>
      </c>
      <c r="AY48" s="135" t="s">
        <v>379</v>
      </c>
      <c r="AZ48" s="135" t="s">
        <v>379</v>
      </c>
      <c r="BA48" s="89">
        <v>0</v>
      </c>
      <c r="BB48" s="87">
        <v>141.15522232280739</v>
      </c>
      <c r="BC48" s="91">
        <v>17.324996187280771</v>
      </c>
      <c r="BD48" s="85">
        <v>11135</v>
      </c>
      <c r="BE48" s="92">
        <v>18.467840912860318</v>
      </c>
      <c r="BF48" s="85">
        <v>16118</v>
      </c>
      <c r="BG48" s="92">
        <v>26.732344843599691</v>
      </c>
      <c r="BH48" s="85">
        <v>5820</v>
      </c>
      <c r="BI48" s="92">
        <v>9.6527017613692916</v>
      </c>
      <c r="BJ48" s="85">
        <v>2419</v>
      </c>
      <c r="BK48" s="92">
        <v>4.0120078283079579</v>
      </c>
      <c r="BL48" s="85">
        <v>7550</v>
      </c>
      <c r="BM48" s="92">
        <v>12.521975652635419</v>
      </c>
      <c r="BN48" s="85">
        <v>13108</v>
      </c>
      <c r="BO48" s="92">
        <v>21.74013998076094</v>
      </c>
      <c r="BP48" s="85">
        <v>4144</v>
      </c>
      <c r="BQ48" s="92">
        <v>6.8729890204663819</v>
      </c>
      <c r="BR48" s="165">
        <v>364.41288126718155</v>
      </c>
      <c r="BS48" s="165">
        <v>190.46995680062835</v>
      </c>
      <c r="BT48" s="111">
        <v>462.56054457389712</v>
      </c>
      <c r="BU48" s="165">
        <v>79.166121220054976</v>
      </c>
      <c r="BV48" s="165">
        <v>203.85521665139416</v>
      </c>
      <c r="BW48" s="165">
        <v>64.929964655059564</v>
      </c>
      <c r="BX48" s="165">
        <v>135.61984552951958</v>
      </c>
      <c r="BY48" s="112">
        <v>43.232098442204475</v>
      </c>
      <c r="BZ48" s="165">
        <v>428.9828511585286</v>
      </c>
      <c r="CA48" s="110" t="s">
        <v>355</v>
      </c>
      <c r="CB48" s="112">
        <v>229.60195211224647</v>
      </c>
      <c r="CC48" s="110" t="s">
        <v>355</v>
      </c>
      <c r="CD48" s="110" t="s">
        <v>355</v>
      </c>
      <c r="CE48" s="110" t="s">
        <v>355</v>
      </c>
      <c r="CF48" s="110" t="s">
        <v>355</v>
      </c>
      <c r="CG48" s="110" t="s">
        <v>355</v>
      </c>
      <c r="CH48" s="110" t="s">
        <v>355</v>
      </c>
      <c r="CI48" s="110" t="s">
        <v>355</v>
      </c>
      <c r="CJ48" s="87">
        <v>19927</v>
      </c>
      <c r="CK48" s="92">
        <v>45.621518542680782</v>
      </c>
      <c r="CL48" s="139">
        <v>1166.98</v>
      </c>
      <c r="CM48" s="139">
        <v>38.191517214295068</v>
      </c>
      <c r="CN48" s="139">
        <v>1232</v>
      </c>
      <c r="CO48" s="115">
        <v>0</v>
      </c>
      <c r="CP48" s="115">
        <v>5</v>
      </c>
      <c r="CQ48" s="110">
        <v>1</v>
      </c>
      <c r="CR48" s="86">
        <v>9.7078980222090809</v>
      </c>
      <c r="CS48" s="85">
        <v>12389</v>
      </c>
      <c r="CT48" s="85">
        <v>12842</v>
      </c>
      <c r="CU48" s="84">
        <v>96.47</v>
      </c>
      <c r="CV48" s="84">
        <v>60.21</v>
      </c>
      <c r="CW48" s="84">
        <v>2.62</v>
      </c>
      <c r="CX48" s="115" t="s">
        <v>339</v>
      </c>
      <c r="CY48" s="114">
        <v>19000</v>
      </c>
      <c r="CZ48" s="129">
        <v>216000</v>
      </c>
      <c r="DA48" s="129">
        <v>0</v>
      </c>
      <c r="DB48" s="129">
        <v>6000</v>
      </c>
      <c r="DC48" s="129">
        <v>13000</v>
      </c>
      <c r="DD48" s="129">
        <v>337070</v>
      </c>
      <c r="DE48" s="87">
        <v>1</v>
      </c>
      <c r="DF48" s="87">
        <v>0</v>
      </c>
      <c r="DG48" s="114">
        <v>0</v>
      </c>
      <c r="DH48" s="162">
        <v>9</v>
      </c>
      <c r="DI48" s="114">
        <v>3395.1111111111113</v>
      </c>
      <c r="DJ48" s="114">
        <v>33</v>
      </c>
      <c r="DK48" s="114">
        <v>67</v>
      </c>
      <c r="DL48" s="114">
        <v>11.111111111111111</v>
      </c>
      <c r="DM48" s="114">
        <v>0</v>
      </c>
      <c r="DN48" s="114">
        <v>22.222222222222221</v>
      </c>
      <c r="DO48" s="114">
        <v>33.333333333333329</v>
      </c>
      <c r="DP48" s="114">
        <v>44</v>
      </c>
      <c r="DQ48" s="88">
        <v>267</v>
      </c>
      <c r="DR48" s="147">
        <v>114.44194756554307</v>
      </c>
      <c r="DT48" s="55"/>
      <c r="DU48" s="55"/>
    </row>
    <row r="49" spans="1:125" s="32" customFormat="1" ht="15" customHeight="1" thickBot="1">
      <c r="A49" s="100" t="s">
        <v>269</v>
      </c>
      <c r="B49" s="184">
        <v>2017</v>
      </c>
      <c r="C49" s="109">
        <v>11</v>
      </c>
      <c r="D49" s="83" t="s">
        <v>350</v>
      </c>
      <c r="E49" s="83" t="s">
        <v>411</v>
      </c>
      <c r="F49" s="132">
        <v>5749.5</v>
      </c>
      <c r="G49" s="85">
        <v>10602</v>
      </c>
      <c r="H49" s="86">
        <v>4.587155963302747</v>
      </c>
      <c r="I49" s="132">
        <v>1.8439864336029219</v>
      </c>
      <c r="J49" s="85">
        <v>5390</v>
      </c>
      <c r="K49" s="173">
        <v>50.839464252027923</v>
      </c>
      <c r="L49" s="85">
        <v>5212</v>
      </c>
      <c r="M49" s="173">
        <v>49.160535747972077</v>
      </c>
      <c r="N49" s="161">
        <v>28.975664968873797</v>
      </c>
      <c r="O49" s="161">
        <v>44.576495000943218</v>
      </c>
      <c r="P49" s="161">
        <v>26.447840030182984</v>
      </c>
      <c r="Q49" s="161">
        <v>36.436521411054521</v>
      </c>
      <c r="R49" s="159">
        <v>37.115638558762498</v>
      </c>
      <c r="S49" s="160">
        <v>26.447840030182984</v>
      </c>
      <c r="T49" s="84">
        <v>3.3</v>
      </c>
      <c r="U49" s="84">
        <v>2</v>
      </c>
      <c r="V49" s="89">
        <v>79</v>
      </c>
      <c r="W49" s="90">
        <v>4.5999999999999996</v>
      </c>
      <c r="X49" s="148">
        <v>45672</v>
      </c>
      <c r="Y49" s="89">
        <v>2.5</v>
      </c>
      <c r="Z49" s="89" t="s">
        <v>342</v>
      </c>
      <c r="AA49" s="85">
        <v>1358</v>
      </c>
      <c r="AB49" s="110" t="s">
        <v>355</v>
      </c>
      <c r="AC49" s="110" t="s">
        <v>355</v>
      </c>
      <c r="AD49" s="110" t="s">
        <v>355</v>
      </c>
      <c r="AE49" s="110" t="s">
        <v>355</v>
      </c>
      <c r="AF49" s="84">
        <v>8.08</v>
      </c>
      <c r="AG49" s="84">
        <v>4.96</v>
      </c>
      <c r="AH49" s="84">
        <v>47.71</v>
      </c>
      <c r="AI49" s="86">
        <v>52.286180802883663</v>
      </c>
      <c r="AJ49" s="84">
        <v>6.09</v>
      </c>
      <c r="AK49" s="84">
        <v>12.39</v>
      </c>
      <c r="AL49" s="84">
        <v>2.7016482980591046</v>
      </c>
      <c r="AM49" s="84">
        <v>11.32</v>
      </c>
      <c r="AN49" s="85">
        <v>28274</v>
      </c>
      <c r="AO49" s="85">
        <v>30759</v>
      </c>
      <c r="AP49" s="85">
        <v>2777</v>
      </c>
      <c r="AQ49" s="135">
        <v>749.93248717256279</v>
      </c>
      <c r="AR49" s="85">
        <v>3703</v>
      </c>
      <c r="AS49" s="85">
        <v>4902</v>
      </c>
      <c r="AT49" s="135">
        <v>2129.4526498696787</v>
      </c>
      <c r="AU49" s="85">
        <v>2302</v>
      </c>
      <c r="AV49" s="85">
        <v>235</v>
      </c>
      <c r="AW49" s="135">
        <v>462.59842519685037</v>
      </c>
      <c r="AX49" s="85">
        <v>508</v>
      </c>
      <c r="AY49" s="135" t="s">
        <v>379</v>
      </c>
      <c r="AZ49" s="135" t="s">
        <v>379</v>
      </c>
      <c r="BA49" s="89">
        <v>0</v>
      </c>
      <c r="BB49" s="87">
        <v>219.79106520090977</v>
      </c>
      <c r="BC49" s="91">
        <v>25.249797461517687</v>
      </c>
      <c r="BD49" s="85">
        <v>3783</v>
      </c>
      <c r="BE49" s="92">
        <v>12.765742053047175</v>
      </c>
      <c r="BF49" s="85">
        <v>5638</v>
      </c>
      <c r="BG49" s="92">
        <v>19.025443747047312</v>
      </c>
      <c r="BH49" s="85">
        <v>1869</v>
      </c>
      <c r="BI49" s="92">
        <v>6.3069447256529658</v>
      </c>
      <c r="BJ49" s="85">
        <v>1673</v>
      </c>
      <c r="BK49" s="92">
        <v>5.645542282513329</v>
      </c>
      <c r="BL49" s="85">
        <v>3471</v>
      </c>
      <c r="BM49" s="92">
        <v>11.712897347641222</v>
      </c>
      <c r="BN49" s="85">
        <v>8407</v>
      </c>
      <c r="BO49" s="92">
        <v>28.369440507525141</v>
      </c>
      <c r="BP49" s="85">
        <v>4793</v>
      </c>
      <c r="BQ49" s="92">
        <v>16.173989336572856</v>
      </c>
      <c r="BR49" s="165">
        <v>356.81946802490097</v>
      </c>
      <c r="BS49" s="165">
        <v>176.28749292586303</v>
      </c>
      <c r="BT49" s="111">
        <v>324.46708168270141</v>
      </c>
      <c r="BU49" s="165">
        <v>157.80041501603472</v>
      </c>
      <c r="BV49" s="165">
        <v>269.10016977928694</v>
      </c>
      <c r="BW49" s="165">
        <v>207.31937370307489</v>
      </c>
      <c r="BX49" s="165">
        <v>452.08451235615922</v>
      </c>
      <c r="BY49" s="112">
        <v>58.290888511601587</v>
      </c>
      <c r="BZ49" s="165">
        <v>792.96359177513682</v>
      </c>
      <c r="CA49" s="110" t="s">
        <v>355</v>
      </c>
      <c r="CB49" s="112">
        <v>187.68566027545234</v>
      </c>
      <c r="CC49" s="110" t="s">
        <v>355</v>
      </c>
      <c r="CD49" s="110" t="s">
        <v>355</v>
      </c>
      <c r="CE49" s="110" t="s">
        <v>355</v>
      </c>
      <c r="CF49" s="110" t="s">
        <v>355</v>
      </c>
      <c r="CG49" s="110" t="s">
        <v>355</v>
      </c>
      <c r="CH49" s="110" t="s">
        <v>355</v>
      </c>
      <c r="CI49" s="110" t="s">
        <v>355</v>
      </c>
      <c r="CJ49" s="87">
        <v>8253</v>
      </c>
      <c r="CK49" s="92">
        <v>59.481400702774742</v>
      </c>
      <c r="CL49" s="139">
        <v>2077.15</v>
      </c>
      <c r="CM49" s="139">
        <v>195.9205810224486</v>
      </c>
      <c r="CN49" s="139">
        <v>117.5</v>
      </c>
      <c r="CO49" s="115">
        <v>5</v>
      </c>
      <c r="CP49" s="115">
        <v>15</v>
      </c>
      <c r="CQ49" s="110">
        <v>3</v>
      </c>
      <c r="CR49" s="86">
        <v>3.6153991497401985</v>
      </c>
      <c r="CS49" s="85">
        <v>4228</v>
      </c>
      <c r="CT49" s="85">
        <v>4246</v>
      </c>
      <c r="CU49" s="84">
        <v>99.58</v>
      </c>
      <c r="CV49" s="84">
        <v>121.07</v>
      </c>
      <c r="CW49" s="84">
        <v>7.0000000000000007E-2</v>
      </c>
      <c r="CX49" s="115" t="s">
        <v>339</v>
      </c>
      <c r="CY49" s="114">
        <v>33000</v>
      </c>
      <c r="CZ49" s="129">
        <v>108000</v>
      </c>
      <c r="DA49" s="129">
        <v>0</v>
      </c>
      <c r="DB49" s="129">
        <v>11166</v>
      </c>
      <c r="DC49" s="129">
        <v>0</v>
      </c>
      <c r="DD49" s="129">
        <v>208000</v>
      </c>
      <c r="DE49" s="87">
        <v>1</v>
      </c>
      <c r="DF49" s="87">
        <v>0</v>
      </c>
      <c r="DG49" s="114">
        <v>0</v>
      </c>
      <c r="DH49" s="162">
        <v>9</v>
      </c>
      <c r="DI49" s="114">
        <v>1178</v>
      </c>
      <c r="DJ49" s="114">
        <v>44</v>
      </c>
      <c r="DK49" s="114">
        <v>56</v>
      </c>
      <c r="DL49" s="114">
        <v>0</v>
      </c>
      <c r="DM49" s="114">
        <v>0</v>
      </c>
      <c r="DN49" s="114">
        <v>0</v>
      </c>
      <c r="DO49" s="114">
        <v>22</v>
      </c>
      <c r="DP49" s="114">
        <v>78</v>
      </c>
      <c r="DQ49" s="88">
        <v>106</v>
      </c>
      <c r="DR49" s="147">
        <v>100.01886792452831</v>
      </c>
      <c r="DT49" s="55"/>
      <c r="DU49" s="55"/>
    </row>
    <row r="50" spans="1:125" s="32" customFormat="1" ht="15" customHeight="1" thickBot="1">
      <c r="A50" s="100" t="s">
        <v>270</v>
      </c>
      <c r="B50" s="184">
        <v>2017</v>
      </c>
      <c r="C50" s="109">
        <v>4</v>
      </c>
      <c r="D50" s="83" t="s">
        <v>347</v>
      </c>
      <c r="E50" s="83" t="s">
        <v>405</v>
      </c>
      <c r="F50" s="132">
        <v>1639.2</v>
      </c>
      <c r="G50" s="85">
        <v>26586</v>
      </c>
      <c r="H50" s="86">
        <v>4.3038173329671636</v>
      </c>
      <c r="I50" s="132">
        <v>16.218887262079061</v>
      </c>
      <c r="J50" s="85">
        <v>13317</v>
      </c>
      <c r="K50" s="173">
        <v>50.09027307605507</v>
      </c>
      <c r="L50" s="85">
        <v>13269</v>
      </c>
      <c r="M50" s="173">
        <v>49.909726923944937</v>
      </c>
      <c r="N50" s="161">
        <v>27.337696532009325</v>
      </c>
      <c r="O50" s="161">
        <v>51.466937485894839</v>
      </c>
      <c r="P50" s="161">
        <v>21.19536598209584</v>
      </c>
      <c r="Q50" s="161">
        <v>41.266079891672305</v>
      </c>
      <c r="R50" s="159">
        <v>37.538554126231851</v>
      </c>
      <c r="S50" s="160">
        <v>21.19536598209584</v>
      </c>
      <c r="T50" s="84">
        <v>4.8</v>
      </c>
      <c r="U50" s="84">
        <v>20.9</v>
      </c>
      <c r="V50" s="89">
        <v>48</v>
      </c>
      <c r="W50" s="90">
        <v>4.8</v>
      </c>
      <c r="X50" s="148">
        <v>45357</v>
      </c>
      <c r="Y50" s="89">
        <v>2.7</v>
      </c>
      <c r="Z50" s="89" t="s">
        <v>343</v>
      </c>
      <c r="AA50" s="85">
        <v>3184</v>
      </c>
      <c r="AB50" s="110" t="s">
        <v>355</v>
      </c>
      <c r="AC50" s="110" t="s">
        <v>355</v>
      </c>
      <c r="AD50" s="110" t="s">
        <v>355</v>
      </c>
      <c r="AE50" s="110" t="s">
        <v>355</v>
      </c>
      <c r="AF50" s="84">
        <v>10.65</v>
      </c>
      <c r="AG50" s="84">
        <v>2.86</v>
      </c>
      <c r="AH50" s="84">
        <v>79.77</v>
      </c>
      <c r="AI50" s="86">
        <v>20.225700201603996</v>
      </c>
      <c r="AJ50" s="84">
        <v>7.54</v>
      </c>
      <c r="AK50" s="84">
        <v>8.1999999999999993</v>
      </c>
      <c r="AL50" s="84">
        <v>4.0253744727490117</v>
      </c>
      <c r="AM50" s="84">
        <v>8.5500000000000007</v>
      </c>
      <c r="AN50" s="85">
        <v>53804</v>
      </c>
      <c r="AO50" s="85">
        <v>60218</v>
      </c>
      <c r="AP50" s="85">
        <v>7953</v>
      </c>
      <c r="AQ50" s="135">
        <v>940.73811213626686</v>
      </c>
      <c r="AR50" s="85">
        <v>8454</v>
      </c>
      <c r="AS50" s="85">
        <v>5096</v>
      </c>
      <c r="AT50" s="135">
        <v>3558.6592178770948</v>
      </c>
      <c r="AU50" s="85">
        <v>1432</v>
      </c>
      <c r="AV50" s="85">
        <v>2670</v>
      </c>
      <c r="AW50" s="135">
        <v>2572.2543352601156</v>
      </c>
      <c r="AX50" s="85">
        <v>1038</v>
      </c>
      <c r="AY50" s="135" t="s">
        <v>379</v>
      </c>
      <c r="AZ50" s="135" t="s">
        <v>379</v>
      </c>
      <c r="BA50" s="89">
        <v>0</v>
      </c>
      <c r="BB50" s="87">
        <v>98.855246962274947</v>
      </c>
      <c r="BC50" s="91">
        <v>17.033356990773598</v>
      </c>
      <c r="BD50" s="85">
        <v>8498</v>
      </c>
      <c r="BE50" s="92">
        <v>15.794364731246747</v>
      </c>
      <c r="BF50" s="85">
        <v>14721</v>
      </c>
      <c r="BG50" s="92">
        <v>27.360419299680323</v>
      </c>
      <c r="BH50" s="85">
        <v>5155</v>
      </c>
      <c r="BI50" s="92">
        <v>9.581072039253586</v>
      </c>
      <c r="BJ50" s="85">
        <v>4570</v>
      </c>
      <c r="BK50" s="92">
        <v>8.4937922831016284</v>
      </c>
      <c r="BL50" s="85">
        <v>9290</v>
      </c>
      <c r="BM50" s="92">
        <v>17.266374247267859</v>
      </c>
      <c r="BN50" s="85">
        <v>7649</v>
      </c>
      <c r="BO50" s="92">
        <v>14.216415136421084</v>
      </c>
      <c r="BP50" s="85">
        <v>3921</v>
      </c>
      <c r="BQ50" s="92">
        <v>7.2875622630287715</v>
      </c>
      <c r="BR50" s="165">
        <v>319.64191679831492</v>
      </c>
      <c r="BS50" s="165">
        <v>193.89904460994509</v>
      </c>
      <c r="BT50" s="111">
        <v>494.92213947190248</v>
      </c>
      <c r="BU50" s="165">
        <v>171.8949823215226</v>
      </c>
      <c r="BV50" s="165">
        <v>313.54848416459788</v>
      </c>
      <c r="BW50" s="165">
        <v>58.79034078086211</v>
      </c>
      <c r="BX50" s="165">
        <v>147.48363800496503</v>
      </c>
      <c r="BY50" s="112">
        <v>35.883547731888967</v>
      </c>
      <c r="BZ50" s="165">
        <v>287.70781614383509</v>
      </c>
      <c r="CA50" s="110" t="s">
        <v>355</v>
      </c>
      <c r="CB50" s="112">
        <v>301.63236337828249</v>
      </c>
      <c r="CC50" s="110" t="s">
        <v>355</v>
      </c>
      <c r="CD50" s="110" t="s">
        <v>355</v>
      </c>
      <c r="CE50" s="110" t="s">
        <v>355</v>
      </c>
      <c r="CF50" s="110" t="s">
        <v>355</v>
      </c>
      <c r="CG50" s="110" t="s">
        <v>355</v>
      </c>
      <c r="CH50" s="110" t="s">
        <v>355</v>
      </c>
      <c r="CI50" s="110" t="s">
        <v>355</v>
      </c>
      <c r="CJ50" s="87">
        <v>10329</v>
      </c>
      <c r="CK50" s="92">
        <v>65.78565204763288</v>
      </c>
      <c r="CL50" s="139">
        <v>1289.74</v>
      </c>
      <c r="CM50" s="139">
        <v>48.511998796358988</v>
      </c>
      <c r="CN50" s="139">
        <v>435.87</v>
      </c>
      <c r="CO50" s="115">
        <v>1</v>
      </c>
      <c r="CP50" s="115">
        <v>6</v>
      </c>
      <c r="CQ50" s="110">
        <v>1</v>
      </c>
      <c r="CR50" s="86">
        <v>6.108300810567397</v>
      </c>
      <c r="CS50" s="85">
        <v>7058</v>
      </c>
      <c r="CT50" s="85">
        <v>7058</v>
      </c>
      <c r="CU50" s="84">
        <v>100</v>
      </c>
      <c r="CV50" s="84">
        <v>49.33</v>
      </c>
      <c r="CW50" s="84">
        <v>1.71</v>
      </c>
      <c r="CX50" s="115" t="s">
        <v>339</v>
      </c>
      <c r="CY50" s="114">
        <v>119000</v>
      </c>
      <c r="CZ50" s="129">
        <v>271000</v>
      </c>
      <c r="DA50" s="129">
        <v>0</v>
      </c>
      <c r="DB50" s="129">
        <v>6000</v>
      </c>
      <c r="DC50" s="129">
        <v>6000</v>
      </c>
      <c r="DD50" s="129">
        <v>284709</v>
      </c>
      <c r="DE50" s="87">
        <v>13</v>
      </c>
      <c r="DF50" s="87">
        <v>98350</v>
      </c>
      <c r="DG50" s="114">
        <v>0</v>
      </c>
      <c r="DH50" s="162">
        <v>12</v>
      </c>
      <c r="DI50" s="114">
        <v>2215.5</v>
      </c>
      <c r="DJ50" s="114">
        <v>33.333333333333329</v>
      </c>
      <c r="DK50" s="114">
        <v>66.666666666666657</v>
      </c>
      <c r="DL50" s="114">
        <v>0</v>
      </c>
      <c r="DM50" s="114">
        <v>25</v>
      </c>
      <c r="DN50" s="114">
        <v>0</v>
      </c>
      <c r="DO50" s="114">
        <v>58.333333333333336</v>
      </c>
      <c r="DP50" s="114">
        <v>41.666666666666671</v>
      </c>
      <c r="DQ50" s="88">
        <v>279</v>
      </c>
      <c r="DR50" s="147">
        <v>95.290322580645167</v>
      </c>
      <c r="DT50" s="55"/>
      <c r="DU50" s="55"/>
    </row>
    <row r="51" spans="1:125" s="32" customFormat="1" ht="15" customHeight="1" thickBot="1">
      <c r="A51" s="100" t="s">
        <v>271</v>
      </c>
      <c r="B51" s="184">
        <v>2017</v>
      </c>
      <c r="C51" s="109">
        <v>11</v>
      </c>
      <c r="D51" s="83" t="s">
        <v>350</v>
      </c>
      <c r="E51" s="83" t="s">
        <v>414</v>
      </c>
      <c r="F51" s="132">
        <v>4987</v>
      </c>
      <c r="G51" s="85">
        <v>12579</v>
      </c>
      <c r="H51" s="86">
        <v>-0.15081759009366591</v>
      </c>
      <c r="I51" s="132">
        <v>2.5223581311409666</v>
      </c>
      <c r="J51" s="85">
        <v>6308</v>
      </c>
      <c r="K51" s="173">
        <v>50.147070514349309</v>
      </c>
      <c r="L51" s="85">
        <v>6271</v>
      </c>
      <c r="M51" s="173">
        <v>49.852929485650691</v>
      </c>
      <c r="N51" s="161">
        <v>27.021225852611497</v>
      </c>
      <c r="O51" s="161">
        <v>48.970506399554814</v>
      </c>
      <c r="P51" s="161">
        <v>24.008267747833692</v>
      </c>
      <c r="Q51" s="161">
        <v>39.589792511328405</v>
      </c>
      <c r="R51" s="159">
        <v>36.401939740837904</v>
      </c>
      <c r="S51" s="160">
        <v>24.008267747833692</v>
      </c>
      <c r="T51" s="84">
        <v>12.8</v>
      </c>
      <c r="U51" s="84">
        <v>2.2000000000000002</v>
      </c>
      <c r="V51" s="89">
        <v>46</v>
      </c>
      <c r="W51" s="90">
        <v>6.6</v>
      </c>
      <c r="X51" s="148">
        <v>55618</v>
      </c>
      <c r="Y51" s="89">
        <v>2.5</v>
      </c>
      <c r="Z51" s="89" t="s">
        <v>342</v>
      </c>
      <c r="AA51" s="85">
        <v>1548</v>
      </c>
      <c r="AB51" s="110" t="s">
        <v>355</v>
      </c>
      <c r="AC51" s="110" t="s">
        <v>355</v>
      </c>
      <c r="AD51" s="110" t="s">
        <v>355</v>
      </c>
      <c r="AE51" s="110" t="s">
        <v>355</v>
      </c>
      <c r="AF51" s="84">
        <v>15.01</v>
      </c>
      <c r="AG51" s="84">
        <v>5.15</v>
      </c>
      <c r="AH51" s="84">
        <v>60.94</v>
      </c>
      <c r="AI51" s="86">
        <v>39.06386155896007</v>
      </c>
      <c r="AJ51" s="84">
        <v>3.84</v>
      </c>
      <c r="AK51" s="84">
        <v>12.67</v>
      </c>
      <c r="AL51" s="84">
        <v>2.7061944860998959</v>
      </c>
      <c r="AM51" s="84">
        <v>23.44</v>
      </c>
      <c r="AN51" s="85">
        <v>36839</v>
      </c>
      <c r="AO51" s="85">
        <v>43345</v>
      </c>
      <c r="AP51" s="85">
        <v>3974</v>
      </c>
      <c r="AQ51" s="135">
        <v>849.87168520102648</v>
      </c>
      <c r="AR51" s="85">
        <v>4676</v>
      </c>
      <c r="AS51" s="85">
        <v>4934</v>
      </c>
      <c r="AT51" s="135">
        <v>4417.1888988361679</v>
      </c>
      <c r="AU51" s="85">
        <v>1117</v>
      </c>
      <c r="AV51" s="85">
        <v>2199</v>
      </c>
      <c r="AW51" s="135">
        <v>4543.3884297520663</v>
      </c>
      <c r="AX51" s="85">
        <v>484</v>
      </c>
      <c r="AY51" s="85">
        <v>1198</v>
      </c>
      <c r="AZ51" s="135">
        <v>239600</v>
      </c>
      <c r="BA51" s="89">
        <v>5</v>
      </c>
      <c r="BB51" s="87">
        <v>134.07344819179195</v>
      </c>
      <c r="BC51" s="91">
        <v>19.439692044482467</v>
      </c>
      <c r="BD51" s="85">
        <v>2142</v>
      </c>
      <c r="BE51" s="92">
        <v>5.1539942252165547</v>
      </c>
      <c r="BF51" s="85">
        <v>8163</v>
      </c>
      <c r="BG51" s="92">
        <v>19.641482194417708</v>
      </c>
      <c r="BH51" s="85">
        <v>4178</v>
      </c>
      <c r="BI51" s="92">
        <v>10.05293551491819</v>
      </c>
      <c r="BJ51" s="85">
        <v>4649</v>
      </c>
      <c r="BK51" s="92">
        <v>11.18623676612127</v>
      </c>
      <c r="BL51" s="85">
        <v>6283</v>
      </c>
      <c r="BM51" s="92">
        <v>15.117901828681424</v>
      </c>
      <c r="BN51" s="85">
        <v>13583</v>
      </c>
      <c r="BO51" s="92">
        <v>32.682868142444661</v>
      </c>
      <c r="BP51" s="85">
        <v>2562</v>
      </c>
      <c r="BQ51" s="92">
        <v>6.1645813282001924</v>
      </c>
      <c r="BR51" s="165">
        <v>170.28380634390652</v>
      </c>
      <c r="BS51" s="165">
        <v>332.14086970347404</v>
      </c>
      <c r="BT51" s="111">
        <v>597.98076158677156</v>
      </c>
      <c r="BU51" s="165">
        <v>369.58422768105572</v>
      </c>
      <c r="BV51" s="165">
        <v>461.48342475554495</v>
      </c>
      <c r="BW51" s="165">
        <v>50.957945782653631</v>
      </c>
      <c r="BX51" s="165">
        <v>203.67278797996661</v>
      </c>
      <c r="BY51" s="112">
        <v>37.999841004849351</v>
      </c>
      <c r="BZ51" s="165">
        <v>1079.8155656252484</v>
      </c>
      <c r="CA51" s="110" t="s">
        <v>355</v>
      </c>
      <c r="CB51" s="112">
        <v>486.74</v>
      </c>
      <c r="CC51" s="110" t="s">
        <v>355</v>
      </c>
      <c r="CD51" s="110" t="s">
        <v>355</v>
      </c>
      <c r="CE51" s="110" t="s">
        <v>355</v>
      </c>
      <c r="CF51" s="110" t="s">
        <v>355</v>
      </c>
      <c r="CG51" s="110" t="s">
        <v>355</v>
      </c>
      <c r="CH51" s="110" t="s">
        <v>355</v>
      </c>
      <c r="CI51" s="110" t="s">
        <v>355</v>
      </c>
      <c r="CJ51" s="87">
        <v>10638</v>
      </c>
      <c r="CK51" s="92">
        <v>42.780597856739988</v>
      </c>
      <c r="CL51" s="139">
        <v>1469.6499999999999</v>
      </c>
      <c r="CM51" s="139">
        <v>116.83361157484696</v>
      </c>
      <c r="CN51" s="139">
        <v>517.94000000000005</v>
      </c>
      <c r="CO51" s="115">
        <v>1</v>
      </c>
      <c r="CP51" s="115">
        <v>15</v>
      </c>
      <c r="CQ51" s="110">
        <v>1</v>
      </c>
      <c r="CR51" s="86">
        <v>2.0992239467849223</v>
      </c>
      <c r="CS51" s="85">
        <v>6694</v>
      </c>
      <c r="CT51" s="85">
        <v>5979</v>
      </c>
      <c r="CU51" s="84">
        <v>111.96</v>
      </c>
      <c r="CV51" s="84">
        <v>187.91</v>
      </c>
      <c r="CW51" s="84">
        <v>1.71</v>
      </c>
      <c r="CX51" s="115" t="s">
        <v>339</v>
      </c>
      <c r="CY51" s="114">
        <v>67000</v>
      </c>
      <c r="CZ51" s="129">
        <v>128000</v>
      </c>
      <c r="DA51" s="129">
        <v>8000</v>
      </c>
      <c r="DB51" s="129">
        <v>17000</v>
      </c>
      <c r="DC51" s="129">
        <v>1000</v>
      </c>
      <c r="DD51" s="129">
        <v>251918</v>
      </c>
      <c r="DE51" s="87">
        <v>0</v>
      </c>
      <c r="DF51" s="87">
        <v>2970</v>
      </c>
      <c r="DG51" s="114">
        <v>1</v>
      </c>
      <c r="DH51" s="162">
        <v>9</v>
      </c>
      <c r="DI51" s="114">
        <v>1397.6666666666667</v>
      </c>
      <c r="DJ51" s="114">
        <v>33</v>
      </c>
      <c r="DK51" s="114">
        <v>67</v>
      </c>
      <c r="DL51" s="114">
        <v>0</v>
      </c>
      <c r="DM51" s="114">
        <v>0</v>
      </c>
      <c r="DN51" s="114">
        <v>11</v>
      </c>
      <c r="DO51" s="114">
        <v>22</v>
      </c>
      <c r="DP51" s="114">
        <v>67</v>
      </c>
      <c r="DQ51" s="88">
        <v>175</v>
      </c>
      <c r="DR51" s="147">
        <v>71.88</v>
      </c>
      <c r="DT51" s="55"/>
      <c r="DU51" s="55"/>
    </row>
    <row r="52" spans="1:125" s="32" customFormat="1" ht="15" customHeight="1" thickBot="1">
      <c r="A52" s="100" t="s">
        <v>272</v>
      </c>
      <c r="B52" s="184">
        <v>2017</v>
      </c>
      <c r="C52" s="109">
        <v>10</v>
      </c>
      <c r="D52" s="83" t="s">
        <v>350</v>
      </c>
      <c r="E52" s="83" t="s">
        <v>414</v>
      </c>
      <c r="F52" s="132">
        <v>9259.7000000000007</v>
      </c>
      <c r="G52" s="85">
        <v>5314</v>
      </c>
      <c r="H52" s="86">
        <v>3.9718254744668391</v>
      </c>
      <c r="I52" s="132">
        <v>0.57388468308908491</v>
      </c>
      <c r="J52" s="85">
        <v>2660</v>
      </c>
      <c r="K52" s="173">
        <v>50.056454648099361</v>
      </c>
      <c r="L52" s="85">
        <v>2654</v>
      </c>
      <c r="M52" s="173">
        <v>49.943545351900639</v>
      </c>
      <c r="N52" s="161">
        <v>24.124952954459918</v>
      </c>
      <c r="O52" s="161">
        <v>43.451260820474218</v>
      </c>
      <c r="P52" s="161">
        <v>32.423786225065868</v>
      </c>
      <c r="Q52" s="161">
        <v>32.706059465562667</v>
      </c>
      <c r="R52" s="159">
        <v>34.870154309371472</v>
      </c>
      <c r="S52" s="160">
        <v>32.423786225065868</v>
      </c>
      <c r="T52" s="84">
        <v>5.7</v>
      </c>
      <c r="U52" s="84">
        <v>1.1000000000000001</v>
      </c>
      <c r="V52" s="89">
        <v>38</v>
      </c>
      <c r="W52" s="90">
        <v>5.2</v>
      </c>
      <c r="X52" s="148">
        <v>43173</v>
      </c>
      <c r="Y52" s="89">
        <v>2.2999999999999998</v>
      </c>
      <c r="Z52" s="89" t="s">
        <v>342</v>
      </c>
      <c r="AA52" s="85">
        <v>728</v>
      </c>
      <c r="AB52" s="110" t="s">
        <v>355</v>
      </c>
      <c r="AC52" s="110" t="s">
        <v>355</v>
      </c>
      <c r="AD52" s="110" t="s">
        <v>355</v>
      </c>
      <c r="AE52" s="110" t="s">
        <v>355</v>
      </c>
      <c r="AF52" s="84">
        <v>0.11</v>
      </c>
      <c r="AG52" s="84">
        <v>1.72</v>
      </c>
      <c r="AH52" s="84">
        <v>58.69</v>
      </c>
      <c r="AI52" s="86">
        <v>41.313912047521754</v>
      </c>
      <c r="AJ52" s="84">
        <v>4.29</v>
      </c>
      <c r="AK52" s="84">
        <v>0.96</v>
      </c>
      <c r="AL52" s="84">
        <v>6.1660197073753356</v>
      </c>
      <c r="AM52" s="84">
        <v>5.08</v>
      </c>
      <c r="AN52" s="85">
        <v>26762</v>
      </c>
      <c r="AO52" s="85">
        <v>26792</v>
      </c>
      <c r="AP52" s="85">
        <v>1112</v>
      </c>
      <c r="AQ52" s="135">
        <v>642.77456647398844</v>
      </c>
      <c r="AR52" s="85">
        <v>1730</v>
      </c>
      <c r="AS52" s="85">
        <v>6134</v>
      </c>
      <c r="AT52" s="135">
        <v>5357.2052401746723</v>
      </c>
      <c r="AU52" s="85">
        <v>1145</v>
      </c>
      <c r="AV52" s="85">
        <v>210</v>
      </c>
      <c r="AW52" s="135">
        <v>1019.4174757281553</v>
      </c>
      <c r="AX52" s="85">
        <v>206</v>
      </c>
      <c r="AY52" s="135" t="s">
        <v>379</v>
      </c>
      <c r="AZ52" s="135" t="s">
        <v>379</v>
      </c>
      <c r="BA52" s="89">
        <v>0</v>
      </c>
      <c r="BB52" s="87">
        <v>196.77272854077253</v>
      </c>
      <c r="BC52" s="91">
        <v>36.069364161849713</v>
      </c>
      <c r="BD52" s="85">
        <v>5320</v>
      </c>
      <c r="BE52" s="92">
        <v>14.809453553433732</v>
      </c>
      <c r="BF52" s="85">
        <v>7432</v>
      </c>
      <c r="BG52" s="92">
        <v>20.688695264872088</v>
      </c>
      <c r="BH52" s="85">
        <v>2008</v>
      </c>
      <c r="BI52" s="92">
        <v>5.5897335968599506</v>
      </c>
      <c r="BJ52" s="85">
        <v>5043</v>
      </c>
      <c r="BK52" s="92">
        <v>14.038359825181637</v>
      </c>
      <c r="BL52" s="85">
        <v>4836</v>
      </c>
      <c r="BM52" s="92">
        <v>13.462127327895775</v>
      </c>
      <c r="BN52" s="85">
        <v>8840</v>
      </c>
      <c r="BO52" s="92">
        <v>24.608189739164324</v>
      </c>
      <c r="BP52" s="85">
        <v>2444</v>
      </c>
      <c r="BQ52" s="92">
        <v>6.8034406925924902</v>
      </c>
      <c r="BR52" s="165">
        <v>1001.1290929619872</v>
      </c>
      <c r="BS52" s="165">
        <v>377.86977794505083</v>
      </c>
      <c r="BT52" s="111">
        <v>1204.5540082800151</v>
      </c>
      <c r="BU52" s="165">
        <v>949.00263455024469</v>
      </c>
      <c r="BV52" s="165">
        <v>859.61610839292439</v>
      </c>
      <c r="BW52" s="165">
        <v>194.01580730146782</v>
      </c>
      <c r="BX52" s="165">
        <v>459.91719984945428</v>
      </c>
      <c r="BY52" s="112">
        <v>50.432818968761758</v>
      </c>
      <c r="BZ52" s="165">
        <v>1663.5302973278133</v>
      </c>
      <c r="CA52" s="110" t="s">
        <v>355</v>
      </c>
      <c r="CB52" s="112"/>
      <c r="CC52" s="110" t="s">
        <v>355</v>
      </c>
      <c r="CD52" s="110" t="s">
        <v>355</v>
      </c>
      <c r="CE52" s="110" t="s">
        <v>355</v>
      </c>
      <c r="CF52" s="110" t="s">
        <v>355</v>
      </c>
      <c r="CG52" s="110" t="s">
        <v>355</v>
      </c>
      <c r="CH52" s="110" t="s">
        <v>355</v>
      </c>
      <c r="CI52" s="110" t="s">
        <v>355</v>
      </c>
      <c r="CJ52" s="87">
        <v>4147</v>
      </c>
      <c r="CK52" s="92">
        <v>38.60622136484205</v>
      </c>
      <c r="CL52" s="139">
        <v>2005.2099999999998</v>
      </c>
      <c r="CM52" s="139">
        <v>377.3447497177267</v>
      </c>
      <c r="CN52" s="138">
        <v>131</v>
      </c>
      <c r="CO52" s="113">
        <v>2</v>
      </c>
      <c r="CP52" s="113">
        <v>13</v>
      </c>
      <c r="CQ52" s="110">
        <v>2</v>
      </c>
      <c r="CR52" s="86">
        <v>2.6100451467268622</v>
      </c>
      <c r="CS52" s="85">
        <v>3459</v>
      </c>
      <c r="CT52" s="85">
        <v>3459</v>
      </c>
      <c r="CU52" s="84">
        <v>100</v>
      </c>
      <c r="CV52" s="84">
        <v>41.59</v>
      </c>
      <c r="CW52" s="84">
        <v>1.34</v>
      </c>
      <c r="CX52" s="115" t="s">
        <v>339</v>
      </c>
      <c r="CY52" s="114">
        <v>0</v>
      </c>
      <c r="CZ52" s="129">
        <v>137000</v>
      </c>
      <c r="DA52" s="129">
        <v>0</v>
      </c>
      <c r="DB52" s="129">
        <v>54000</v>
      </c>
      <c r="DC52" s="129">
        <v>0</v>
      </c>
      <c r="DD52" s="129">
        <v>332447</v>
      </c>
      <c r="DE52" s="87">
        <v>0</v>
      </c>
      <c r="DF52" s="87">
        <v>0</v>
      </c>
      <c r="DG52" s="114">
        <v>0</v>
      </c>
      <c r="DH52" s="162">
        <v>9</v>
      </c>
      <c r="DI52" s="114">
        <v>590.44444444444446</v>
      </c>
      <c r="DJ52" s="114">
        <v>44.444444444444443</v>
      </c>
      <c r="DK52" s="114">
        <v>55.555555555555557</v>
      </c>
      <c r="DL52" s="114">
        <v>0</v>
      </c>
      <c r="DM52" s="114">
        <v>0</v>
      </c>
      <c r="DN52" s="114">
        <v>0</v>
      </c>
      <c r="DO52" s="114">
        <v>22.222222222222221</v>
      </c>
      <c r="DP52" s="114">
        <v>77.777777777777786</v>
      </c>
      <c r="DQ52" s="88">
        <v>154</v>
      </c>
      <c r="DR52" s="147">
        <v>34.506493506493506</v>
      </c>
      <c r="DT52" s="55"/>
      <c r="DU52" s="55"/>
    </row>
    <row r="53" spans="1:125" s="32" customFormat="1" ht="15" customHeight="1" thickBot="1">
      <c r="A53" s="100" t="s">
        <v>273</v>
      </c>
      <c r="B53" s="184">
        <v>2017</v>
      </c>
      <c r="C53" s="109">
        <v>6</v>
      </c>
      <c r="D53" s="83" t="s">
        <v>351</v>
      </c>
      <c r="E53" s="83"/>
      <c r="F53" s="132">
        <v>2775.1</v>
      </c>
      <c r="G53" s="85">
        <v>66623</v>
      </c>
      <c r="H53" s="86">
        <v>3.1443522417636816</v>
      </c>
      <c r="I53" s="132">
        <v>24.007423155922311</v>
      </c>
      <c r="J53" s="85">
        <v>33163</v>
      </c>
      <c r="K53" s="173">
        <v>49.777104003122048</v>
      </c>
      <c r="L53" s="85">
        <v>33460</v>
      </c>
      <c r="M53" s="173">
        <v>50.222895996877959</v>
      </c>
      <c r="N53" s="161">
        <v>26.857091394863637</v>
      </c>
      <c r="O53" s="161">
        <v>53.652642480824944</v>
      </c>
      <c r="P53" s="161">
        <v>19.490266124311422</v>
      </c>
      <c r="Q53" s="161">
        <v>41.081908650165857</v>
      </c>
      <c r="R53" s="159">
        <v>39.427825225522717</v>
      </c>
      <c r="S53" s="160">
        <v>19.490266124311422</v>
      </c>
      <c r="T53" s="84">
        <v>3.7</v>
      </c>
      <c r="U53" s="84">
        <v>6</v>
      </c>
      <c r="V53" s="89">
        <v>99</v>
      </c>
      <c r="W53" s="90">
        <v>4.4000000000000004</v>
      </c>
      <c r="X53" s="148">
        <v>57800</v>
      </c>
      <c r="Y53" s="89">
        <v>2.8</v>
      </c>
      <c r="Z53" s="89" t="s">
        <v>352</v>
      </c>
      <c r="AA53" s="85">
        <v>6763</v>
      </c>
      <c r="AB53" s="110" t="s">
        <v>355</v>
      </c>
      <c r="AC53" s="110" t="s">
        <v>355</v>
      </c>
      <c r="AD53" s="110" t="s">
        <v>355</v>
      </c>
      <c r="AE53" s="110" t="s">
        <v>355</v>
      </c>
      <c r="AF53" s="84">
        <v>-4.21</v>
      </c>
      <c r="AG53" s="84">
        <v>2.93</v>
      </c>
      <c r="AH53" s="84">
        <v>70.959999999999994</v>
      </c>
      <c r="AI53" s="86">
        <v>29.041748591073951</v>
      </c>
      <c r="AJ53" s="84">
        <v>5.63</v>
      </c>
      <c r="AK53" s="84">
        <v>13.23</v>
      </c>
      <c r="AL53" s="84">
        <v>1.4963788453376778</v>
      </c>
      <c r="AM53" s="84">
        <v>12.44</v>
      </c>
      <c r="AN53" s="85">
        <v>75942</v>
      </c>
      <c r="AO53" s="85">
        <v>73043</v>
      </c>
      <c r="AP53" s="85">
        <v>26146</v>
      </c>
      <c r="AQ53" s="135">
        <v>1094.7994305334562</v>
      </c>
      <c r="AR53" s="85">
        <v>23882</v>
      </c>
      <c r="AS53" s="85">
        <v>1378</v>
      </c>
      <c r="AT53" s="135">
        <v>2750.4990019960078</v>
      </c>
      <c r="AU53" s="85">
        <v>501</v>
      </c>
      <c r="AV53" s="85">
        <v>3304</v>
      </c>
      <c r="AW53" s="135">
        <v>6029.1970802919705</v>
      </c>
      <c r="AX53" s="85">
        <v>548</v>
      </c>
      <c r="AY53" s="135" t="s">
        <v>379</v>
      </c>
      <c r="AZ53" s="135" t="s">
        <v>379</v>
      </c>
      <c r="BA53" s="89">
        <v>0</v>
      </c>
      <c r="BB53" s="87">
        <v>405.96321866485016</v>
      </c>
      <c r="BC53" s="91">
        <v>13.256846160288083</v>
      </c>
      <c r="BD53" s="85">
        <v>10443</v>
      </c>
      <c r="BE53" s="92">
        <v>13.701667606964326</v>
      </c>
      <c r="BF53" s="85">
        <v>13875</v>
      </c>
      <c r="BG53" s="92">
        <v>18.204600023616781</v>
      </c>
      <c r="BH53" s="85">
        <v>17475</v>
      </c>
      <c r="BI53" s="92">
        <v>22.92795570542005</v>
      </c>
      <c r="BJ53" s="85">
        <v>3649</v>
      </c>
      <c r="BK53" s="92">
        <v>4.7876458008055947</v>
      </c>
      <c r="BL53" s="85">
        <v>12996</v>
      </c>
      <c r="BM53" s="92">
        <v>17.051314011309813</v>
      </c>
      <c r="BN53" s="85">
        <v>13175</v>
      </c>
      <c r="BO53" s="92">
        <v>17.286169752155033</v>
      </c>
      <c r="BP53" s="85">
        <v>4604</v>
      </c>
      <c r="BQ53" s="92">
        <v>6.0406470997284067</v>
      </c>
      <c r="BR53" s="165">
        <v>156.74766972366899</v>
      </c>
      <c r="BS53" s="165">
        <v>262.29680440688651</v>
      </c>
      <c r="BT53" s="111">
        <v>134.72824700178617</v>
      </c>
      <c r="BU53" s="165">
        <v>54.770874923074615</v>
      </c>
      <c r="BV53" s="165">
        <v>160.21494078621498</v>
      </c>
      <c r="BW53" s="165">
        <v>73.533164222565787</v>
      </c>
      <c r="BX53" s="165">
        <v>69.105263947885859</v>
      </c>
      <c r="BY53" s="112">
        <v>34.852828602734789</v>
      </c>
      <c r="BZ53" s="165">
        <v>197.75452921663691</v>
      </c>
      <c r="CA53" s="110" t="s">
        <v>355</v>
      </c>
      <c r="CB53" s="112">
        <v>372.83236994219652</v>
      </c>
      <c r="CC53" s="110" t="s">
        <v>355</v>
      </c>
      <c r="CD53" s="110" t="s">
        <v>355</v>
      </c>
      <c r="CE53" s="110" t="s">
        <v>355</v>
      </c>
      <c r="CF53" s="110" t="s">
        <v>355</v>
      </c>
      <c r="CG53" s="110" t="s">
        <v>355</v>
      </c>
      <c r="CH53" s="110" t="s">
        <v>355</v>
      </c>
      <c r="CI53" s="110" t="s">
        <v>355</v>
      </c>
      <c r="CJ53" s="87">
        <v>49925</v>
      </c>
      <c r="CK53" s="92">
        <v>66.433650475713563</v>
      </c>
      <c r="CL53" s="139">
        <v>1045.326</v>
      </c>
      <c r="CM53" s="139">
        <v>15.690167059423922</v>
      </c>
      <c r="CN53" s="139">
        <v>289</v>
      </c>
      <c r="CO53" s="115">
        <v>2</v>
      </c>
      <c r="CP53" s="115">
        <v>25</v>
      </c>
      <c r="CQ53" s="110">
        <v>2</v>
      </c>
      <c r="CR53" s="86">
        <v>3.6529773199602422</v>
      </c>
      <c r="CS53" s="85">
        <v>21942</v>
      </c>
      <c r="CT53" s="85">
        <v>25666</v>
      </c>
      <c r="CU53" s="84">
        <v>85.49</v>
      </c>
      <c r="CV53" s="84">
        <v>65.14</v>
      </c>
      <c r="CW53" s="84">
        <v>2.27</v>
      </c>
      <c r="CX53" s="115" t="s">
        <v>339</v>
      </c>
      <c r="CY53" s="114">
        <v>48000</v>
      </c>
      <c r="CZ53" s="129">
        <v>312000</v>
      </c>
      <c r="DA53" s="129">
        <v>0</v>
      </c>
      <c r="DB53" s="129">
        <v>32015</v>
      </c>
      <c r="DC53" s="129">
        <v>16317</v>
      </c>
      <c r="DD53" s="129">
        <v>285000</v>
      </c>
      <c r="DE53" s="87">
        <v>10</v>
      </c>
      <c r="DF53" s="87">
        <v>14820</v>
      </c>
      <c r="DG53" s="114">
        <v>0</v>
      </c>
      <c r="DH53" s="162">
        <v>12</v>
      </c>
      <c r="DI53" s="114">
        <v>5551.916666666667</v>
      </c>
      <c r="DJ53" s="114">
        <v>50</v>
      </c>
      <c r="DK53" s="114">
        <v>50</v>
      </c>
      <c r="DL53" s="114">
        <v>0</v>
      </c>
      <c r="DM53" s="114">
        <v>0</v>
      </c>
      <c r="DN53" s="114">
        <v>8</v>
      </c>
      <c r="DO53" s="114">
        <v>67</v>
      </c>
      <c r="DP53" s="114">
        <v>25</v>
      </c>
      <c r="DQ53" s="88">
        <v>272</v>
      </c>
      <c r="DR53" s="147">
        <v>244.9375</v>
      </c>
      <c r="DT53" s="55"/>
      <c r="DU53" s="55"/>
    </row>
    <row r="54" spans="1:125" s="32" customFormat="1" ht="15" customHeight="1" thickBot="1">
      <c r="A54" s="100" t="s">
        <v>274</v>
      </c>
      <c r="B54" s="184">
        <v>2017</v>
      </c>
      <c r="C54" s="109">
        <v>9</v>
      </c>
      <c r="D54" s="83" t="s">
        <v>348</v>
      </c>
      <c r="E54" s="83" t="s">
        <v>405</v>
      </c>
      <c r="F54" s="132">
        <v>11325.9</v>
      </c>
      <c r="G54" s="85">
        <v>2979</v>
      </c>
      <c r="H54" s="86">
        <v>-0.76615589606928713</v>
      </c>
      <c r="I54" s="132">
        <v>0.26302545493073398</v>
      </c>
      <c r="J54" s="85">
        <v>1510</v>
      </c>
      <c r="K54" s="173">
        <v>50.688150386035581</v>
      </c>
      <c r="L54" s="85">
        <v>1469</v>
      </c>
      <c r="M54" s="173">
        <v>49.311849613964419</v>
      </c>
      <c r="N54" s="161">
        <v>23.867069486404834</v>
      </c>
      <c r="O54" s="161">
        <v>49.211144679422624</v>
      </c>
      <c r="P54" s="161">
        <v>26.921785834172539</v>
      </c>
      <c r="Q54" s="161">
        <v>35.045317220543808</v>
      </c>
      <c r="R54" s="159">
        <v>38.032896945283653</v>
      </c>
      <c r="S54" s="160">
        <v>26.921785834172539</v>
      </c>
      <c r="T54" s="84">
        <v>6</v>
      </c>
      <c r="U54" s="84">
        <v>3.8</v>
      </c>
      <c r="V54" s="89">
        <v>26</v>
      </c>
      <c r="W54" s="90">
        <v>7.5</v>
      </c>
      <c r="X54" s="148">
        <v>43971</v>
      </c>
      <c r="Y54" s="89">
        <v>2.2999999999999998</v>
      </c>
      <c r="Z54" s="89" t="s">
        <v>342</v>
      </c>
      <c r="AA54" s="85">
        <v>374</v>
      </c>
      <c r="AB54" s="110" t="s">
        <v>355</v>
      </c>
      <c r="AC54" s="110" t="s">
        <v>355</v>
      </c>
      <c r="AD54" s="110" t="s">
        <v>355</v>
      </c>
      <c r="AE54" s="110" t="s">
        <v>355</v>
      </c>
      <c r="AF54" s="84">
        <v>2.4900000000000002</v>
      </c>
      <c r="AG54" s="84">
        <v>5.23</v>
      </c>
      <c r="AH54" s="84">
        <v>48.91</v>
      </c>
      <c r="AI54" s="86">
        <v>51.086156124919192</v>
      </c>
      <c r="AJ54" s="84">
        <v>12.97</v>
      </c>
      <c r="AK54" s="84">
        <v>15.54</v>
      </c>
      <c r="AL54" s="84">
        <v>1.9727138643067847</v>
      </c>
      <c r="AM54" s="84">
        <v>14.35</v>
      </c>
      <c r="AN54" s="85">
        <v>10578</v>
      </c>
      <c r="AO54" s="85">
        <v>10848</v>
      </c>
      <c r="AP54" s="85">
        <v>772</v>
      </c>
      <c r="AQ54" s="135">
        <v>587.51902587519021</v>
      </c>
      <c r="AR54" s="85">
        <v>1314</v>
      </c>
      <c r="AS54" s="85">
        <v>1117</v>
      </c>
      <c r="AT54" s="135">
        <v>4121.7712177121775</v>
      </c>
      <c r="AU54" s="85">
        <v>271</v>
      </c>
      <c r="AV54" s="85">
        <v>313</v>
      </c>
      <c r="AW54" s="135">
        <v>1497.6076555023924</v>
      </c>
      <c r="AX54" s="85">
        <v>209</v>
      </c>
      <c r="AY54" s="135" t="s">
        <v>379</v>
      </c>
      <c r="AZ54" s="135" t="s">
        <v>379</v>
      </c>
      <c r="BA54" s="89">
        <v>0</v>
      </c>
      <c r="BB54" s="87">
        <v>96.315785649409634</v>
      </c>
      <c r="BC54" s="91">
        <v>18.493150684931507</v>
      </c>
      <c r="BD54" s="85">
        <v>1494</v>
      </c>
      <c r="BE54" s="92">
        <v>14.12365286443562</v>
      </c>
      <c r="BF54" s="85">
        <v>2526</v>
      </c>
      <c r="BG54" s="92">
        <v>23.879750425411231</v>
      </c>
      <c r="BH54" s="85">
        <v>739</v>
      </c>
      <c r="BI54" s="92">
        <v>6.9861977689544341</v>
      </c>
      <c r="BJ54" s="85">
        <v>1462</v>
      </c>
      <c r="BK54" s="92">
        <v>13.821138211382115</v>
      </c>
      <c r="BL54" s="85">
        <v>1284</v>
      </c>
      <c r="BM54" s="92">
        <v>12.138400453771979</v>
      </c>
      <c r="BN54" s="85">
        <v>2525</v>
      </c>
      <c r="BO54" s="92">
        <v>23.870296842503308</v>
      </c>
      <c r="BP54" s="85">
        <v>548</v>
      </c>
      <c r="BQ54" s="92">
        <v>5.1805634335413124</v>
      </c>
      <c r="BR54" s="165">
        <v>501.51057401812687</v>
      </c>
      <c r="BS54" s="165">
        <v>248.06982208794898</v>
      </c>
      <c r="BT54" s="111">
        <v>672.37327962403492</v>
      </c>
      <c r="BU54" s="165">
        <v>490.76871433366904</v>
      </c>
      <c r="BV54" s="165">
        <v>341.38972809667672</v>
      </c>
      <c r="BW54" s="165">
        <v>175.56226921785833</v>
      </c>
      <c r="BX54" s="165">
        <v>183.95434709634105</v>
      </c>
      <c r="BY54" s="112">
        <v>89.627391742195371</v>
      </c>
      <c r="BZ54" s="165">
        <v>847.59986572675393</v>
      </c>
      <c r="CA54" s="110" t="s">
        <v>355</v>
      </c>
      <c r="CB54" s="112">
        <v>503.05669541914415</v>
      </c>
      <c r="CC54" s="110" t="s">
        <v>355</v>
      </c>
      <c r="CD54" s="110" t="s">
        <v>355</v>
      </c>
      <c r="CE54" s="110" t="s">
        <v>355</v>
      </c>
      <c r="CF54" s="110" t="s">
        <v>355</v>
      </c>
      <c r="CG54" s="110" t="s">
        <v>355</v>
      </c>
      <c r="CH54" s="110" t="s">
        <v>355</v>
      </c>
      <c r="CI54" s="110" t="s">
        <v>355</v>
      </c>
      <c r="CJ54" s="87">
        <v>2622</v>
      </c>
      <c r="CK54" s="92">
        <v>33.333333333333329</v>
      </c>
      <c r="CL54" s="139">
        <v>941.36</v>
      </c>
      <c r="CM54" s="139">
        <v>315.99865726753944</v>
      </c>
      <c r="CN54" s="139">
        <v>128.78</v>
      </c>
      <c r="CO54" s="115">
        <v>1</v>
      </c>
      <c r="CP54" s="115">
        <v>6</v>
      </c>
      <c r="CQ54" s="110">
        <v>1</v>
      </c>
      <c r="CR54" s="86">
        <v>7.3987874705287977</v>
      </c>
      <c r="CS54" s="85">
        <v>1586</v>
      </c>
      <c r="CT54" s="85">
        <v>2275</v>
      </c>
      <c r="CU54" s="84">
        <v>69.709999999999994</v>
      </c>
      <c r="CV54" s="84">
        <v>90.05</v>
      </c>
      <c r="CW54" s="84">
        <v>2.1800000000000002</v>
      </c>
      <c r="CX54" s="115" t="s">
        <v>339</v>
      </c>
      <c r="CY54" s="114">
        <v>24000</v>
      </c>
      <c r="CZ54" s="129">
        <v>93000</v>
      </c>
      <c r="DA54" s="129">
        <v>0</v>
      </c>
      <c r="DB54" s="129">
        <v>7000</v>
      </c>
      <c r="DC54" s="129">
        <v>1000</v>
      </c>
      <c r="DD54" s="129">
        <v>196092</v>
      </c>
      <c r="DE54" s="87">
        <v>0</v>
      </c>
      <c r="DF54" s="87">
        <v>0</v>
      </c>
      <c r="DG54" s="114">
        <v>0</v>
      </c>
      <c r="DH54" s="162">
        <v>8</v>
      </c>
      <c r="DI54" s="114">
        <v>372.375</v>
      </c>
      <c r="DJ54" s="114">
        <v>12.5</v>
      </c>
      <c r="DK54" s="114">
        <v>87.5</v>
      </c>
      <c r="DL54" s="114">
        <v>0</v>
      </c>
      <c r="DM54" s="114">
        <v>0</v>
      </c>
      <c r="DN54" s="114">
        <v>0</v>
      </c>
      <c r="DO54" s="114">
        <v>50</v>
      </c>
      <c r="DP54" s="114">
        <v>50</v>
      </c>
      <c r="DQ54" s="88">
        <v>51</v>
      </c>
      <c r="DR54" s="147">
        <v>58.411764705882355</v>
      </c>
      <c r="DT54" s="55"/>
      <c r="DU54" s="55"/>
    </row>
    <row r="55" spans="1:125" s="32" customFormat="1" ht="15" customHeight="1" thickBot="1">
      <c r="A55" s="100" t="s">
        <v>275</v>
      </c>
      <c r="B55" s="184">
        <v>2017</v>
      </c>
      <c r="C55" s="109">
        <v>7</v>
      </c>
      <c r="D55" s="83" t="s">
        <v>351</v>
      </c>
      <c r="E55" s="83"/>
      <c r="F55" s="132">
        <v>386.2</v>
      </c>
      <c r="G55" s="85">
        <v>167847</v>
      </c>
      <c r="H55" s="86">
        <v>-6.9</v>
      </c>
      <c r="I55" s="132">
        <v>434.61160020714658</v>
      </c>
      <c r="J55" s="85">
        <v>83198</v>
      </c>
      <c r="K55" s="173">
        <v>49.567761115778062</v>
      </c>
      <c r="L55" s="85">
        <v>84649</v>
      </c>
      <c r="M55" s="173">
        <v>50.432238884221938</v>
      </c>
      <c r="N55" s="161">
        <v>28.452102212133667</v>
      </c>
      <c r="O55" s="161">
        <v>52.801062872735294</v>
      </c>
      <c r="P55" s="161">
        <v>18.746834915131043</v>
      </c>
      <c r="Q55" s="161">
        <v>40.442784202279455</v>
      </c>
      <c r="R55" s="159">
        <v>40.810380882589506</v>
      </c>
      <c r="S55" s="160">
        <v>18.746834915131043</v>
      </c>
      <c r="T55" s="84">
        <v>0.5</v>
      </c>
      <c r="U55" s="84">
        <v>31.9</v>
      </c>
      <c r="V55" s="89">
        <v>122</v>
      </c>
      <c r="W55" s="90">
        <v>2.5</v>
      </c>
      <c r="X55" s="148">
        <v>73048</v>
      </c>
      <c r="Y55" s="89">
        <v>3.2</v>
      </c>
      <c r="Z55" s="89" t="s">
        <v>340</v>
      </c>
      <c r="AA55" s="85">
        <v>20260</v>
      </c>
      <c r="AB55" s="110" t="s">
        <v>355</v>
      </c>
      <c r="AC55" s="110" t="s">
        <v>355</v>
      </c>
      <c r="AD55" s="110" t="s">
        <v>355</v>
      </c>
      <c r="AE55" s="110" t="s">
        <v>355</v>
      </c>
      <c r="AF55" s="84">
        <v>11.99</v>
      </c>
      <c r="AG55" s="84">
        <v>17.05</v>
      </c>
      <c r="AH55" s="84">
        <v>45.7</v>
      </c>
      <c r="AI55" s="86">
        <v>54.1</v>
      </c>
      <c r="AJ55" s="84">
        <v>3.62</v>
      </c>
      <c r="AK55" s="84">
        <v>0</v>
      </c>
      <c r="AL55" s="84">
        <v>0</v>
      </c>
      <c r="AM55" s="84">
        <v>30.38</v>
      </c>
      <c r="AN55" s="85">
        <v>145090</v>
      </c>
      <c r="AO55" s="85">
        <v>151146</v>
      </c>
      <c r="AP55" s="85">
        <v>59798</v>
      </c>
      <c r="AQ55" s="135">
        <v>1042.2491023808693</v>
      </c>
      <c r="AR55" s="85">
        <v>57374</v>
      </c>
      <c r="AS55" s="85">
        <v>434</v>
      </c>
      <c r="AT55" s="135">
        <v>2480</v>
      </c>
      <c r="AU55" s="85">
        <v>175</v>
      </c>
      <c r="AV55" s="85">
        <v>7078</v>
      </c>
      <c r="AW55" s="135">
        <v>1943.437671609006</v>
      </c>
      <c r="AX55" s="85">
        <v>3642</v>
      </c>
      <c r="AY55" s="135" t="s">
        <v>379</v>
      </c>
      <c r="AZ55" s="135" t="s">
        <v>379</v>
      </c>
      <c r="BA55" s="89">
        <v>0</v>
      </c>
      <c r="BB55" s="87">
        <v>684.13924451047387</v>
      </c>
      <c r="BC55" s="91">
        <v>9.3544114058632832</v>
      </c>
      <c r="BD55" s="85">
        <v>6416</v>
      </c>
      <c r="BE55" s="92">
        <v>3.9125529774064702</v>
      </c>
      <c r="BF55" s="85">
        <v>4933</v>
      </c>
      <c r="BG55" s="92">
        <v>3.0082019696923501</v>
      </c>
      <c r="BH55" s="85">
        <v>30728</v>
      </c>
      <c r="BI55" s="92">
        <v>18.738299234686099</v>
      </c>
      <c r="BJ55" s="85">
        <v>32672</v>
      </c>
      <c r="BK55" s="92">
        <v>19.923773515870355</v>
      </c>
      <c r="BL55" s="85">
        <v>52364</v>
      </c>
      <c r="BM55" s="92">
        <v>31.932188919718268</v>
      </c>
      <c r="BN55" s="85">
        <v>32256</v>
      </c>
      <c r="BO55" s="92">
        <v>19.670091776686892</v>
      </c>
      <c r="BP55" s="85">
        <v>4616</v>
      </c>
      <c r="BQ55" s="92">
        <v>2.8148916059395677</v>
      </c>
      <c r="BR55" s="165">
        <v>38.225288506794875</v>
      </c>
      <c r="BS55" s="165">
        <v>183.07148772393907</v>
      </c>
      <c r="BT55" s="111">
        <v>0</v>
      </c>
      <c r="BU55" s="165">
        <v>194.65346416677093</v>
      </c>
      <c r="BV55" s="165">
        <v>273.12969549649381</v>
      </c>
      <c r="BW55" s="165">
        <v>29.389861004367074</v>
      </c>
      <c r="BX55" s="165">
        <v>27.501236244913521</v>
      </c>
      <c r="BY55" s="112">
        <v>38.844900415259133</v>
      </c>
      <c r="BZ55" s="165">
        <v>192.1750165329139</v>
      </c>
      <c r="CA55" s="110" t="s">
        <v>355</v>
      </c>
      <c r="CB55" s="112">
        <v>229.83257229832572</v>
      </c>
      <c r="CC55" s="110" t="s">
        <v>355</v>
      </c>
      <c r="CD55" s="110" t="s">
        <v>355</v>
      </c>
      <c r="CE55" s="110" t="s">
        <v>355</v>
      </c>
      <c r="CF55" s="110" t="s">
        <v>355</v>
      </c>
      <c r="CG55" s="110" t="s">
        <v>355</v>
      </c>
      <c r="CH55" s="110" t="s">
        <v>355</v>
      </c>
      <c r="CI55" s="110" t="s">
        <v>355</v>
      </c>
      <c r="CJ55" s="87">
        <v>56378</v>
      </c>
      <c r="CK55" s="92">
        <v>58.921919897832488</v>
      </c>
      <c r="CL55" s="139">
        <v>952.95</v>
      </c>
      <c r="CM55" s="139">
        <v>5.6774920016443549</v>
      </c>
      <c r="CN55" s="139">
        <v>1175</v>
      </c>
      <c r="CO55" s="115">
        <v>1</v>
      </c>
      <c r="CP55" s="115">
        <v>61</v>
      </c>
      <c r="CQ55" s="110">
        <v>4</v>
      </c>
      <c r="CR55" s="86">
        <v>7.5813528117827085</v>
      </c>
      <c r="CS55" s="85">
        <v>28845</v>
      </c>
      <c r="CT55" s="85">
        <v>18924</v>
      </c>
      <c r="CU55" s="84">
        <v>152.43</v>
      </c>
      <c r="CV55" s="84">
        <v>102.81</v>
      </c>
      <c r="CW55" s="84">
        <v>0</v>
      </c>
      <c r="CX55" s="115" t="s">
        <v>339</v>
      </c>
      <c r="CY55" s="114">
        <v>126000</v>
      </c>
      <c r="CZ55" s="129">
        <v>359000</v>
      </c>
      <c r="DA55" s="129">
        <v>0</v>
      </c>
      <c r="DB55" s="129">
        <v>92000</v>
      </c>
      <c r="DC55" s="129">
        <v>49000</v>
      </c>
      <c r="DD55" s="129">
        <v>381543</v>
      </c>
      <c r="DE55" s="87">
        <v>0</v>
      </c>
      <c r="DF55" s="87">
        <v>0</v>
      </c>
      <c r="DG55" s="114">
        <v>0</v>
      </c>
      <c r="DH55" s="162">
        <v>13</v>
      </c>
      <c r="DI55" s="114">
        <v>12911.307692307691</v>
      </c>
      <c r="DJ55" s="114">
        <v>31</v>
      </c>
      <c r="DK55" s="114">
        <v>69</v>
      </c>
      <c r="DL55" s="114">
        <v>0</v>
      </c>
      <c r="DM55" s="114">
        <v>0</v>
      </c>
      <c r="DN55" s="114">
        <v>0</v>
      </c>
      <c r="DO55" s="114">
        <v>78</v>
      </c>
      <c r="DP55" s="114">
        <v>22</v>
      </c>
      <c r="DQ55" s="88">
        <v>519</v>
      </c>
      <c r="DR55" s="147">
        <v>323.40462427745666</v>
      </c>
      <c r="DT55" s="55"/>
      <c r="DU55" s="55"/>
    </row>
    <row r="56" spans="1:125" s="32" customFormat="1" ht="15" customHeight="1" thickBot="1">
      <c r="A56" s="100" t="s">
        <v>276</v>
      </c>
      <c r="B56" s="184">
        <v>2017</v>
      </c>
      <c r="C56" s="109">
        <v>11</v>
      </c>
      <c r="D56" s="83" t="s">
        <v>350</v>
      </c>
      <c r="E56" s="83" t="s">
        <v>409</v>
      </c>
      <c r="F56" s="132">
        <v>7140.9</v>
      </c>
      <c r="G56" s="85">
        <v>18753</v>
      </c>
      <c r="H56" s="86">
        <v>-1</v>
      </c>
      <c r="I56" s="132">
        <v>2.6261395622400538</v>
      </c>
      <c r="J56" s="85">
        <v>9218</v>
      </c>
      <c r="K56" s="173">
        <v>49.154801898362926</v>
      </c>
      <c r="L56" s="85">
        <v>9535</v>
      </c>
      <c r="M56" s="173">
        <v>50.845198101637067</v>
      </c>
      <c r="N56" s="161">
        <v>26.24113475177305</v>
      </c>
      <c r="O56" s="161">
        <v>44.899482749426753</v>
      </c>
      <c r="P56" s="161">
        <v>28.859382498800191</v>
      </c>
      <c r="Q56" s="161">
        <v>35.908921239268381</v>
      </c>
      <c r="R56" s="159">
        <v>35.231696261931425</v>
      </c>
      <c r="S56" s="160">
        <v>28.859382498800191</v>
      </c>
      <c r="T56" s="84">
        <v>4.4000000000000004</v>
      </c>
      <c r="U56" s="84">
        <v>3.4</v>
      </c>
      <c r="V56" s="89">
        <v>32</v>
      </c>
      <c r="W56" s="90">
        <v>7.1</v>
      </c>
      <c r="X56" s="148">
        <v>43633</v>
      </c>
      <c r="Y56" s="89">
        <v>2.4</v>
      </c>
      <c r="Z56" s="89" t="s">
        <v>342</v>
      </c>
      <c r="AA56" s="85">
        <v>2202</v>
      </c>
      <c r="AB56" s="110" t="s">
        <v>355</v>
      </c>
      <c r="AC56" s="110" t="s">
        <v>355</v>
      </c>
      <c r="AD56" s="110" t="s">
        <v>355</v>
      </c>
      <c r="AE56" s="110" t="s">
        <v>355</v>
      </c>
      <c r="AF56" s="84" t="s">
        <v>403</v>
      </c>
      <c r="AG56" s="84" t="s">
        <v>403</v>
      </c>
      <c r="AH56" s="84" t="s">
        <v>403</v>
      </c>
      <c r="AI56" s="84" t="s">
        <v>403</v>
      </c>
      <c r="AJ56" s="84" t="s">
        <v>403</v>
      </c>
      <c r="AK56" s="84" t="s">
        <v>403</v>
      </c>
      <c r="AL56" s="84" t="s">
        <v>403</v>
      </c>
      <c r="AM56" s="84" t="s">
        <v>403</v>
      </c>
      <c r="AN56" s="84" t="s">
        <v>403</v>
      </c>
      <c r="AO56" s="84" t="s">
        <v>403</v>
      </c>
      <c r="AP56" s="84" t="s">
        <v>403</v>
      </c>
      <c r="AQ56" s="84" t="s">
        <v>403</v>
      </c>
      <c r="AR56" s="84" t="s">
        <v>403</v>
      </c>
      <c r="AS56" s="84" t="s">
        <v>403</v>
      </c>
      <c r="AT56" s="84" t="s">
        <v>403</v>
      </c>
      <c r="AU56" s="84" t="s">
        <v>403</v>
      </c>
      <c r="AV56" s="84" t="s">
        <v>403</v>
      </c>
      <c r="AW56" s="84" t="s">
        <v>403</v>
      </c>
      <c r="AX56" s="84" t="s">
        <v>403</v>
      </c>
      <c r="AY56" s="84" t="s">
        <v>403</v>
      </c>
      <c r="AZ56" s="84" t="s">
        <v>403</v>
      </c>
      <c r="BA56" s="84" t="s">
        <v>403</v>
      </c>
      <c r="BB56" s="84" t="s">
        <v>403</v>
      </c>
      <c r="BC56" s="84" t="s">
        <v>403</v>
      </c>
      <c r="BD56" s="84" t="s">
        <v>403</v>
      </c>
      <c r="BE56" s="84" t="s">
        <v>403</v>
      </c>
      <c r="BF56" s="84" t="s">
        <v>403</v>
      </c>
      <c r="BG56" s="84" t="s">
        <v>403</v>
      </c>
      <c r="BH56" s="84" t="s">
        <v>403</v>
      </c>
      <c r="BI56" s="84" t="s">
        <v>403</v>
      </c>
      <c r="BJ56" s="84" t="s">
        <v>403</v>
      </c>
      <c r="BK56" s="84" t="s">
        <v>403</v>
      </c>
      <c r="BL56" s="84" t="s">
        <v>403</v>
      </c>
      <c r="BM56" s="84" t="s">
        <v>403</v>
      </c>
      <c r="BN56" s="84" t="s">
        <v>403</v>
      </c>
      <c r="BO56" s="84" t="s">
        <v>403</v>
      </c>
      <c r="BP56" s="84" t="s">
        <v>403</v>
      </c>
      <c r="BQ56" s="84" t="s">
        <v>403</v>
      </c>
      <c r="BR56" s="84" t="s">
        <v>403</v>
      </c>
      <c r="BS56" s="84" t="s">
        <v>403</v>
      </c>
      <c r="BT56" s="84" t="s">
        <v>403</v>
      </c>
      <c r="BU56" s="84" t="s">
        <v>403</v>
      </c>
      <c r="BV56" s="84" t="s">
        <v>403</v>
      </c>
      <c r="BW56" s="84" t="s">
        <v>403</v>
      </c>
      <c r="BX56" s="84" t="s">
        <v>403</v>
      </c>
      <c r="BY56" s="84" t="s">
        <v>403</v>
      </c>
      <c r="BZ56" s="84" t="s">
        <v>403</v>
      </c>
      <c r="CA56" s="110" t="s">
        <v>355</v>
      </c>
      <c r="CB56" s="112">
        <v>408.94830410987555</v>
      </c>
      <c r="CC56" s="110" t="s">
        <v>355</v>
      </c>
      <c r="CD56" s="110" t="s">
        <v>355</v>
      </c>
      <c r="CE56" s="110" t="s">
        <v>355</v>
      </c>
      <c r="CF56" s="110" t="s">
        <v>355</v>
      </c>
      <c r="CG56" s="110" t="s">
        <v>355</v>
      </c>
      <c r="CH56" s="110" t="s">
        <v>355</v>
      </c>
      <c r="CI56" s="110" t="s">
        <v>355</v>
      </c>
      <c r="CJ56" s="87">
        <v>11719</v>
      </c>
      <c r="CK56" s="92">
        <v>37.14480757743835</v>
      </c>
      <c r="CL56" s="139">
        <v>2748.1600000000003</v>
      </c>
      <c r="CM56" s="139">
        <v>146.54508611955424</v>
      </c>
      <c r="CN56" s="138">
        <v>233</v>
      </c>
      <c r="CO56" s="113">
        <v>4</v>
      </c>
      <c r="CP56" s="113">
        <v>15</v>
      </c>
      <c r="CQ56" s="110">
        <v>3</v>
      </c>
      <c r="CR56" s="86">
        <v>3.2208598726114648</v>
      </c>
      <c r="CS56" s="89" t="s">
        <v>403</v>
      </c>
      <c r="CT56" s="89" t="s">
        <v>403</v>
      </c>
      <c r="CU56" s="84" t="s">
        <v>403</v>
      </c>
      <c r="CV56" s="84" t="s">
        <v>403</v>
      </c>
      <c r="CW56" s="84" t="s">
        <v>403</v>
      </c>
      <c r="CX56" s="115" t="s">
        <v>378</v>
      </c>
      <c r="CY56" s="114" t="s">
        <v>403</v>
      </c>
      <c r="CZ56" s="129" t="s">
        <v>403</v>
      </c>
      <c r="DA56" s="129" t="s">
        <v>403</v>
      </c>
      <c r="DB56" s="129" t="s">
        <v>403</v>
      </c>
      <c r="DC56" s="129" t="s">
        <v>403</v>
      </c>
      <c r="DD56" s="129" t="s">
        <v>403</v>
      </c>
      <c r="DE56" s="87">
        <v>2</v>
      </c>
      <c r="DF56" s="87">
        <v>14775</v>
      </c>
      <c r="DG56" s="114">
        <v>0</v>
      </c>
      <c r="DH56" s="162">
        <v>11</v>
      </c>
      <c r="DI56" s="114">
        <v>1704.8181818181818</v>
      </c>
      <c r="DJ56" s="114">
        <v>27</v>
      </c>
      <c r="DK56" s="114">
        <v>73</v>
      </c>
      <c r="DL56" s="114">
        <v>0</v>
      </c>
      <c r="DM56" s="114">
        <v>0</v>
      </c>
      <c r="DN56" s="114">
        <v>0</v>
      </c>
      <c r="DO56" s="114">
        <v>64</v>
      </c>
      <c r="DP56" s="114">
        <v>36</v>
      </c>
      <c r="DQ56" s="88" t="s">
        <v>403</v>
      </c>
      <c r="DR56" s="147" t="s">
        <v>403</v>
      </c>
      <c r="DT56" s="55"/>
      <c r="DU56" s="55"/>
    </row>
    <row r="57" spans="1:125" s="32" customFormat="1" ht="15" customHeight="1" thickBot="1">
      <c r="A57" s="100" t="s">
        <v>277</v>
      </c>
      <c r="B57" s="184">
        <v>2017</v>
      </c>
      <c r="C57" s="109">
        <v>7</v>
      </c>
      <c r="D57" s="83" t="s">
        <v>351</v>
      </c>
      <c r="E57" s="83"/>
      <c r="F57" s="132">
        <v>455</v>
      </c>
      <c r="G57" s="85">
        <v>149113</v>
      </c>
      <c r="H57" s="86">
        <v>-9.6999999999999993</v>
      </c>
      <c r="I57" s="132">
        <v>327.72087912087915</v>
      </c>
      <c r="J57" s="85">
        <v>73478</v>
      </c>
      <c r="K57" s="173">
        <v>49.276723022137574</v>
      </c>
      <c r="L57" s="85">
        <v>75635</v>
      </c>
      <c r="M57" s="173">
        <v>50.723276977862433</v>
      </c>
      <c r="N57" s="161">
        <v>26.460469576763927</v>
      </c>
      <c r="O57" s="161">
        <v>52.373703164714016</v>
      </c>
      <c r="P57" s="161">
        <v>21.165827258522061</v>
      </c>
      <c r="Q57" s="161">
        <v>37.818298874008306</v>
      </c>
      <c r="R57" s="159">
        <v>41.015873867469637</v>
      </c>
      <c r="S57" s="160">
        <v>21.165827258522061</v>
      </c>
      <c r="T57" s="84">
        <v>0.5</v>
      </c>
      <c r="U57" s="84">
        <v>31.1</v>
      </c>
      <c r="V57" s="89">
        <v>120</v>
      </c>
      <c r="W57" s="90">
        <v>4.7</v>
      </c>
      <c r="X57" s="148">
        <v>72586</v>
      </c>
      <c r="Y57" s="89">
        <v>2.9</v>
      </c>
      <c r="Z57" s="89" t="s">
        <v>340</v>
      </c>
      <c r="AA57" s="85">
        <v>13536</v>
      </c>
      <c r="AB57" s="110" t="s">
        <v>355</v>
      </c>
      <c r="AC57" s="110" t="s">
        <v>355</v>
      </c>
      <c r="AD57" s="110" t="s">
        <v>355</v>
      </c>
      <c r="AE57" s="110" t="s">
        <v>355</v>
      </c>
      <c r="AF57" s="84">
        <v>5.26</v>
      </c>
      <c r="AG57" s="84">
        <v>6.69</v>
      </c>
      <c r="AH57" s="84">
        <v>49.39</v>
      </c>
      <c r="AI57" s="86">
        <v>50.613404106080687</v>
      </c>
      <c r="AJ57" s="84">
        <v>1.82</v>
      </c>
      <c r="AK57" s="84">
        <v>19.18</v>
      </c>
      <c r="AL57" s="84">
        <v>1.0237205472510769</v>
      </c>
      <c r="AM57" s="84">
        <v>27.39</v>
      </c>
      <c r="AN57" s="85">
        <v>119655</v>
      </c>
      <c r="AO57" s="85">
        <v>126304</v>
      </c>
      <c r="AP57" s="85">
        <v>56931</v>
      </c>
      <c r="AQ57" s="135">
        <v>1134.1288497549704</v>
      </c>
      <c r="AR57" s="85">
        <v>50198</v>
      </c>
      <c r="AS57" s="85">
        <v>573</v>
      </c>
      <c r="AT57" s="135">
        <v>1848.3870967741937</v>
      </c>
      <c r="AU57" s="85">
        <v>310</v>
      </c>
      <c r="AV57" s="85">
        <v>7421</v>
      </c>
      <c r="AW57" s="135">
        <v>3004.4534412955468</v>
      </c>
      <c r="AX57" s="85">
        <v>2470</v>
      </c>
      <c r="AY57" s="135" t="s">
        <v>379</v>
      </c>
      <c r="AZ57" s="135" t="s">
        <v>379</v>
      </c>
      <c r="BA57" s="89">
        <v>0</v>
      </c>
      <c r="BB57" s="87">
        <v>526.84620120138618</v>
      </c>
      <c r="BC57" s="91">
        <v>12.49850591657038</v>
      </c>
      <c r="BD57" s="85">
        <v>17566</v>
      </c>
      <c r="BE57" s="92">
        <v>14.554644129588201</v>
      </c>
      <c r="BF57" s="85">
        <v>3211</v>
      </c>
      <c r="BG57" s="92">
        <v>2.6605352556135555</v>
      </c>
      <c r="BH57" s="85">
        <v>35816</v>
      </c>
      <c r="BI57" s="92">
        <v>29.676029497058583</v>
      </c>
      <c r="BJ57" s="85">
        <v>15573</v>
      </c>
      <c r="BK57" s="92">
        <v>12.903305990554312</v>
      </c>
      <c r="BL57" s="85">
        <v>31556</v>
      </c>
      <c r="BM57" s="92">
        <v>26.14632529621344</v>
      </c>
      <c r="BN57" s="85">
        <v>10598</v>
      </c>
      <c r="BO57" s="92">
        <v>8.7811749109288257</v>
      </c>
      <c r="BP57" s="85">
        <v>6370</v>
      </c>
      <c r="BQ57" s="92">
        <v>5.2779849200430853</v>
      </c>
      <c r="BR57" s="165">
        <v>117.80327670960949</v>
      </c>
      <c r="BS57" s="165">
        <v>240.19367861957039</v>
      </c>
      <c r="BT57" s="111">
        <v>0</v>
      </c>
      <c r="BU57" s="165">
        <v>104.43757418870253</v>
      </c>
      <c r="BV57" s="165">
        <v>165.52547396940577</v>
      </c>
      <c r="BW57" s="165">
        <v>21.534004412760794</v>
      </c>
      <c r="BX57" s="165">
        <v>42.719280009120602</v>
      </c>
      <c r="BY57" s="112">
        <v>46.099266998853217</v>
      </c>
      <c r="BZ57" s="165">
        <v>71.073615311877575</v>
      </c>
      <c r="CA57" s="110" t="s">
        <v>355</v>
      </c>
      <c r="CB57" s="112" t="s">
        <v>403</v>
      </c>
      <c r="CC57" s="110" t="s">
        <v>355</v>
      </c>
      <c r="CD57" s="110" t="s">
        <v>355</v>
      </c>
      <c r="CE57" s="110" t="s">
        <v>355</v>
      </c>
      <c r="CF57" s="110" t="s">
        <v>355</v>
      </c>
      <c r="CG57" s="110" t="s">
        <v>355</v>
      </c>
      <c r="CH57" s="110" t="s">
        <v>355</v>
      </c>
      <c r="CI57" s="110" t="s">
        <v>355</v>
      </c>
      <c r="CJ57" s="87">
        <v>49215</v>
      </c>
      <c r="CK57" s="92">
        <v>69.775474956822109</v>
      </c>
      <c r="CL57" s="139">
        <v>600.64</v>
      </c>
      <c r="CM57" s="139">
        <v>4.0280860823670643</v>
      </c>
      <c r="CN57" s="139">
        <v>1181.51</v>
      </c>
      <c r="CO57" s="115">
        <v>3</v>
      </c>
      <c r="CP57" s="115">
        <v>25</v>
      </c>
      <c r="CQ57" s="110">
        <v>4</v>
      </c>
      <c r="CR57" s="86">
        <v>6.6009568352072474</v>
      </c>
      <c r="CS57" s="85">
        <v>8356</v>
      </c>
      <c r="CT57" s="85">
        <v>8317</v>
      </c>
      <c r="CU57" s="84">
        <v>100.47</v>
      </c>
      <c r="CV57" s="84">
        <v>0</v>
      </c>
      <c r="CW57" s="84">
        <v>0.85</v>
      </c>
      <c r="CX57" s="115" t="s">
        <v>339</v>
      </c>
      <c r="CY57" s="114">
        <v>31000</v>
      </c>
      <c r="CZ57" s="129">
        <v>305000</v>
      </c>
      <c r="DA57" s="129">
        <v>0</v>
      </c>
      <c r="DB57" s="129">
        <v>12476</v>
      </c>
      <c r="DC57" s="129">
        <v>0</v>
      </c>
      <c r="DD57" s="129">
        <v>396346</v>
      </c>
      <c r="DE57" s="87">
        <v>5</v>
      </c>
      <c r="DF57" s="87">
        <v>7986</v>
      </c>
      <c r="DG57" s="114">
        <v>0</v>
      </c>
      <c r="DH57" s="162">
        <v>10</v>
      </c>
      <c r="DI57" s="114">
        <v>14911.3</v>
      </c>
      <c r="DJ57" s="114">
        <v>27</v>
      </c>
      <c r="DK57" s="114">
        <v>73</v>
      </c>
      <c r="DL57" s="114">
        <v>0</v>
      </c>
      <c r="DM57" s="114">
        <v>0</v>
      </c>
      <c r="DN57" s="114">
        <v>9</v>
      </c>
      <c r="DO57" s="114">
        <v>55</v>
      </c>
      <c r="DP57" s="114">
        <v>36</v>
      </c>
      <c r="DQ57" s="88">
        <v>472</v>
      </c>
      <c r="DR57" s="147">
        <v>315.91737288135596</v>
      </c>
      <c r="DT57" s="55"/>
      <c r="DU57" s="55"/>
    </row>
    <row r="58" spans="1:125" s="32" customFormat="1" ht="15" customHeight="1" thickBot="1">
      <c r="A58" s="100" t="s">
        <v>278</v>
      </c>
      <c r="B58" s="184">
        <v>2017</v>
      </c>
      <c r="C58" s="109">
        <v>2</v>
      </c>
      <c r="D58" s="83" t="s">
        <v>349</v>
      </c>
      <c r="E58" s="83"/>
      <c r="F58" s="132">
        <v>5.7</v>
      </c>
      <c r="G58" s="85">
        <v>14747</v>
      </c>
      <c r="H58" s="86">
        <v>4.3001626706273388</v>
      </c>
      <c r="I58" s="132">
        <v>2587.1929824561403</v>
      </c>
      <c r="J58" s="85">
        <v>7472</v>
      </c>
      <c r="K58" s="173">
        <v>50.667932460839495</v>
      </c>
      <c r="L58" s="85">
        <v>7275</v>
      </c>
      <c r="M58" s="173">
        <v>49.332067539160505</v>
      </c>
      <c r="N58" s="161">
        <v>27.59883366108361</v>
      </c>
      <c r="O58" s="161">
        <v>46.267037363531564</v>
      </c>
      <c r="P58" s="161">
        <v>26.134128975384822</v>
      </c>
      <c r="Q58" s="161">
        <v>37.221129721299242</v>
      </c>
      <c r="R58" s="159">
        <v>36.644741303315932</v>
      </c>
      <c r="S58" s="160">
        <v>26.134128975384822</v>
      </c>
      <c r="T58" s="84">
        <v>0.6</v>
      </c>
      <c r="U58" s="84">
        <v>19.5</v>
      </c>
      <c r="V58" s="89">
        <v>125</v>
      </c>
      <c r="W58" s="90">
        <v>2.7</v>
      </c>
      <c r="X58" s="148">
        <v>106348</v>
      </c>
      <c r="Y58" s="89">
        <v>2.7</v>
      </c>
      <c r="Z58" s="89" t="s">
        <v>344</v>
      </c>
      <c r="AA58" s="85">
        <v>1982</v>
      </c>
      <c r="AB58" s="110" t="s">
        <v>355</v>
      </c>
      <c r="AC58" s="110" t="s">
        <v>355</v>
      </c>
      <c r="AD58" s="110" t="s">
        <v>355</v>
      </c>
      <c r="AE58" s="110" t="s">
        <v>355</v>
      </c>
      <c r="AF58" s="84">
        <v>-3.09</v>
      </c>
      <c r="AG58" s="84">
        <v>8.6999999999999993</v>
      </c>
      <c r="AH58" s="84">
        <v>90.54</v>
      </c>
      <c r="AI58" s="86">
        <v>9.4648835932626767</v>
      </c>
      <c r="AJ58" s="84">
        <v>2.4900000000000002</v>
      </c>
      <c r="AK58" s="84">
        <v>51.23</v>
      </c>
      <c r="AL58" s="84">
        <v>0.23933260393873085</v>
      </c>
      <c r="AM58" s="84">
        <v>17.399999999999999</v>
      </c>
      <c r="AN58" s="85">
        <v>15076</v>
      </c>
      <c r="AO58" s="85">
        <v>14624</v>
      </c>
      <c r="AP58" s="85">
        <v>8116</v>
      </c>
      <c r="AQ58" s="135">
        <v>1683.4681601327525</v>
      </c>
      <c r="AR58" s="85">
        <v>4821</v>
      </c>
      <c r="AS58" s="135" t="s">
        <v>379</v>
      </c>
      <c r="AT58" s="135" t="s">
        <v>379</v>
      </c>
      <c r="AU58" s="135" t="s">
        <v>379</v>
      </c>
      <c r="AV58" s="85">
        <v>248</v>
      </c>
      <c r="AW58" s="135">
        <v>1153.4883720930231</v>
      </c>
      <c r="AX58" s="85">
        <v>215</v>
      </c>
      <c r="AY58" s="135" t="s">
        <v>379</v>
      </c>
      <c r="AZ58" s="135" t="s">
        <v>379</v>
      </c>
      <c r="BA58" s="89">
        <v>0</v>
      </c>
      <c r="BB58" s="87">
        <v>911.51853658536584</v>
      </c>
      <c r="BC58" s="91">
        <v>6.8450528935905419</v>
      </c>
      <c r="BD58" s="85">
        <v>4792</v>
      </c>
      <c r="BE58" s="92">
        <v>31.373576011522847</v>
      </c>
      <c r="BF58" s="85">
        <v>779</v>
      </c>
      <c r="BG58" s="92">
        <v>5.1001702239099123</v>
      </c>
      <c r="BH58" s="85">
        <v>2997</v>
      </c>
      <c r="BI58" s="92">
        <v>19.621579154118109</v>
      </c>
      <c r="BJ58" s="85">
        <v>1857</v>
      </c>
      <c r="BK58" s="92">
        <v>12.157915411810921</v>
      </c>
      <c r="BL58" s="85">
        <v>2389</v>
      </c>
      <c r="BM58" s="92">
        <v>15.640958491554274</v>
      </c>
      <c r="BN58" s="85">
        <v>2125</v>
      </c>
      <c r="BO58" s="92">
        <v>13.912531098598926</v>
      </c>
      <c r="BP58" s="85">
        <v>335</v>
      </c>
      <c r="BQ58" s="92">
        <v>2.1932696084850072</v>
      </c>
      <c r="BR58" s="165">
        <v>324.94744693836037</v>
      </c>
      <c r="BS58" s="165">
        <v>203.2277751407066</v>
      </c>
      <c r="BT58" s="111">
        <v>0</v>
      </c>
      <c r="BU58" s="165">
        <v>125.9239167288262</v>
      </c>
      <c r="BV58" s="165">
        <v>112.97212992473045</v>
      </c>
      <c r="BW58" s="165">
        <v>52.824303248118262</v>
      </c>
      <c r="BX58" s="165">
        <v>22.716484708754322</v>
      </c>
      <c r="BY58" s="112">
        <v>49.026920729639926</v>
      </c>
      <c r="BZ58" s="165">
        <v>144.09710449582965</v>
      </c>
      <c r="CA58" s="110" t="s">
        <v>355</v>
      </c>
      <c r="CB58" s="112">
        <v>463.64396987927807</v>
      </c>
      <c r="CC58" s="110" t="s">
        <v>355</v>
      </c>
      <c r="CD58" s="110" t="s">
        <v>355</v>
      </c>
      <c r="CE58" s="110" t="s">
        <v>355</v>
      </c>
      <c r="CF58" s="110" t="s">
        <v>355</v>
      </c>
      <c r="CG58" s="110" t="s">
        <v>355</v>
      </c>
      <c r="CH58" s="110" t="s">
        <v>355</v>
      </c>
      <c r="CI58" s="110" t="s">
        <v>355</v>
      </c>
      <c r="CJ58" s="87">
        <v>4621</v>
      </c>
      <c r="CK58" s="92">
        <v>50.638389958883359</v>
      </c>
      <c r="CL58" s="139">
        <v>65</v>
      </c>
      <c r="CM58" s="139">
        <v>4.4076761375194957</v>
      </c>
      <c r="CN58" s="139">
        <v>102.6</v>
      </c>
      <c r="CO58" s="115">
        <v>1</v>
      </c>
      <c r="CP58" s="115">
        <v>6</v>
      </c>
      <c r="CQ58" s="110">
        <v>0</v>
      </c>
      <c r="CR58" s="86">
        <v>6.264406088611036</v>
      </c>
      <c r="CS58" s="85">
        <v>989</v>
      </c>
      <c r="CT58" s="85">
        <v>1258</v>
      </c>
      <c r="CU58" s="84">
        <v>78.62</v>
      </c>
      <c r="CV58" s="84">
        <v>35.54</v>
      </c>
      <c r="CW58" s="84">
        <v>1.74</v>
      </c>
      <c r="CX58" s="115" t="s">
        <v>339</v>
      </c>
      <c r="CY58" s="114">
        <v>58000</v>
      </c>
      <c r="CZ58" s="129">
        <v>177000</v>
      </c>
      <c r="DA58" s="129">
        <v>0</v>
      </c>
      <c r="DB58" s="129">
        <v>8326</v>
      </c>
      <c r="DC58" s="129">
        <v>1200</v>
      </c>
      <c r="DD58" s="129">
        <v>237606</v>
      </c>
      <c r="DE58" s="87">
        <v>0</v>
      </c>
      <c r="DF58" s="87">
        <v>0</v>
      </c>
      <c r="DG58" s="114">
        <v>0</v>
      </c>
      <c r="DH58" s="162">
        <v>7</v>
      </c>
      <c r="DI58" s="114">
        <v>2106.7142857142858</v>
      </c>
      <c r="DJ58" s="114">
        <v>28.571428571428569</v>
      </c>
      <c r="DK58" s="114">
        <v>71.428571428571431</v>
      </c>
      <c r="DL58" s="114">
        <v>0</v>
      </c>
      <c r="DM58" s="114">
        <v>0</v>
      </c>
      <c r="DN58" s="114">
        <v>14.285714285714285</v>
      </c>
      <c r="DO58" s="114">
        <v>43</v>
      </c>
      <c r="DP58" s="114">
        <v>43</v>
      </c>
      <c r="DQ58" s="88">
        <v>52</v>
      </c>
      <c r="DR58" s="147">
        <v>283.59615384615387</v>
      </c>
      <c r="DT58" s="55"/>
      <c r="DU58" s="55"/>
    </row>
    <row r="59" spans="1:125" s="32" customFormat="1" ht="15" customHeight="1" thickBot="1">
      <c r="A59" s="100" t="s">
        <v>279</v>
      </c>
      <c r="B59" s="184">
        <v>2017</v>
      </c>
      <c r="C59" s="109">
        <v>3</v>
      </c>
      <c r="D59" s="83" t="s">
        <v>349</v>
      </c>
      <c r="E59" s="83"/>
      <c r="F59" s="132">
        <v>35.4</v>
      </c>
      <c r="G59" s="85">
        <v>194564</v>
      </c>
      <c r="H59" s="86">
        <v>7.1051487143352521</v>
      </c>
      <c r="I59" s="132">
        <v>5496.1581920903955</v>
      </c>
      <c r="J59" s="85">
        <v>95817</v>
      </c>
      <c r="K59" s="173">
        <v>49.247034394852079</v>
      </c>
      <c r="L59" s="85">
        <v>98747</v>
      </c>
      <c r="M59" s="173">
        <v>50.752965605147914</v>
      </c>
      <c r="N59" s="161">
        <v>18.963939886104313</v>
      </c>
      <c r="O59" s="161">
        <v>64.392693406796724</v>
      </c>
      <c r="P59" s="161">
        <v>16.643366707098949</v>
      </c>
      <c r="Q59" s="161">
        <v>37.168232561008203</v>
      </c>
      <c r="R59" s="159">
        <v>46.188400731892848</v>
      </c>
      <c r="S59" s="160">
        <v>16.643366707098949</v>
      </c>
      <c r="T59" s="84">
        <v>1.1000000000000001</v>
      </c>
      <c r="U59" s="84">
        <v>28.4</v>
      </c>
      <c r="V59" s="89">
        <v>118</v>
      </c>
      <c r="W59" s="90">
        <v>5.2</v>
      </c>
      <c r="X59" s="148">
        <v>76842</v>
      </c>
      <c r="Y59" s="89">
        <v>2.4</v>
      </c>
      <c r="Z59" s="89" t="s">
        <v>344</v>
      </c>
      <c r="AA59" s="85">
        <v>19543</v>
      </c>
      <c r="AB59" s="110" t="s">
        <v>355</v>
      </c>
      <c r="AC59" s="110" t="s">
        <v>355</v>
      </c>
      <c r="AD59" s="110" t="s">
        <v>355</v>
      </c>
      <c r="AE59" s="110" t="s">
        <v>355</v>
      </c>
      <c r="AF59" s="84">
        <v>3.24</v>
      </c>
      <c r="AG59" s="84">
        <v>3.72</v>
      </c>
      <c r="AH59" s="84">
        <v>88.83</v>
      </c>
      <c r="AI59" s="86">
        <v>11.169033795032169</v>
      </c>
      <c r="AJ59" s="84">
        <v>3.92</v>
      </c>
      <c r="AK59" s="84">
        <v>6.61</v>
      </c>
      <c r="AL59" s="84">
        <v>2.3517883390494854</v>
      </c>
      <c r="AM59" s="84">
        <v>8.0500000000000007</v>
      </c>
      <c r="AN59" s="85">
        <v>229080</v>
      </c>
      <c r="AO59" s="85">
        <v>236756</v>
      </c>
      <c r="AP59" s="85">
        <v>78126</v>
      </c>
      <c r="AQ59" s="135">
        <v>1103.5213356498157</v>
      </c>
      <c r="AR59" s="85">
        <v>70797</v>
      </c>
      <c r="AS59" s="135" t="s">
        <v>379</v>
      </c>
      <c r="AT59" s="135" t="s">
        <v>379</v>
      </c>
      <c r="AU59" s="135" t="s">
        <v>379</v>
      </c>
      <c r="AV59" s="85">
        <v>34746</v>
      </c>
      <c r="AW59" s="135">
        <v>5964.9785407725321</v>
      </c>
      <c r="AX59" s="85">
        <v>5825</v>
      </c>
      <c r="AY59" s="135" t="s">
        <v>379</v>
      </c>
      <c r="AZ59" s="135" t="s">
        <v>379</v>
      </c>
      <c r="BA59" s="89">
        <v>0</v>
      </c>
      <c r="BB59" s="87">
        <v>524.12837936777942</v>
      </c>
      <c r="BC59" s="91">
        <v>9.7998502761416439</v>
      </c>
      <c r="BD59" s="85">
        <v>102330</v>
      </c>
      <c r="BE59" s="92">
        <v>42.761687066188053</v>
      </c>
      <c r="BF59" s="85">
        <v>11500</v>
      </c>
      <c r="BG59" s="92">
        <v>4.805622996786501</v>
      </c>
      <c r="BH59" s="85">
        <v>32055</v>
      </c>
      <c r="BI59" s="92">
        <v>13.395151753216632</v>
      </c>
      <c r="BJ59" s="85">
        <v>31393</v>
      </c>
      <c r="BK59" s="92">
        <v>13.118515020705967</v>
      </c>
      <c r="BL59" s="85">
        <v>35529</v>
      </c>
      <c r="BM59" s="92">
        <v>14.846867778506748</v>
      </c>
      <c r="BN59" s="85">
        <v>5317</v>
      </c>
      <c r="BO59" s="92">
        <v>2.2218693455577241</v>
      </c>
      <c r="BP59" s="85">
        <v>21179</v>
      </c>
      <c r="BQ59" s="92">
        <v>8.8502860390383749</v>
      </c>
      <c r="BR59" s="165">
        <v>525.94519027158162</v>
      </c>
      <c r="BS59" s="165">
        <v>164.75298616393579</v>
      </c>
      <c r="BT59" s="111">
        <v>0</v>
      </c>
      <c r="BU59" s="165">
        <v>161.35050677412059</v>
      </c>
      <c r="BV59" s="165">
        <v>140.32914619354042</v>
      </c>
      <c r="BW59" s="165">
        <v>59.106515079870888</v>
      </c>
      <c r="BX59" s="165">
        <v>108.85364198926831</v>
      </c>
      <c r="BY59" s="112">
        <v>42.279147221479825</v>
      </c>
      <c r="BZ59" s="165">
        <v>27.327768754754221</v>
      </c>
      <c r="CA59" s="110" t="s">
        <v>355</v>
      </c>
      <c r="CB59" s="112">
        <v>527.0690728064717</v>
      </c>
      <c r="CC59" s="110" t="s">
        <v>355</v>
      </c>
      <c r="CD59" s="110" t="s">
        <v>355</v>
      </c>
      <c r="CE59" s="110" t="s">
        <v>355</v>
      </c>
      <c r="CF59" s="110" t="s">
        <v>355</v>
      </c>
      <c r="CG59" s="110" t="s">
        <v>355</v>
      </c>
      <c r="CH59" s="110" t="s">
        <v>355</v>
      </c>
      <c r="CI59" s="110" t="s">
        <v>355</v>
      </c>
      <c r="CJ59" s="87">
        <v>59860</v>
      </c>
      <c r="CK59" s="92">
        <v>53.275977280320753</v>
      </c>
      <c r="CL59" s="139">
        <v>464.8</v>
      </c>
      <c r="CM59" s="139">
        <v>2.3889311486194775</v>
      </c>
      <c r="CN59" s="139">
        <v>251.14</v>
      </c>
      <c r="CO59" s="115">
        <v>5</v>
      </c>
      <c r="CP59" s="115">
        <v>21</v>
      </c>
      <c r="CQ59" s="110">
        <v>8</v>
      </c>
      <c r="CR59" s="86">
        <v>5.1301655963467327</v>
      </c>
      <c r="CS59" s="85">
        <v>19305</v>
      </c>
      <c r="CT59" s="85">
        <v>24646</v>
      </c>
      <c r="CU59" s="84">
        <v>78.33</v>
      </c>
      <c r="CV59" s="84">
        <v>13.45</v>
      </c>
      <c r="CW59" s="84">
        <v>11.28</v>
      </c>
      <c r="CX59" s="115" t="s">
        <v>339</v>
      </c>
      <c r="CY59" s="114">
        <v>0</v>
      </c>
      <c r="CZ59" s="129">
        <v>335000</v>
      </c>
      <c r="DA59" s="129">
        <v>0</v>
      </c>
      <c r="DB59" s="129">
        <v>0</v>
      </c>
      <c r="DC59" s="129">
        <v>0</v>
      </c>
      <c r="DD59" s="129">
        <v>486990</v>
      </c>
      <c r="DE59" s="87">
        <v>10</v>
      </c>
      <c r="DF59" s="87">
        <v>18139</v>
      </c>
      <c r="DG59" s="114">
        <v>0</v>
      </c>
      <c r="DH59" s="163">
        <v>15</v>
      </c>
      <c r="DI59" s="114">
        <v>12970.933333333332</v>
      </c>
      <c r="DJ59" s="114">
        <v>53</v>
      </c>
      <c r="DK59" s="114">
        <v>47</v>
      </c>
      <c r="DL59" s="114">
        <v>0</v>
      </c>
      <c r="DM59" s="114">
        <v>20</v>
      </c>
      <c r="DN59" s="114">
        <v>7</v>
      </c>
      <c r="DO59" s="114">
        <v>53</v>
      </c>
      <c r="DP59" s="114">
        <v>40</v>
      </c>
      <c r="DQ59" s="88">
        <v>1038</v>
      </c>
      <c r="DR59" s="147">
        <v>187.4412331406551</v>
      </c>
      <c r="DT59" s="55"/>
      <c r="DU59" s="55"/>
    </row>
    <row r="60" spans="1:125" s="32" customFormat="1" ht="15" customHeight="1" thickBot="1">
      <c r="A60" s="100" t="s">
        <v>280</v>
      </c>
      <c r="B60" s="184">
        <v>2017</v>
      </c>
      <c r="C60" s="109">
        <v>11</v>
      </c>
      <c r="D60" s="83" t="s">
        <v>350</v>
      </c>
      <c r="E60" s="83" t="s">
        <v>406</v>
      </c>
      <c r="F60" s="132">
        <v>8597.2000000000007</v>
      </c>
      <c r="G60" s="85">
        <v>16815</v>
      </c>
      <c r="H60" s="86">
        <v>0.93037214885953734</v>
      </c>
      <c r="I60" s="132">
        <v>1.9558693528125435</v>
      </c>
      <c r="J60" s="85">
        <v>8279</v>
      </c>
      <c r="K60" s="173">
        <v>49.23580136782634</v>
      </c>
      <c r="L60" s="85">
        <v>8536</v>
      </c>
      <c r="M60" s="173">
        <v>50.764198632173652</v>
      </c>
      <c r="N60" s="161">
        <v>27.005649717514125</v>
      </c>
      <c r="O60" s="161">
        <v>46.12548319952424</v>
      </c>
      <c r="P60" s="161">
        <v>26.868867082961639</v>
      </c>
      <c r="Q60" s="161">
        <v>38.251561106155222</v>
      </c>
      <c r="R60" s="159">
        <v>34.879571810883142</v>
      </c>
      <c r="S60" s="160">
        <v>26.868867082961639</v>
      </c>
      <c r="T60" s="84">
        <v>8.5</v>
      </c>
      <c r="U60" s="84">
        <v>3.1</v>
      </c>
      <c r="V60" s="89">
        <v>11</v>
      </c>
      <c r="W60" s="90">
        <v>8.4</v>
      </c>
      <c r="X60" s="148">
        <v>43637</v>
      </c>
      <c r="Y60" s="89">
        <v>2.4</v>
      </c>
      <c r="Z60" s="89" t="s">
        <v>340</v>
      </c>
      <c r="AA60" s="85">
        <v>1705</v>
      </c>
      <c r="AB60" s="110" t="s">
        <v>355</v>
      </c>
      <c r="AC60" s="110" t="s">
        <v>355</v>
      </c>
      <c r="AD60" s="110" t="s">
        <v>355</v>
      </c>
      <c r="AE60" s="110" t="s">
        <v>355</v>
      </c>
      <c r="AF60" s="84">
        <v>18.010000000000002</v>
      </c>
      <c r="AG60" s="84">
        <v>11.71</v>
      </c>
      <c r="AH60" s="84">
        <v>63.57</v>
      </c>
      <c r="AI60" s="86">
        <v>36.425251882615022</v>
      </c>
      <c r="AJ60" s="84">
        <v>5.69</v>
      </c>
      <c r="AK60" s="84">
        <v>18.88</v>
      </c>
      <c r="AL60" s="84">
        <v>1.8864998966301425</v>
      </c>
      <c r="AM60" s="84">
        <v>26.6</v>
      </c>
      <c r="AN60" s="85">
        <v>31728</v>
      </c>
      <c r="AO60" s="85">
        <v>38696</v>
      </c>
      <c r="AP60" s="85">
        <v>5172</v>
      </c>
      <c r="AQ60" s="135">
        <v>855.01735824103162</v>
      </c>
      <c r="AR60" s="85">
        <v>6049</v>
      </c>
      <c r="AS60" s="85">
        <v>3683</v>
      </c>
      <c r="AT60" s="135">
        <v>2714.0751658069271</v>
      </c>
      <c r="AU60" s="85">
        <v>1357</v>
      </c>
      <c r="AV60" s="85">
        <v>2275</v>
      </c>
      <c r="AW60" s="135">
        <v>4012.3456790123455</v>
      </c>
      <c r="AX60" s="85">
        <v>567</v>
      </c>
      <c r="AY60" s="135" t="s">
        <v>379</v>
      </c>
      <c r="AZ60" s="135" t="s">
        <v>379</v>
      </c>
      <c r="BA60" s="89">
        <v>0</v>
      </c>
      <c r="BB60" s="87">
        <v>120.24031428571429</v>
      </c>
      <c r="BC60" s="91">
        <v>26.434121342370641</v>
      </c>
      <c r="BD60" s="85">
        <v>2829</v>
      </c>
      <c r="BE60" s="92">
        <v>8.9164145234493191</v>
      </c>
      <c r="BF60" s="85">
        <v>8200</v>
      </c>
      <c r="BG60" s="92">
        <v>25.844679778113971</v>
      </c>
      <c r="BH60" s="85">
        <v>3729</v>
      </c>
      <c r="BI60" s="92">
        <v>11.753025718608169</v>
      </c>
      <c r="BJ60" s="85">
        <v>1539</v>
      </c>
      <c r="BK60" s="92">
        <v>4.8506051437216344</v>
      </c>
      <c r="BL60" s="85">
        <v>3100</v>
      </c>
      <c r="BM60" s="92">
        <v>9.7705496722138179</v>
      </c>
      <c r="BN60" s="85">
        <v>8941</v>
      </c>
      <c r="BO60" s="92">
        <v>28.180156328794752</v>
      </c>
      <c r="BP60" s="85">
        <v>3390</v>
      </c>
      <c r="BQ60" s="92">
        <v>10.684568835098336</v>
      </c>
      <c r="BR60" s="165">
        <v>168.24264049955397</v>
      </c>
      <c r="BS60" s="165">
        <v>221.76628010704727</v>
      </c>
      <c r="BT60" s="111">
        <v>437.76390127862027</v>
      </c>
      <c r="BU60" s="165">
        <v>91.525423728813564</v>
      </c>
      <c r="BV60" s="165">
        <v>129.11091287540887</v>
      </c>
      <c r="BW60" s="165">
        <v>49.895926256318766</v>
      </c>
      <c r="BX60" s="165">
        <v>201.60570918822481</v>
      </c>
      <c r="BY60" s="112">
        <v>55.248290217068096</v>
      </c>
      <c r="BZ60" s="165">
        <v>531.72762414510851</v>
      </c>
      <c r="CA60" s="110" t="s">
        <v>355</v>
      </c>
      <c r="CB60" s="112">
        <v>526.88673248866473</v>
      </c>
      <c r="CC60" s="110" t="s">
        <v>355</v>
      </c>
      <c r="CD60" s="110" t="s">
        <v>355</v>
      </c>
      <c r="CE60" s="110" t="s">
        <v>355</v>
      </c>
      <c r="CF60" s="110" t="s">
        <v>355</v>
      </c>
      <c r="CG60" s="110" t="s">
        <v>355</v>
      </c>
      <c r="CH60" s="110" t="s">
        <v>355</v>
      </c>
      <c r="CI60" s="110" t="s">
        <v>355</v>
      </c>
      <c r="CJ60" s="87">
        <v>12355</v>
      </c>
      <c r="CK60" s="92">
        <v>49.170376365843786</v>
      </c>
      <c r="CL60" s="139">
        <v>2139.6200000000003</v>
      </c>
      <c r="CM60" s="139">
        <v>127.24472197442762</v>
      </c>
      <c r="CN60" s="139">
        <v>260.3</v>
      </c>
      <c r="CO60" s="115">
        <v>2</v>
      </c>
      <c r="CP60" s="115">
        <v>15</v>
      </c>
      <c r="CQ60" s="110">
        <v>1</v>
      </c>
      <c r="CR60" s="86">
        <v>8.251370679380214</v>
      </c>
      <c r="CS60" s="85">
        <v>6373</v>
      </c>
      <c r="CT60" s="85">
        <v>6776</v>
      </c>
      <c r="CU60" s="84">
        <v>94.05</v>
      </c>
      <c r="CV60" s="84">
        <v>115.27</v>
      </c>
      <c r="CW60" s="84">
        <v>0.86</v>
      </c>
      <c r="CX60" s="115" t="s">
        <v>339</v>
      </c>
      <c r="CY60" s="114">
        <v>27000</v>
      </c>
      <c r="CZ60" s="129">
        <v>131000</v>
      </c>
      <c r="DA60" s="129">
        <v>0</v>
      </c>
      <c r="DB60" s="129">
        <v>12000</v>
      </c>
      <c r="DC60" s="129">
        <v>1000</v>
      </c>
      <c r="DD60" s="129">
        <v>332042</v>
      </c>
      <c r="DE60" s="87">
        <v>0</v>
      </c>
      <c r="DF60" s="87">
        <v>0</v>
      </c>
      <c r="DG60" s="114">
        <v>0</v>
      </c>
      <c r="DH60" s="163">
        <v>9</v>
      </c>
      <c r="DI60" s="114">
        <v>1868.3333333333333</v>
      </c>
      <c r="DJ60" s="114">
        <v>33</v>
      </c>
      <c r="DK60" s="114">
        <v>67</v>
      </c>
      <c r="DL60" s="114">
        <v>0</v>
      </c>
      <c r="DM60" s="114">
        <v>0</v>
      </c>
      <c r="DN60" s="114">
        <v>0</v>
      </c>
      <c r="DO60" s="114">
        <v>33.333333333333329</v>
      </c>
      <c r="DP60" s="114">
        <v>66.666666666666657</v>
      </c>
      <c r="DQ60" s="88">
        <v>195</v>
      </c>
      <c r="DR60" s="147">
        <v>86.230769230769226</v>
      </c>
      <c r="DT60" s="55"/>
      <c r="DU60" s="55"/>
    </row>
    <row r="61" spans="1:125" s="32" customFormat="1" ht="15" customHeight="1" thickBot="1">
      <c r="A61" s="100" t="s">
        <v>281</v>
      </c>
      <c r="B61" s="184">
        <v>2017</v>
      </c>
      <c r="C61" s="109">
        <v>10</v>
      </c>
      <c r="D61" s="83" t="s">
        <v>350</v>
      </c>
      <c r="E61" s="83" t="s">
        <v>411</v>
      </c>
      <c r="F61" s="132">
        <v>2030</v>
      </c>
      <c r="G61" s="85">
        <v>6511</v>
      </c>
      <c r="H61" s="86">
        <v>6.2673412763179392</v>
      </c>
      <c r="I61" s="132">
        <v>3.2073891625615762</v>
      </c>
      <c r="J61" s="85">
        <v>3744</v>
      </c>
      <c r="K61" s="173">
        <v>57.502687759176773</v>
      </c>
      <c r="L61" s="85">
        <v>2767</v>
      </c>
      <c r="M61" s="173">
        <v>42.49731224082322</v>
      </c>
      <c r="N61" s="161">
        <v>22.776839195208108</v>
      </c>
      <c r="O61" s="161">
        <v>55.506066656427592</v>
      </c>
      <c r="P61" s="161">
        <v>21.717094148364307</v>
      </c>
      <c r="Q61" s="161">
        <v>36.922131776992785</v>
      </c>
      <c r="R61" s="159">
        <v>41.360774074642912</v>
      </c>
      <c r="S61" s="160">
        <v>21.717094148364307</v>
      </c>
      <c r="T61" s="84">
        <v>7.8</v>
      </c>
      <c r="U61" s="84">
        <v>3.1</v>
      </c>
      <c r="V61" s="89">
        <v>29</v>
      </c>
      <c r="W61" s="90">
        <v>5.5</v>
      </c>
      <c r="X61" s="148">
        <v>48872</v>
      </c>
      <c r="Y61" s="89">
        <v>2.5</v>
      </c>
      <c r="Z61" s="89" t="s">
        <v>342</v>
      </c>
      <c r="AA61" s="85">
        <v>479</v>
      </c>
      <c r="AB61" s="110" t="s">
        <v>355</v>
      </c>
      <c r="AC61" s="110" t="s">
        <v>355</v>
      </c>
      <c r="AD61" s="110" t="s">
        <v>355</v>
      </c>
      <c r="AE61" s="110" t="s">
        <v>355</v>
      </c>
      <c r="AF61" s="84">
        <v>2.23</v>
      </c>
      <c r="AG61" s="84">
        <v>1.1399999999999999</v>
      </c>
      <c r="AH61" s="84">
        <v>59.22</v>
      </c>
      <c r="AI61" s="86">
        <v>40.780525031151107</v>
      </c>
      <c r="AJ61" s="84">
        <v>8.7200000000000006</v>
      </c>
      <c r="AK61" s="84">
        <v>2.92</v>
      </c>
      <c r="AL61" s="84">
        <v>6.8904926262943196</v>
      </c>
      <c r="AM61" s="84">
        <v>4.2699999999999996</v>
      </c>
      <c r="AN61" s="85">
        <v>15580</v>
      </c>
      <c r="AO61" s="85">
        <v>15935</v>
      </c>
      <c r="AP61" s="85">
        <v>1533</v>
      </c>
      <c r="AQ61" s="135">
        <v>739.50795947901588</v>
      </c>
      <c r="AR61" s="85">
        <v>2073</v>
      </c>
      <c r="AS61" s="85">
        <v>1896</v>
      </c>
      <c r="AT61" s="135">
        <v>3067.9611650485435</v>
      </c>
      <c r="AU61" s="85">
        <v>618</v>
      </c>
      <c r="AV61" s="85">
        <v>356</v>
      </c>
      <c r="AW61" s="135">
        <v>1854.1666666666667</v>
      </c>
      <c r="AX61" s="85">
        <v>192</v>
      </c>
      <c r="AY61" s="135" t="s">
        <v>379</v>
      </c>
      <c r="AZ61" s="135" t="s">
        <v>379</v>
      </c>
      <c r="BA61" s="89">
        <v>0</v>
      </c>
      <c r="BB61" s="87">
        <v>189.98287450462351</v>
      </c>
      <c r="BC61" s="91">
        <v>22.672455378678244</v>
      </c>
      <c r="BD61" s="85">
        <v>1039</v>
      </c>
      <c r="BE61" s="92">
        <v>6.5705432239296782</v>
      </c>
      <c r="BF61" s="85">
        <v>1115</v>
      </c>
      <c r="BG61" s="92">
        <v>7.0511604376146204</v>
      </c>
      <c r="BH61" s="85">
        <v>1134</v>
      </c>
      <c r="BI61" s="92">
        <v>7.1713147410358573</v>
      </c>
      <c r="BJ61" s="85">
        <v>1991</v>
      </c>
      <c r="BK61" s="92">
        <v>12.590906216404225</v>
      </c>
      <c r="BL61" s="85">
        <v>2254</v>
      </c>
      <c r="BM61" s="92">
        <v>14.254094732182383</v>
      </c>
      <c r="BN61" s="85">
        <v>3638</v>
      </c>
      <c r="BO61" s="92">
        <v>23.006387149813445</v>
      </c>
      <c r="BP61" s="85">
        <v>4642</v>
      </c>
      <c r="BQ61" s="92">
        <v>29.355593499019793</v>
      </c>
      <c r="BR61" s="165">
        <v>159.57610198126247</v>
      </c>
      <c r="BS61" s="165">
        <v>174.16679465519888</v>
      </c>
      <c r="BT61" s="111">
        <v>110.73567808324374</v>
      </c>
      <c r="BU61" s="165">
        <v>305.79020119797264</v>
      </c>
      <c r="BV61" s="165">
        <v>278.605436952849</v>
      </c>
      <c r="BW61" s="165">
        <v>60.512978037167869</v>
      </c>
      <c r="BX61" s="165">
        <v>712.9473199201351</v>
      </c>
      <c r="BY61" s="112">
        <v>67.577945016126549</v>
      </c>
      <c r="BZ61" s="165">
        <v>558.74673629242818</v>
      </c>
      <c r="CA61" s="110" t="s">
        <v>355</v>
      </c>
      <c r="CB61" s="112">
        <v>333.93949413126137</v>
      </c>
      <c r="CC61" s="110" t="s">
        <v>355</v>
      </c>
      <c r="CD61" s="110" t="s">
        <v>355</v>
      </c>
      <c r="CE61" s="110" t="s">
        <v>355</v>
      </c>
      <c r="CF61" s="110" t="s">
        <v>355</v>
      </c>
      <c r="CG61" s="110" t="s">
        <v>355</v>
      </c>
      <c r="CH61" s="110" t="s">
        <v>355</v>
      </c>
      <c r="CI61" s="110" t="s">
        <v>355</v>
      </c>
      <c r="CJ61" s="87">
        <v>3702</v>
      </c>
      <c r="CK61" s="92">
        <v>44.354403025391683</v>
      </c>
      <c r="CL61" s="139">
        <v>877.95</v>
      </c>
      <c r="CM61" s="139">
        <v>134.84103824297344</v>
      </c>
      <c r="CN61" s="139">
        <v>16.37</v>
      </c>
      <c r="CO61" s="115">
        <v>1</v>
      </c>
      <c r="CP61" s="115">
        <v>2</v>
      </c>
      <c r="CQ61" s="110">
        <v>1</v>
      </c>
      <c r="CR61" s="86">
        <v>3.7981693363844395</v>
      </c>
      <c r="CS61" s="85">
        <v>1113</v>
      </c>
      <c r="CT61" s="85">
        <v>874.6</v>
      </c>
      <c r="CU61" s="84">
        <v>127.26</v>
      </c>
      <c r="CV61" s="84">
        <v>86.14</v>
      </c>
      <c r="CW61" s="84">
        <v>2.69</v>
      </c>
      <c r="CX61" s="115" t="s">
        <v>339</v>
      </c>
      <c r="CY61" s="114">
        <v>1000</v>
      </c>
      <c r="CZ61" s="129">
        <v>99000</v>
      </c>
      <c r="DA61" s="129">
        <v>0</v>
      </c>
      <c r="DB61" s="129">
        <v>2000</v>
      </c>
      <c r="DC61" s="129">
        <v>0</v>
      </c>
      <c r="DD61" s="129">
        <v>206777</v>
      </c>
      <c r="DE61" s="87">
        <v>0</v>
      </c>
      <c r="DF61" s="87">
        <v>0</v>
      </c>
      <c r="DG61" s="114">
        <v>0</v>
      </c>
      <c r="DH61" s="162">
        <v>9</v>
      </c>
      <c r="DI61" s="114">
        <v>723.44444444444446</v>
      </c>
      <c r="DJ61" s="114">
        <v>22</v>
      </c>
      <c r="DK61" s="114">
        <v>78</v>
      </c>
      <c r="DL61" s="114">
        <v>0</v>
      </c>
      <c r="DM61" s="114">
        <v>0</v>
      </c>
      <c r="DN61" s="114">
        <v>0</v>
      </c>
      <c r="DO61" s="114">
        <v>78</v>
      </c>
      <c r="DP61" s="114">
        <v>22</v>
      </c>
      <c r="DQ61" s="88">
        <v>60</v>
      </c>
      <c r="DR61" s="147">
        <v>108.51666666666667</v>
      </c>
      <c r="DT61" s="55"/>
      <c r="DU61" s="55"/>
    </row>
    <row r="62" spans="1:125" s="32" customFormat="1" ht="15" customHeight="1" thickBot="1">
      <c r="A62" s="100" t="s">
        <v>282</v>
      </c>
      <c r="B62" s="184">
        <v>2017</v>
      </c>
      <c r="C62" s="109">
        <v>4</v>
      </c>
      <c r="D62" s="83" t="s">
        <v>347</v>
      </c>
      <c r="E62" s="83" t="s">
        <v>410</v>
      </c>
      <c r="F62" s="132">
        <v>3375.7</v>
      </c>
      <c r="G62" s="85">
        <v>29534</v>
      </c>
      <c r="H62" s="86">
        <v>1.1507637509418522</v>
      </c>
      <c r="I62" s="132">
        <v>8.7490002073643982</v>
      </c>
      <c r="J62" s="85">
        <v>14924</v>
      </c>
      <c r="K62" s="173">
        <v>50.531590709013344</v>
      </c>
      <c r="L62" s="85">
        <v>14610</v>
      </c>
      <c r="M62" s="173">
        <v>49.468409290986656</v>
      </c>
      <c r="N62" s="161">
        <v>23.349360059592332</v>
      </c>
      <c r="O62" s="161">
        <v>44.927879731834494</v>
      </c>
      <c r="P62" s="161">
        <v>31.72276020857317</v>
      </c>
      <c r="Q62" s="161">
        <v>33.053429945147968</v>
      </c>
      <c r="R62" s="159">
        <v>35.223809846278861</v>
      </c>
      <c r="S62" s="160">
        <v>31.72276020857317</v>
      </c>
      <c r="T62" s="84">
        <v>11.6</v>
      </c>
      <c r="U62" s="84">
        <v>2.2999999999999998</v>
      </c>
      <c r="V62" s="89">
        <v>4</v>
      </c>
      <c r="W62" s="90">
        <v>5.7</v>
      </c>
      <c r="X62" s="148">
        <v>43689</v>
      </c>
      <c r="Y62" s="89">
        <v>2.4</v>
      </c>
      <c r="Z62" s="89" t="s">
        <v>340</v>
      </c>
      <c r="AA62" s="85">
        <v>2174</v>
      </c>
      <c r="AB62" s="110" t="s">
        <v>355</v>
      </c>
      <c r="AC62" s="110" t="s">
        <v>355</v>
      </c>
      <c r="AD62" s="110" t="s">
        <v>355</v>
      </c>
      <c r="AE62" s="110" t="s">
        <v>355</v>
      </c>
      <c r="AF62" s="84">
        <v>3.15</v>
      </c>
      <c r="AG62" s="84">
        <v>2.5099999999999998</v>
      </c>
      <c r="AH62" s="84">
        <v>39.299999999999997</v>
      </c>
      <c r="AI62" s="86">
        <v>60.703410990181951</v>
      </c>
      <c r="AJ62" s="84">
        <v>6.1</v>
      </c>
      <c r="AK62" s="84">
        <v>4.3499999999999996</v>
      </c>
      <c r="AL62" s="84">
        <v>9.3242521001493746</v>
      </c>
      <c r="AM62" s="84">
        <v>11.03</v>
      </c>
      <c r="AN62" s="85">
        <v>70673</v>
      </c>
      <c r="AO62" s="85">
        <v>72971</v>
      </c>
      <c r="AP62" s="85">
        <v>13505</v>
      </c>
      <c r="AQ62" s="135">
        <v>1078.6741214057508</v>
      </c>
      <c r="AR62" s="85">
        <v>12520</v>
      </c>
      <c r="AS62" s="85">
        <v>3067</v>
      </c>
      <c r="AT62" s="135">
        <v>2118.0939226519336</v>
      </c>
      <c r="AU62" s="85">
        <v>1448</v>
      </c>
      <c r="AV62" s="85">
        <v>1976</v>
      </c>
      <c r="AW62" s="135">
        <v>2466.916354556804</v>
      </c>
      <c r="AX62" s="85">
        <v>801</v>
      </c>
      <c r="AY62" s="135" t="s">
        <v>379</v>
      </c>
      <c r="AZ62" s="135" t="s">
        <v>379</v>
      </c>
      <c r="BA62" s="89">
        <v>0</v>
      </c>
      <c r="BB62" s="87">
        <v>117.51468217597585</v>
      </c>
      <c r="BC62" s="91">
        <v>30.583067092651756</v>
      </c>
      <c r="BD62" s="85">
        <v>13490</v>
      </c>
      <c r="BE62" s="92">
        <v>17.806230200633578</v>
      </c>
      <c r="BF62" s="85">
        <v>26967</v>
      </c>
      <c r="BG62" s="92">
        <v>35.595300950369591</v>
      </c>
      <c r="BH62" s="85">
        <v>9093</v>
      </c>
      <c r="BI62" s="92">
        <v>12.002375923970433</v>
      </c>
      <c r="BJ62" s="85">
        <v>2267</v>
      </c>
      <c r="BK62" s="92">
        <v>2.9923442449841606</v>
      </c>
      <c r="BL62" s="85">
        <v>4566</v>
      </c>
      <c r="BM62" s="92">
        <v>6.0269271383315735</v>
      </c>
      <c r="BN62" s="85">
        <v>15865</v>
      </c>
      <c r="BO62" s="92">
        <v>20.941129883843718</v>
      </c>
      <c r="BP62" s="85">
        <v>3512</v>
      </c>
      <c r="BQ62" s="92">
        <v>4.6356916578669489</v>
      </c>
      <c r="BR62" s="165">
        <v>456.7616983815264</v>
      </c>
      <c r="BS62" s="165">
        <v>307.88244057696215</v>
      </c>
      <c r="BT62" s="111">
        <v>873.09541545337572</v>
      </c>
      <c r="BU62" s="165">
        <v>76.758989639060061</v>
      </c>
      <c r="BV62" s="165">
        <v>123.85724927202546</v>
      </c>
      <c r="BW62" s="165">
        <v>39.987810658901608</v>
      </c>
      <c r="BX62" s="165">
        <v>118.91379427100968</v>
      </c>
      <c r="BY62" s="112">
        <v>30.744226992618678</v>
      </c>
      <c r="BZ62" s="165">
        <v>537.17749035010502</v>
      </c>
      <c r="CA62" s="110" t="s">
        <v>355</v>
      </c>
      <c r="CB62" s="112">
        <v>341.05161601543659</v>
      </c>
      <c r="CC62" s="110" t="s">
        <v>355</v>
      </c>
      <c r="CD62" s="110" t="s">
        <v>355</v>
      </c>
      <c r="CE62" s="110" t="s">
        <v>355</v>
      </c>
      <c r="CF62" s="110" t="s">
        <v>355</v>
      </c>
      <c r="CG62" s="110" t="s">
        <v>355</v>
      </c>
      <c r="CH62" s="110" t="s">
        <v>355</v>
      </c>
      <c r="CI62" s="110" t="s">
        <v>355</v>
      </c>
      <c r="CJ62" s="87">
        <v>17790</v>
      </c>
      <c r="CK62" s="92">
        <v>49.156829679595276</v>
      </c>
      <c r="CL62" s="139">
        <v>1221.7</v>
      </c>
      <c r="CM62" s="139">
        <v>41.365883388636824</v>
      </c>
      <c r="CN62" s="139">
        <v>615.52</v>
      </c>
      <c r="CO62" s="115">
        <v>4</v>
      </c>
      <c r="CP62" s="115">
        <v>15</v>
      </c>
      <c r="CQ62" s="110">
        <v>3</v>
      </c>
      <c r="CR62" s="86">
        <v>6.6594664138678219</v>
      </c>
      <c r="CS62" s="85">
        <v>13136</v>
      </c>
      <c r="CT62" s="85">
        <v>15272</v>
      </c>
      <c r="CU62" s="84">
        <v>86.01</v>
      </c>
      <c r="CV62" s="84">
        <v>59.09</v>
      </c>
      <c r="CW62" s="84">
        <v>6.74</v>
      </c>
      <c r="CX62" s="115" t="s">
        <v>339</v>
      </c>
      <c r="CY62" s="114">
        <v>52000</v>
      </c>
      <c r="CZ62" s="129">
        <v>219000</v>
      </c>
      <c r="DA62" s="129">
        <v>0</v>
      </c>
      <c r="DB62" s="129">
        <v>13000</v>
      </c>
      <c r="DC62" s="129">
        <v>0</v>
      </c>
      <c r="DD62" s="129">
        <v>274809</v>
      </c>
      <c r="DE62" s="87">
        <v>7</v>
      </c>
      <c r="DF62" s="87">
        <v>15402</v>
      </c>
      <c r="DG62" s="114">
        <v>0</v>
      </c>
      <c r="DH62" s="162">
        <v>9</v>
      </c>
      <c r="DI62" s="114">
        <v>3281.5555555555557</v>
      </c>
      <c r="DJ62" s="114">
        <v>33</v>
      </c>
      <c r="DK62" s="114">
        <v>67</v>
      </c>
      <c r="DL62" s="114">
        <v>0</v>
      </c>
      <c r="DM62" s="114">
        <v>0</v>
      </c>
      <c r="DN62" s="114">
        <v>11</v>
      </c>
      <c r="DO62" s="114">
        <v>67</v>
      </c>
      <c r="DP62" s="114">
        <v>22</v>
      </c>
      <c r="DQ62" s="88">
        <v>269</v>
      </c>
      <c r="DR62" s="147">
        <v>109.7918215613383</v>
      </c>
      <c r="DT62" s="55"/>
      <c r="DU62" s="55"/>
    </row>
    <row r="63" spans="1:125" s="32" customFormat="1" ht="15" customHeight="1" thickBot="1">
      <c r="A63" s="100" t="s">
        <v>283</v>
      </c>
      <c r="B63" s="184">
        <v>2017</v>
      </c>
      <c r="C63" s="109">
        <v>4</v>
      </c>
      <c r="D63" s="83" t="s">
        <v>347</v>
      </c>
      <c r="E63" s="83" t="s">
        <v>415</v>
      </c>
      <c r="F63" s="132">
        <v>257.7</v>
      </c>
      <c r="G63" s="85">
        <v>22450</v>
      </c>
      <c r="H63" s="86">
        <v>7.792769001776545</v>
      </c>
      <c r="I63" s="132">
        <v>87.116802483507954</v>
      </c>
      <c r="J63" s="85">
        <v>11026</v>
      </c>
      <c r="K63" s="173">
        <v>49.113585746102451</v>
      </c>
      <c r="L63" s="85">
        <v>11424</v>
      </c>
      <c r="M63" s="173">
        <v>50.886414253897549</v>
      </c>
      <c r="N63" s="161">
        <v>23.13140311804009</v>
      </c>
      <c r="O63" s="161">
        <v>45.719376391982181</v>
      </c>
      <c r="P63" s="161">
        <v>31.149220489977729</v>
      </c>
      <c r="Q63" s="161">
        <v>32.8641425389755</v>
      </c>
      <c r="R63" s="159">
        <v>35.986636971046771</v>
      </c>
      <c r="S63" s="160">
        <v>31.149220489977729</v>
      </c>
      <c r="T63" s="84">
        <v>1.8</v>
      </c>
      <c r="U63" s="84">
        <v>4.3</v>
      </c>
      <c r="V63" s="89">
        <v>108</v>
      </c>
      <c r="W63" s="90">
        <v>1.9</v>
      </c>
      <c r="X63" s="148">
        <v>60565</v>
      </c>
      <c r="Y63" s="89">
        <v>2.5</v>
      </c>
      <c r="Z63" s="89" t="s">
        <v>340</v>
      </c>
      <c r="AA63" s="85">
        <v>1873</v>
      </c>
      <c r="AB63" s="110" t="s">
        <v>355</v>
      </c>
      <c r="AC63" s="110" t="s">
        <v>355</v>
      </c>
      <c r="AD63" s="110" t="s">
        <v>355</v>
      </c>
      <c r="AE63" s="110" t="s">
        <v>355</v>
      </c>
      <c r="AF63" s="84">
        <v>-1.61</v>
      </c>
      <c r="AG63" s="84">
        <v>2.58</v>
      </c>
      <c r="AH63" s="84">
        <v>78.41</v>
      </c>
      <c r="AI63" s="86">
        <v>21.578426198716564</v>
      </c>
      <c r="AJ63" s="84">
        <v>1.55</v>
      </c>
      <c r="AK63" s="84">
        <v>10.73</v>
      </c>
      <c r="AL63" s="84">
        <v>1.0312482858239931</v>
      </c>
      <c r="AM63" s="84">
        <v>9.09</v>
      </c>
      <c r="AN63" s="85">
        <v>55569</v>
      </c>
      <c r="AO63" s="85">
        <v>54716</v>
      </c>
      <c r="AP63" s="85">
        <v>13441</v>
      </c>
      <c r="AQ63" s="135">
        <v>1382.2501028383381</v>
      </c>
      <c r="AR63" s="85">
        <v>9724</v>
      </c>
      <c r="AS63" s="85">
        <v>573</v>
      </c>
      <c r="AT63" s="135">
        <v>2459.2274678111589</v>
      </c>
      <c r="AU63" s="85">
        <v>233</v>
      </c>
      <c r="AV63" s="85">
        <v>1176</v>
      </c>
      <c r="AW63" s="135">
        <v>2118.9189189189187</v>
      </c>
      <c r="AX63" s="85">
        <v>555</v>
      </c>
      <c r="AY63" s="135" t="s">
        <v>379</v>
      </c>
      <c r="AZ63" s="135" t="s">
        <v>379</v>
      </c>
      <c r="BA63" s="89">
        <v>0</v>
      </c>
      <c r="BB63" s="87">
        <v>309.6621921658986</v>
      </c>
      <c r="BC63" s="91">
        <v>16.978609625668451</v>
      </c>
      <c r="BD63" s="85">
        <v>14540</v>
      </c>
      <c r="BE63" s="92">
        <v>26.171790625674994</v>
      </c>
      <c r="BF63" s="85">
        <v>1883</v>
      </c>
      <c r="BG63" s="92">
        <v>3.3893728850169196</v>
      </c>
      <c r="BH63" s="85">
        <v>5771</v>
      </c>
      <c r="BI63" s="92">
        <v>10.387716898264813</v>
      </c>
      <c r="BJ63" s="85">
        <v>14372</v>
      </c>
      <c r="BK63" s="92">
        <v>25.869393044855642</v>
      </c>
      <c r="BL63" s="85">
        <v>5597</v>
      </c>
      <c r="BM63" s="92">
        <v>10.074519403844768</v>
      </c>
      <c r="BN63" s="85">
        <v>2853</v>
      </c>
      <c r="BO63" s="92">
        <v>5.1353589171286629</v>
      </c>
      <c r="BP63" s="85">
        <v>10540</v>
      </c>
      <c r="BQ63" s="92">
        <v>18.971848225214199</v>
      </c>
      <c r="BR63" s="165">
        <v>647.66146993318489</v>
      </c>
      <c r="BS63" s="165">
        <v>257.06013363028956</v>
      </c>
      <c r="BT63" s="111">
        <v>0</v>
      </c>
      <c r="BU63" s="165">
        <v>640.17817371937645</v>
      </c>
      <c r="BV63" s="165">
        <v>200.66815144766147</v>
      </c>
      <c r="BW63" s="165">
        <v>83.875278396436528</v>
      </c>
      <c r="BX63" s="165">
        <v>469.48775055679289</v>
      </c>
      <c r="BY63" s="112">
        <v>48.641425389755014</v>
      </c>
      <c r="BZ63" s="165">
        <v>127.08240534521158</v>
      </c>
      <c r="CA63" s="110" t="s">
        <v>355</v>
      </c>
      <c r="CB63" s="112">
        <v>357.50798722044726</v>
      </c>
      <c r="CC63" s="110" t="s">
        <v>355</v>
      </c>
      <c r="CD63" s="110" t="s">
        <v>355</v>
      </c>
      <c r="CE63" s="110" t="s">
        <v>355</v>
      </c>
      <c r="CF63" s="110" t="s">
        <v>355</v>
      </c>
      <c r="CG63" s="110" t="s">
        <v>355</v>
      </c>
      <c r="CH63" s="110" t="s">
        <v>355</v>
      </c>
      <c r="CI63" s="110" t="s">
        <v>355</v>
      </c>
      <c r="CJ63" s="87">
        <v>9120</v>
      </c>
      <c r="CK63" s="92">
        <v>80.997807017543849</v>
      </c>
      <c r="CL63" s="139">
        <v>274.07600000000002</v>
      </c>
      <c r="CM63" s="139">
        <v>12.208285077951002</v>
      </c>
      <c r="CN63" s="139">
        <v>345.2</v>
      </c>
      <c r="CO63" s="115">
        <v>6</v>
      </c>
      <c r="CP63" s="115">
        <v>20</v>
      </c>
      <c r="CQ63" s="110">
        <v>2</v>
      </c>
      <c r="CR63" s="86">
        <v>6.3010992939494148</v>
      </c>
      <c r="CS63" s="85">
        <v>4730</v>
      </c>
      <c r="CT63" s="85">
        <v>5019</v>
      </c>
      <c r="CU63" s="84">
        <v>94.24</v>
      </c>
      <c r="CV63" s="84">
        <v>69.72</v>
      </c>
      <c r="CW63" s="84">
        <v>1.63</v>
      </c>
      <c r="CX63" s="115" t="s">
        <v>339</v>
      </c>
      <c r="CY63" s="114">
        <v>76000</v>
      </c>
      <c r="CZ63" s="129">
        <v>212000</v>
      </c>
      <c r="DA63" s="129">
        <v>0</v>
      </c>
      <c r="DB63" s="129">
        <v>27616</v>
      </c>
      <c r="DC63" s="129">
        <v>9672</v>
      </c>
      <c r="DD63" s="129">
        <v>302576</v>
      </c>
      <c r="DE63" s="87">
        <v>1</v>
      </c>
      <c r="DF63" s="87">
        <v>6260</v>
      </c>
      <c r="DG63" s="114">
        <v>1</v>
      </c>
      <c r="DH63" s="162">
        <v>9</v>
      </c>
      <c r="DI63" s="114">
        <v>2494.4444444444443</v>
      </c>
      <c r="DJ63" s="114">
        <v>11.111111111111111</v>
      </c>
      <c r="DK63" s="114">
        <v>88.888888888888886</v>
      </c>
      <c r="DL63" s="114">
        <v>0</v>
      </c>
      <c r="DM63" s="114">
        <v>0</v>
      </c>
      <c r="DN63" s="114">
        <v>0</v>
      </c>
      <c r="DO63" s="114">
        <v>33</v>
      </c>
      <c r="DP63" s="114">
        <v>67</v>
      </c>
      <c r="DQ63" s="88">
        <v>292</v>
      </c>
      <c r="DR63" s="147">
        <v>76.88356164383562</v>
      </c>
      <c r="DT63" s="55"/>
      <c r="DU63" s="55"/>
    </row>
    <row r="64" spans="1:125" s="32" customFormat="1" ht="15" customHeight="1" thickBot="1">
      <c r="A64" s="100" t="s">
        <v>284</v>
      </c>
      <c r="B64" s="184">
        <v>2017</v>
      </c>
      <c r="C64" s="109">
        <v>3</v>
      </c>
      <c r="D64" s="83" t="s">
        <v>349</v>
      </c>
      <c r="E64" s="83"/>
      <c r="F64" s="132">
        <v>85.4</v>
      </c>
      <c r="G64" s="85">
        <v>124444</v>
      </c>
      <c r="H64" s="86">
        <v>6.7941335484480003</v>
      </c>
      <c r="I64" s="132">
        <v>1457.1896955503512</v>
      </c>
      <c r="J64" s="85">
        <v>60125</v>
      </c>
      <c r="K64" s="173">
        <v>48.314904696088199</v>
      </c>
      <c r="L64" s="85">
        <v>64319</v>
      </c>
      <c r="M64" s="173">
        <v>51.685095303911801</v>
      </c>
      <c r="N64" s="161">
        <v>28.153225547234094</v>
      </c>
      <c r="O64" s="161">
        <v>48.952942689081027</v>
      </c>
      <c r="P64" s="161">
        <v>22.893831763684872</v>
      </c>
      <c r="Q64" s="161">
        <v>38.289511748256245</v>
      </c>
      <c r="R64" s="159">
        <v>38.816656488058889</v>
      </c>
      <c r="S64" s="160">
        <v>22.893831763684872</v>
      </c>
      <c r="T64" s="84">
        <v>0.2</v>
      </c>
      <c r="U64" s="84">
        <v>27.7</v>
      </c>
      <c r="V64" s="89">
        <v>130</v>
      </c>
      <c r="W64" s="90">
        <v>2.6</v>
      </c>
      <c r="X64" s="148">
        <v>99236</v>
      </c>
      <c r="Y64" s="89">
        <v>2.9</v>
      </c>
      <c r="Z64" s="89" t="s">
        <v>344</v>
      </c>
      <c r="AA64" s="85">
        <v>14397</v>
      </c>
      <c r="AB64" s="110" t="s">
        <v>355</v>
      </c>
      <c r="AC64" s="110" t="s">
        <v>355</v>
      </c>
      <c r="AD64" s="110" t="s">
        <v>355</v>
      </c>
      <c r="AE64" s="110" t="s">
        <v>355</v>
      </c>
      <c r="AF64" s="84">
        <v>4.01</v>
      </c>
      <c r="AG64" s="84">
        <v>3.05</v>
      </c>
      <c r="AH64" s="84">
        <v>76.97</v>
      </c>
      <c r="AI64" s="86">
        <v>23.03109582800635</v>
      </c>
      <c r="AJ64" s="84">
        <v>2.96</v>
      </c>
      <c r="AK64" s="84">
        <v>13.96</v>
      </c>
      <c r="AL64" s="84">
        <v>1.448800468110006</v>
      </c>
      <c r="AM64" s="84">
        <v>16.8</v>
      </c>
      <c r="AN64" s="85">
        <v>123036</v>
      </c>
      <c r="AO64" s="85">
        <v>128175</v>
      </c>
      <c r="AP64" s="85">
        <v>56947</v>
      </c>
      <c r="AQ64" s="135">
        <v>1326.2302335871818</v>
      </c>
      <c r="AR64" s="85">
        <v>42939</v>
      </c>
      <c r="AS64" s="135" t="s">
        <v>379</v>
      </c>
      <c r="AT64" s="135" t="s">
        <v>379</v>
      </c>
      <c r="AU64" s="135" t="s">
        <v>379</v>
      </c>
      <c r="AV64" s="85">
        <v>4351</v>
      </c>
      <c r="AW64" s="135">
        <v>4077.7881911902532</v>
      </c>
      <c r="AX64" s="85">
        <v>1067</v>
      </c>
      <c r="AY64" s="135" t="s">
        <v>379</v>
      </c>
      <c r="AZ64" s="135" t="s">
        <v>379</v>
      </c>
      <c r="BA64" s="89">
        <v>0</v>
      </c>
      <c r="BB64" s="87">
        <v>641.46961031355022</v>
      </c>
      <c r="BC64" s="91">
        <v>6.8329490672814925</v>
      </c>
      <c r="BD64" s="85">
        <v>26650</v>
      </c>
      <c r="BE64" s="92">
        <v>21.64924166727593</v>
      </c>
      <c r="BF64" s="85">
        <v>5112</v>
      </c>
      <c r="BG64" s="92">
        <v>4.1527550995540174</v>
      </c>
      <c r="BH64" s="85">
        <v>27768</v>
      </c>
      <c r="BI64" s="92">
        <v>22.557453756732386</v>
      </c>
      <c r="BJ64" s="85">
        <v>12124</v>
      </c>
      <c r="BK64" s="92">
        <v>9.8489833386136354</v>
      </c>
      <c r="BL64" s="85">
        <v>28480</v>
      </c>
      <c r="BM64" s="92">
        <v>23.135850006905013</v>
      </c>
      <c r="BN64" s="85">
        <v>15388</v>
      </c>
      <c r="BO64" s="92">
        <v>12.50050772142747</v>
      </c>
      <c r="BP64" s="85">
        <v>7577</v>
      </c>
      <c r="BQ64" s="92">
        <v>6.1552084094915474</v>
      </c>
      <c r="BR64" s="165">
        <v>214.15255054482338</v>
      </c>
      <c r="BS64" s="165">
        <v>223.13651120182573</v>
      </c>
      <c r="BT64" s="111">
        <v>0</v>
      </c>
      <c r="BU64" s="165">
        <v>97.425347947671241</v>
      </c>
      <c r="BV64" s="165">
        <v>192.51229468676675</v>
      </c>
      <c r="BW64" s="165">
        <v>41.078718138279065</v>
      </c>
      <c r="BX64" s="165">
        <v>60.886824595802125</v>
      </c>
      <c r="BY64" s="112">
        <v>36.345665520234</v>
      </c>
      <c r="BZ64" s="165">
        <v>123.6540130500466</v>
      </c>
      <c r="CA64" s="110" t="s">
        <v>355</v>
      </c>
      <c r="CB64" s="112">
        <v>537.53599341834638</v>
      </c>
      <c r="CC64" s="110" t="s">
        <v>355</v>
      </c>
      <c r="CD64" s="110" t="s">
        <v>355</v>
      </c>
      <c r="CE64" s="110" t="s">
        <v>355</v>
      </c>
      <c r="CF64" s="110" t="s">
        <v>355</v>
      </c>
      <c r="CG64" s="110" t="s">
        <v>355</v>
      </c>
      <c r="CH64" s="110" t="s">
        <v>355</v>
      </c>
      <c r="CI64" s="110" t="s">
        <v>355</v>
      </c>
      <c r="CJ64" s="87">
        <v>36319</v>
      </c>
      <c r="CK64" s="92">
        <v>84.790330130234864</v>
      </c>
      <c r="CL64" s="139">
        <v>478.6</v>
      </c>
      <c r="CM64" s="139">
        <v>3.8459065925235447</v>
      </c>
      <c r="CN64" s="139">
        <v>1459.69</v>
      </c>
      <c r="CO64" s="115">
        <v>1</v>
      </c>
      <c r="CP64" s="115">
        <v>24</v>
      </c>
      <c r="CQ64" s="110">
        <v>4</v>
      </c>
      <c r="CR64" s="86">
        <v>7.1157424458358021</v>
      </c>
      <c r="CS64" s="85">
        <v>16368</v>
      </c>
      <c r="CT64" s="85">
        <v>14280</v>
      </c>
      <c r="CU64" s="84">
        <v>114.62</v>
      </c>
      <c r="CV64" s="84">
        <v>61.14</v>
      </c>
      <c r="CW64" s="84">
        <v>2.9</v>
      </c>
      <c r="CX64" s="115" t="s">
        <v>339</v>
      </c>
      <c r="CY64" s="114">
        <v>67000</v>
      </c>
      <c r="CZ64" s="129">
        <v>303000</v>
      </c>
      <c r="DA64" s="129">
        <v>0</v>
      </c>
      <c r="DB64" s="129">
        <v>21000</v>
      </c>
      <c r="DC64" s="129">
        <v>0</v>
      </c>
      <c r="DD64" s="129">
        <v>369588</v>
      </c>
      <c r="DE64" s="87">
        <v>7</v>
      </c>
      <c r="DF64" s="87">
        <v>4570</v>
      </c>
      <c r="DG64" s="114">
        <v>0</v>
      </c>
      <c r="DH64" s="162">
        <v>10</v>
      </c>
      <c r="DI64" s="114">
        <v>12444.4</v>
      </c>
      <c r="DJ64" s="114">
        <v>30</v>
      </c>
      <c r="DK64" s="114">
        <v>70</v>
      </c>
      <c r="DL64" s="114">
        <v>0</v>
      </c>
      <c r="DM64" s="114">
        <v>0</v>
      </c>
      <c r="DN64" s="114">
        <v>10</v>
      </c>
      <c r="DO64" s="114">
        <v>60</v>
      </c>
      <c r="DP64" s="114">
        <v>30</v>
      </c>
      <c r="DQ64" s="88">
        <v>480</v>
      </c>
      <c r="DR64" s="147">
        <v>259.25833333333333</v>
      </c>
      <c r="DT64" s="55"/>
      <c r="DU64" s="55"/>
    </row>
    <row r="65" spans="1:125" s="32" customFormat="1" ht="15" customHeight="1" thickBot="1">
      <c r="A65" s="100" t="s">
        <v>105</v>
      </c>
      <c r="B65" s="184">
        <v>2017</v>
      </c>
      <c r="C65" s="109">
        <v>10</v>
      </c>
      <c r="D65" s="83" t="s">
        <v>350</v>
      </c>
      <c r="E65" s="83" t="s">
        <v>407</v>
      </c>
      <c r="F65" s="132">
        <v>3584.2</v>
      </c>
      <c r="G65" s="85">
        <v>8979</v>
      </c>
      <c r="H65" s="86">
        <v>-5.7322834645669341</v>
      </c>
      <c r="I65" s="132">
        <v>2.5051615423246472</v>
      </c>
      <c r="J65" s="85">
        <v>4596</v>
      </c>
      <c r="K65" s="173">
        <v>51.186100902104911</v>
      </c>
      <c r="L65" s="85">
        <v>4383</v>
      </c>
      <c r="M65" s="173">
        <v>48.813899097895089</v>
      </c>
      <c r="N65" s="161">
        <v>22.37442922374429</v>
      </c>
      <c r="O65" s="161">
        <v>45.261164940416528</v>
      </c>
      <c r="P65" s="161">
        <v>32.364405835839186</v>
      </c>
      <c r="Q65" s="161">
        <v>29.43534914801203</v>
      </c>
      <c r="R65" s="159">
        <v>38.200245016148791</v>
      </c>
      <c r="S65" s="160">
        <v>32.364405835839186</v>
      </c>
      <c r="T65" s="84">
        <v>4.3</v>
      </c>
      <c r="U65" s="84">
        <v>2.7</v>
      </c>
      <c r="V65" s="89">
        <v>13</v>
      </c>
      <c r="W65" s="90">
        <v>7</v>
      </c>
      <c r="X65" s="148">
        <v>43128</v>
      </c>
      <c r="Y65" s="89">
        <v>2.2000000000000002</v>
      </c>
      <c r="Z65" s="89" t="s">
        <v>342</v>
      </c>
      <c r="AA65" s="85">
        <v>957</v>
      </c>
      <c r="AB65" s="110" t="s">
        <v>355</v>
      </c>
      <c r="AC65" s="110" t="s">
        <v>355</v>
      </c>
      <c r="AD65" s="110" t="s">
        <v>355</v>
      </c>
      <c r="AE65" s="110" t="s">
        <v>355</v>
      </c>
      <c r="AF65" s="84">
        <v>8.75</v>
      </c>
      <c r="AG65" s="84">
        <v>5.63</v>
      </c>
      <c r="AH65" s="84">
        <v>52.91</v>
      </c>
      <c r="AI65" s="86">
        <v>47.085821950858531</v>
      </c>
      <c r="AJ65" s="84">
        <v>6.89</v>
      </c>
      <c r="AK65" s="84">
        <v>21.21</v>
      </c>
      <c r="AL65" s="84">
        <v>1.6395510152604365</v>
      </c>
      <c r="AM65" s="84">
        <v>11.12</v>
      </c>
      <c r="AN65" s="85">
        <v>21705</v>
      </c>
      <c r="AO65" s="85">
        <v>23787</v>
      </c>
      <c r="AP65" s="85">
        <v>2584</v>
      </c>
      <c r="AQ65" s="135">
        <v>849.4411571334648</v>
      </c>
      <c r="AR65" s="85">
        <v>3042</v>
      </c>
      <c r="AS65" s="85">
        <v>3301</v>
      </c>
      <c r="AT65" s="135">
        <v>1730.9910854745674</v>
      </c>
      <c r="AU65" s="85">
        <v>1907</v>
      </c>
      <c r="AV65" s="85">
        <v>274</v>
      </c>
      <c r="AW65" s="135">
        <v>1175.9656652360516</v>
      </c>
      <c r="AX65" s="85">
        <v>233</v>
      </c>
      <c r="AY65" s="135" t="s">
        <v>379</v>
      </c>
      <c r="AZ65" s="135" t="s">
        <v>379</v>
      </c>
      <c r="BA65" s="89">
        <v>0</v>
      </c>
      <c r="BB65" s="87">
        <v>165.2103831790875</v>
      </c>
      <c r="BC65" s="91">
        <v>36.916502301117688</v>
      </c>
      <c r="BD65" s="85">
        <v>2476</v>
      </c>
      <c r="BE65" s="92">
        <v>10.073640099271735</v>
      </c>
      <c r="BF65" s="85">
        <v>3044</v>
      </c>
      <c r="BG65" s="92">
        <v>12.384555921721795</v>
      </c>
      <c r="BH65" s="85">
        <v>1979</v>
      </c>
      <c r="BI65" s="92">
        <v>8.0515887546279341</v>
      </c>
      <c r="BJ65" s="85">
        <v>933</v>
      </c>
      <c r="BK65" s="92">
        <v>3.7959233492005371</v>
      </c>
      <c r="BL65" s="85">
        <v>2102</v>
      </c>
      <c r="BM65" s="92">
        <v>8.5520159485739864</v>
      </c>
      <c r="BN65" s="85">
        <v>8113</v>
      </c>
      <c r="BO65" s="92">
        <v>33.007852231579804</v>
      </c>
      <c r="BP65" s="85">
        <v>5932</v>
      </c>
      <c r="BQ65" s="92">
        <v>24.134423695024207</v>
      </c>
      <c r="BR65" s="165">
        <v>275.75453836730151</v>
      </c>
      <c r="BS65" s="165">
        <v>220.40316293573895</v>
      </c>
      <c r="BT65" s="111">
        <v>246.46397148902997</v>
      </c>
      <c r="BU65" s="165">
        <v>103.90912128299365</v>
      </c>
      <c r="BV65" s="165">
        <v>191.89219289453169</v>
      </c>
      <c r="BW65" s="165">
        <v>92.54928165720014</v>
      </c>
      <c r="BX65" s="165">
        <v>660.65263392359952</v>
      </c>
      <c r="BY65" s="112">
        <v>42.209600178193561</v>
      </c>
      <c r="BZ65" s="165">
        <v>903.55273415747854</v>
      </c>
      <c r="CA65" s="110" t="s">
        <v>355</v>
      </c>
      <c r="CB65" s="112">
        <v>469.8991592724563</v>
      </c>
      <c r="CC65" s="110" t="s">
        <v>355</v>
      </c>
      <c r="CD65" s="110" t="s">
        <v>355</v>
      </c>
      <c r="CE65" s="110" t="s">
        <v>355</v>
      </c>
      <c r="CF65" s="110" t="s">
        <v>355</v>
      </c>
      <c r="CG65" s="110" t="s">
        <v>355</v>
      </c>
      <c r="CH65" s="110" t="s">
        <v>355</v>
      </c>
      <c r="CI65" s="110" t="s">
        <v>355</v>
      </c>
      <c r="CJ65" s="87">
        <v>4816</v>
      </c>
      <c r="CK65" s="92">
        <v>51.661129568106311</v>
      </c>
      <c r="CL65" s="139">
        <v>1217.33</v>
      </c>
      <c r="CM65" s="139">
        <v>135.57523109477671</v>
      </c>
      <c r="CN65" s="139">
        <v>21</v>
      </c>
      <c r="CO65" s="115">
        <v>3</v>
      </c>
      <c r="CP65" s="115">
        <v>2</v>
      </c>
      <c r="CQ65" s="110">
        <v>1</v>
      </c>
      <c r="CR65" s="86">
        <v>4.85527052761286</v>
      </c>
      <c r="CS65" s="85">
        <v>4827.8999999999996</v>
      </c>
      <c r="CT65" s="85">
        <v>5038.53</v>
      </c>
      <c r="CU65" s="84">
        <v>95.82</v>
      </c>
      <c r="CV65" s="84">
        <v>282.86</v>
      </c>
      <c r="CW65" s="84">
        <v>4.12</v>
      </c>
      <c r="CX65" s="115" t="s">
        <v>339</v>
      </c>
      <c r="CY65" s="114">
        <v>31000</v>
      </c>
      <c r="CZ65" s="129">
        <v>129000</v>
      </c>
      <c r="DA65" s="129">
        <v>0</v>
      </c>
      <c r="DB65" s="129">
        <v>8000</v>
      </c>
      <c r="DC65" s="129">
        <v>6000</v>
      </c>
      <c r="DD65" s="129">
        <v>234944</v>
      </c>
      <c r="DE65" s="87">
        <v>0</v>
      </c>
      <c r="DF65" s="87">
        <v>0</v>
      </c>
      <c r="DG65" s="114">
        <v>0</v>
      </c>
      <c r="DH65" s="162">
        <v>9</v>
      </c>
      <c r="DI65" s="114">
        <v>997.66666666666663</v>
      </c>
      <c r="DJ65" s="114">
        <v>44</v>
      </c>
      <c r="DK65" s="114">
        <v>56</v>
      </c>
      <c r="DL65" s="114">
        <v>0</v>
      </c>
      <c r="DM65" s="114">
        <v>0</v>
      </c>
      <c r="DN65" s="114">
        <v>11</v>
      </c>
      <c r="DO65" s="114">
        <v>33</v>
      </c>
      <c r="DP65" s="114">
        <v>56</v>
      </c>
      <c r="DQ65" s="88">
        <v>106</v>
      </c>
      <c r="DR65" s="147">
        <v>84.70754716981132</v>
      </c>
      <c r="DT65" s="55"/>
      <c r="DU65" s="55"/>
    </row>
    <row r="66" spans="1:125" s="32" customFormat="1" ht="15" customHeight="1" thickBot="1">
      <c r="A66" s="100" t="s">
        <v>285</v>
      </c>
      <c r="B66" s="184">
        <v>2017</v>
      </c>
      <c r="C66" s="109">
        <v>10</v>
      </c>
      <c r="D66" s="83" t="s">
        <v>350</v>
      </c>
      <c r="E66" s="83" t="s">
        <v>408</v>
      </c>
      <c r="F66" s="132">
        <v>14964.3</v>
      </c>
      <c r="G66" s="85">
        <v>6225</v>
      </c>
      <c r="H66" s="86">
        <v>-7.572383073496658</v>
      </c>
      <c r="I66" s="132">
        <v>0.4159900563340751</v>
      </c>
      <c r="J66" s="85">
        <v>3089</v>
      </c>
      <c r="K66" s="173">
        <v>49.622489959839356</v>
      </c>
      <c r="L66" s="85">
        <v>3136</v>
      </c>
      <c r="M66" s="173">
        <v>50.377510040160644</v>
      </c>
      <c r="N66" s="161">
        <v>28.064257028112451</v>
      </c>
      <c r="O66" s="161">
        <v>45.574297188755018</v>
      </c>
      <c r="P66" s="161">
        <v>26.361445783132531</v>
      </c>
      <c r="Q66" s="161">
        <v>39.084337349397593</v>
      </c>
      <c r="R66" s="159">
        <v>34.554216867469876</v>
      </c>
      <c r="S66" s="160">
        <v>26.361445783132531</v>
      </c>
      <c r="T66" s="84">
        <v>17.7</v>
      </c>
      <c r="U66" s="84">
        <v>2.2000000000000002</v>
      </c>
      <c r="V66" s="89">
        <v>25</v>
      </c>
      <c r="W66" s="90">
        <v>7</v>
      </c>
      <c r="X66" s="148">
        <v>43330</v>
      </c>
      <c r="Y66" s="89">
        <v>2.4</v>
      </c>
      <c r="Z66" s="89" t="s">
        <v>342</v>
      </c>
      <c r="AA66" s="85">
        <v>1004</v>
      </c>
      <c r="AB66" s="110" t="s">
        <v>355</v>
      </c>
      <c r="AC66" s="110" t="s">
        <v>355</v>
      </c>
      <c r="AD66" s="110" t="s">
        <v>355</v>
      </c>
      <c r="AE66" s="110" t="s">
        <v>355</v>
      </c>
      <c r="AF66" s="84">
        <v>9.6</v>
      </c>
      <c r="AG66" s="84">
        <v>5.22</v>
      </c>
      <c r="AH66" s="84">
        <v>43.6</v>
      </c>
      <c r="AI66" s="86">
        <v>56.402297596256624</v>
      </c>
      <c r="AJ66" s="84">
        <v>8.43</v>
      </c>
      <c r="AK66" s="84">
        <v>57.81</v>
      </c>
      <c r="AL66" s="84">
        <v>0.44833532298713352</v>
      </c>
      <c r="AM66" s="84">
        <v>14.09</v>
      </c>
      <c r="AN66" s="85">
        <v>34076</v>
      </c>
      <c r="AO66" s="85">
        <v>37695</v>
      </c>
      <c r="AP66" s="85">
        <v>1081</v>
      </c>
      <c r="AQ66" s="135">
        <v>471.22929380993895</v>
      </c>
      <c r="AR66" s="85">
        <v>2294</v>
      </c>
      <c r="AS66" s="85">
        <v>4358</v>
      </c>
      <c r="AT66" s="135">
        <v>3060.3932584269664</v>
      </c>
      <c r="AU66" s="85">
        <v>1424</v>
      </c>
      <c r="AV66" s="85">
        <v>229</v>
      </c>
      <c r="AW66" s="135">
        <v>503.2967032967033</v>
      </c>
      <c r="AX66" s="85">
        <v>455</v>
      </c>
      <c r="AY66" s="85">
        <v>53</v>
      </c>
      <c r="AZ66" s="135">
        <v>53000</v>
      </c>
      <c r="BA66" s="89">
        <v>1</v>
      </c>
      <c r="BB66" s="87">
        <v>152.49400926411465</v>
      </c>
      <c r="BC66" s="91">
        <v>19.48561464690497</v>
      </c>
      <c r="BD66" s="85">
        <v>3824</v>
      </c>
      <c r="BE66" s="92">
        <v>10.96047464816991</v>
      </c>
      <c r="BF66" s="85">
        <v>8230</v>
      </c>
      <c r="BG66" s="92">
        <v>23.589096850010034</v>
      </c>
      <c r="BH66" s="85">
        <v>2198</v>
      </c>
      <c r="BI66" s="92">
        <v>6.2999799363696294</v>
      </c>
      <c r="BJ66" s="85">
        <v>2193</v>
      </c>
      <c r="BK66" s="92">
        <v>6.285648771819198</v>
      </c>
      <c r="BL66" s="85">
        <v>3604</v>
      </c>
      <c r="BM66" s="92">
        <v>10.32990340795093</v>
      </c>
      <c r="BN66" s="85">
        <v>12078</v>
      </c>
      <c r="BO66" s="92">
        <v>34.618361088022013</v>
      </c>
      <c r="BP66" s="85">
        <v>2762</v>
      </c>
      <c r="BQ66" s="92">
        <v>7.9165352976582879</v>
      </c>
      <c r="BR66" s="165">
        <v>614.2971887550201</v>
      </c>
      <c r="BS66" s="165">
        <v>353.09236947791163</v>
      </c>
      <c r="BT66" s="111">
        <v>1030.0401606425703</v>
      </c>
      <c r="BU66" s="165">
        <v>352.28915662650604</v>
      </c>
      <c r="BV66" s="165">
        <v>523.85542168674704</v>
      </c>
      <c r="BW66" s="165">
        <v>292.04819277108436</v>
      </c>
      <c r="BX66" s="165">
        <v>443.69477911646584</v>
      </c>
      <c r="BY66" s="112">
        <v>55.100401606425706</v>
      </c>
      <c r="BZ66" s="165">
        <v>1940.2409638554218</v>
      </c>
      <c r="CA66" s="110" t="s">
        <v>355</v>
      </c>
      <c r="CB66" s="112">
        <v>295.20052596975671</v>
      </c>
      <c r="CC66" s="110" t="s">
        <v>355</v>
      </c>
      <c r="CD66" s="110" t="s">
        <v>355</v>
      </c>
      <c r="CE66" s="110" t="s">
        <v>355</v>
      </c>
      <c r="CF66" s="110" t="s">
        <v>355</v>
      </c>
      <c r="CG66" s="110" t="s">
        <v>355</v>
      </c>
      <c r="CH66" s="110" t="s">
        <v>355</v>
      </c>
      <c r="CI66" s="110" t="s">
        <v>355</v>
      </c>
      <c r="CJ66" s="87">
        <v>4177</v>
      </c>
      <c r="CK66" s="92">
        <v>29.542734019631318</v>
      </c>
      <c r="CL66" s="139">
        <v>3981.53</v>
      </c>
      <c r="CM66" s="139">
        <v>639.6032128514056</v>
      </c>
      <c r="CN66" s="139">
        <v>268.5</v>
      </c>
      <c r="CO66" s="115">
        <v>3</v>
      </c>
      <c r="CP66" s="115">
        <v>8</v>
      </c>
      <c r="CQ66" s="110">
        <v>2</v>
      </c>
      <c r="CR66" s="86">
        <v>3.0400772573635924</v>
      </c>
      <c r="CS66" s="85">
        <v>10285</v>
      </c>
      <c r="CT66" s="85">
        <v>11243</v>
      </c>
      <c r="CU66" s="84">
        <v>91.48</v>
      </c>
      <c r="CV66" s="84">
        <v>75.3</v>
      </c>
      <c r="CW66" s="84">
        <v>6.56</v>
      </c>
      <c r="CX66" s="115" t="s">
        <v>339</v>
      </c>
      <c r="CY66" s="114">
        <v>64000</v>
      </c>
      <c r="CZ66" s="129">
        <v>141000</v>
      </c>
      <c r="DA66" s="129">
        <v>0</v>
      </c>
      <c r="DB66" s="129">
        <v>16000</v>
      </c>
      <c r="DC66" s="129">
        <v>0</v>
      </c>
      <c r="DD66" s="129">
        <v>258000</v>
      </c>
      <c r="DE66" s="87">
        <v>0</v>
      </c>
      <c r="DF66" s="87">
        <v>0</v>
      </c>
      <c r="DG66" s="114">
        <v>0</v>
      </c>
      <c r="DH66" s="162">
        <v>10</v>
      </c>
      <c r="DI66" s="114">
        <v>622.5</v>
      </c>
      <c r="DJ66" s="114">
        <v>20</v>
      </c>
      <c r="DK66" s="114">
        <v>80</v>
      </c>
      <c r="DL66" s="114">
        <v>10</v>
      </c>
      <c r="DM66" s="114">
        <v>0</v>
      </c>
      <c r="DN66" s="114">
        <v>0</v>
      </c>
      <c r="DO66" s="114">
        <v>20</v>
      </c>
      <c r="DP66" s="114">
        <v>80</v>
      </c>
      <c r="DQ66" s="88">
        <v>135</v>
      </c>
      <c r="DR66" s="147">
        <v>46.111111111111114</v>
      </c>
      <c r="DT66" s="55"/>
      <c r="DU66" s="55"/>
    </row>
    <row r="67" spans="1:125" s="32" customFormat="1" ht="15" customHeight="1" thickBot="1">
      <c r="A67" s="100" t="s">
        <v>286</v>
      </c>
      <c r="B67" s="184">
        <v>2017</v>
      </c>
      <c r="C67" s="109">
        <v>5</v>
      </c>
      <c r="D67" s="83" t="s">
        <v>347</v>
      </c>
      <c r="E67" s="83" t="s">
        <v>412</v>
      </c>
      <c r="F67" s="132">
        <v>648.6</v>
      </c>
      <c r="G67" s="85">
        <v>203376</v>
      </c>
      <c r="H67" s="86">
        <v>2.5349385927763368</v>
      </c>
      <c r="I67" s="132">
        <v>313.56151711378351</v>
      </c>
      <c r="J67" s="85">
        <v>99463</v>
      </c>
      <c r="K67" s="173">
        <v>48.905967272441195</v>
      </c>
      <c r="L67" s="85">
        <v>103913</v>
      </c>
      <c r="M67" s="173">
        <v>51.094032727558805</v>
      </c>
      <c r="N67" s="161">
        <v>24.985248996931791</v>
      </c>
      <c r="O67" s="161">
        <v>48.750590040122724</v>
      </c>
      <c r="P67" s="161">
        <v>26.264160962945482</v>
      </c>
      <c r="Q67" s="161">
        <v>36.252065140429551</v>
      </c>
      <c r="R67" s="159">
        <v>37.483773896624974</v>
      </c>
      <c r="S67" s="160">
        <v>26.264160962945482</v>
      </c>
      <c r="T67" s="84">
        <v>4.0999999999999996</v>
      </c>
      <c r="U67" s="84">
        <v>4.4000000000000004</v>
      </c>
      <c r="V67" s="89">
        <v>89</v>
      </c>
      <c r="W67" s="90">
        <v>5.5</v>
      </c>
      <c r="X67" s="148">
        <v>57506</v>
      </c>
      <c r="Y67" s="89">
        <v>2.5</v>
      </c>
      <c r="Z67" s="89" t="s">
        <v>340</v>
      </c>
      <c r="AA67" s="85">
        <v>12610</v>
      </c>
      <c r="AB67" s="110" t="s">
        <v>355</v>
      </c>
      <c r="AC67" s="110" t="s">
        <v>355</v>
      </c>
      <c r="AD67" s="110" t="s">
        <v>355</v>
      </c>
      <c r="AE67" s="110" t="s">
        <v>355</v>
      </c>
      <c r="AF67" s="84">
        <v>5.56</v>
      </c>
      <c r="AG67" s="84">
        <v>2.75</v>
      </c>
      <c r="AH67" s="84">
        <v>68.319999999999993</v>
      </c>
      <c r="AI67" s="86">
        <v>31.676460441049009</v>
      </c>
      <c r="AJ67" s="84">
        <v>3.53</v>
      </c>
      <c r="AK67" s="84">
        <v>8.52</v>
      </c>
      <c r="AL67" s="84">
        <v>3.3396285258853702</v>
      </c>
      <c r="AM67" s="84">
        <v>8.74</v>
      </c>
      <c r="AN67" s="85">
        <v>218028</v>
      </c>
      <c r="AO67" s="85">
        <v>230864</v>
      </c>
      <c r="AP67" s="85">
        <v>105825</v>
      </c>
      <c r="AQ67" s="135">
        <v>1320.7488299531981</v>
      </c>
      <c r="AR67" s="85">
        <v>80125</v>
      </c>
      <c r="AS67" s="85">
        <v>72</v>
      </c>
      <c r="AT67" s="135">
        <v>1800</v>
      </c>
      <c r="AU67" s="85">
        <v>40</v>
      </c>
      <c r="AV67" s="85">
        <v>17790</v>
      </c>
      <c r="AW67" s="135">
        <v>4711.3347457627115</v>
      </c>
      <c r="AX67" s="85">
        <v>3776</v>
      </c>
      <c r="AY67" s="85">
        <v>914</v>
      </c>
      <c r="AZ67" s="135">
        <v>50777.777777777781</v>
      </c>
      <c r="BA67" s="89">
        <v>18</v>
      </c>
      <c r="BB67" s="87">
        <v>194.07791760900795</v>
      </c>
      <c r="BC67" s="91">
        <v>20.957254290171605</v>
      </c>
      <c r="BD67" s="85">
        <v>14427</v>
      </c>
      <c r="BE67" s="92">
        <v>6.525042740454631</v>
      </c>
      <c r="BF67" s="85">
        <v>12775</v>
      </c>
      <c r="BG67" s="92">
        <v>5.7778762742987402</v>
      </c>
      <c r="BH67" s="85">
        <v>60686</v>
      </c>
      <c r="BI67" s="92">
        <v>27.447060632649183</v>
      </c>
      <c r="BJ67" s="85">
        <v>32281</v>
      </c>
      <c r="BK67" s="92">
        <v>14.600048846233864</v>
      </c>
      <c r="BL67" s="85">
        <v>43693</v>
      </c>
      <c r="BM67" s="92">
        <v>19.761467557959676</v>
      </c>
      <c r="BN67" s="85">
        <v>36447</v>
      </c>
      <c r="BO67" s="92">
        <v>16.484247089578567</v>
      </c>
      <c r="BP67" s="85">
        <v>20793</v>
      </c>
      <c r="BQ67" s="92">
        <v>9.4042568588253381</v>
      </c>
      <c r="BR67" s="165">
        <v>70.937573755015336</v>
      </c>
      <c r="BS67" s="165">
        <v>298.39312406576983</v>
      </c>
      <c r="BT67" s="111">
        <v>0</v>
      </c>
      <c r="BU67" s="165">
        <v>158.72571001494768</v>
      </c>
      <c r="BV67" s="165">
        <v>161.59232161120289</v>
      </c>
      <c r="BW67" s="165">
        <v>62.814688065455115</v>
      </c>
      <c r="BX67" s="165">
        <v>102.23920226575407</v>
      </c>
      <c r="BY67" s="112">
        <v>53.24620407521045</v>
      </c>
      <c r="BZ67" s="165">
        <v>179.20993627566673</v>
      </c>
      <c r="CA67" s="110" t="s">
        <v>355</v>
      </c>
      <c r="CB67" s="112">
        <v>330.86312118570186</v>
      </c>
      <c r="CC67" s="110" t="s">
        <v>355</v>
      </c>
      <c r="CD67" s="110" t="s">
        <v>355</v>
      </c>
      <c r="CE67" s="110" t="s">
        <v>355</v>
      </c>
      <c r="CF67" s="110" t="s">
        <v>355</v>
      </c>
      <c r="CG67" s="110" t="s">
        <v>355</v>
      </c>
      <c r="CH67" s="110" t="s">
        <v>355</v>
      </c>
      <c r="CI67" s="110" t="s">
        <v>355</v>
      </c>
      <c r="CJ67" s="87">
        <v>105758</v>
      </c>
      <c r="CK67" s="92">
        <v>64.399856275648176</v>
      </c>
      <c r="CL67" s="139">
        <v>1366.6299999999997</v>
      </c>
      <c r="CM67" s="139">
        <v>6.7197211077019894</v>
      </c>
      <c r="CN67" s="139">
        <v>1664.22</v>
      </c>
      <c r="CO67" s="115">
        <v>17</v>
      </c>
      <c r="CP67" s="115">
        <v>36</v>
      </c>
      <c r="CQ67" s="110">
        <v>10</v>
      </c>
      <c r="CR67" s="86">
        <v>7.1379579340898722</v>
      </c>
      <c r="CS67" s="85">
        <v>37474</v>
      </c>
      <c r="CT67" s="85">
        <v>40421</v>
      </c>
      <c r="CU67" s="84">
        <v>92.71</v>
      </c>
      <c r="CV67" s="84">
        <v>100.4</v>
      </c>
      <c r="CW67" s="84">
        <v>2.4300000000000002</v>
      </c>
      <c r="CX67" s="115" t="s">
        <v>339</v>
      </c>
      <c r="CY67" s="114">
        <v>172000</v>
      </c>
      <c r="CZ67" s="129">
        <v>476000</v>
      </c>
      <c r="DA67" s="129">
        <v>0</v>
      </c>
      <c r="DB67" s="129">
        <v>94000</v>
      </c>
      <c r="DC67" s="129">
        <v>0</v>
      </c>
      <c r="DD67" s="129">
        <v>367973</v>
      </c>
      <c r="DE67" s="87">
        <v>1</v>
      </c>
      <c r="DF67" s="87">
        <v>0</v>
      </c>
      <c r="DG67" s="114">
        <v>0</v>
      </c>
      <c r="DH67" s="162">
        <v>13</v>
      </c>
      <c r="DI67" s="114">
        <v>15644.307692307691</v>
      </c>
      <c r="DJ67" s="114">
        <v>23</v>
      </c>
      <c r="DK67" s="114">
        <v>77</v>
      </c>
      <c r="DL67" s="114">
        <v>0</v>
      </c>
      <c r="DM67" s="114">
        <v>0</v>
      </c>
      <c r="DN67" s="114">
        <v>8</v>
      </c>
      <c r="DO67" s="114">
        <v>54</v>
      </c>
      <c r="DP67" s="114">
        <v>38</v>
      </c>
      <c r="DQ67" s="88">
        <v>1212</v>
      </c>
      <c r="DR67" s="147">
        <v>167.80198019801981</v>
      </c>
      <c r="DT67" s="55"/>
      <c r="DU67" s="55"/>
    </row>
    <row r="68" spans="1:125" s="32" customFormat="1" ht="15" customHeight="1" thickBot="1">
      <c r="A68" s="100" t="s">
        <v>287</v>
      </c>
      <c r="B68" s="184">
        <v>2017</v>
      </c>
      <c r="C68" s="109">
        <v>2</v>
      </c>
      <c r="D68" s="83" t="s">
        <v>349</v>
      </c>
      <c r="E68" s="83"/>
      <c r="F68" s="132">
        <v>10.5</v>
      </c>
      <c r="G68" s="85">
        <v>38742</v>
      </c>
      <c r="H68" s="86">
        <v>14.87279843444227</v>
      </c>
      <c r="I68" s="132">
        <v>3689.7142857142858</v>
      </c>
      <c r="J68" s="85">
        <v>19174</v>
      </c>
      <c r="K68" s="173">
        <v>49.491507924216613</v>
      </c>
      <c r="L68" s="85">
        <v>19568</v>
      </c>
      <c r="M68" s="173">
        <v>50.508492075783387</v>
      </c>
      <c r="N68" s="161">
        <v>23.940426410613806</v>
      </c>
      <c r="O68" s="161">
        <v>57.900986010014968</v>
      </c>
      <c r="P68" s="161">
        <v>18.158587579371225</v>
      </c>
      <c r="Q68" s="161">
        <v>37.840070208042953</v>
      </c>
      <c r="R68" s="159">
        <v>44.001342212585826</v>
      </c>
      <c r="S68" s="160">
        <v>18.158587579371225</v>
      </c>
      <c r="T68" s="84">
        <v>0.3</v>
      </c>
      <c r="U68" s="84">
        <v>26.4</v>
      </c>
      <c r="V68" s="89">
        <v>126</v>
      </c>
      <c r="W68" s="90">
        <v>2.8</v>
      </c>
      <c r="X68" s="148">
        <v>96080</v>
      </c>
      <c r="Y68" s="89">
        <v>2.5</v>
      </c>
      <c r="Z68" s="89" t="s">
        <v>344</v>
      </c>
      <c r="AA68" s="85">
        <v>4606</v>
      </c>
      <c r="AB68" s="110" t="s">
        <v>355</v>
      </c>
      <c r="AC68" s="110" t="s">
        <v>355</v>
      </c>
      <c r="AD68" s="110" t="s">
        <v>355</v>
      </c>
      <c r="AE68" s="110" t="s">
        <v>355</v>
      </c>
      <c r="AF68" s="84">
        <v>5.77</v>
      </c>
      <c r="AG68" s="84">
        <v>6.37</v>
      </c>
      <c r="AH68" s="84">
        <v>69.92</v>
      </c>
      <c r="AI68" s="86">
        <v>30.076466301041737</v>
      </c>
      <c r="AJ68" s="84">
        <v>1.45</v>
      </c>
      <c r="AK68" s="84">
        <v>0</v>
      </c>
      <c r="AL68" s="84">
        <v>0</v>
      </c>
      <c r="AM68" s="84">
        <v>17.48</v>
      </c>
      <c r="AN68" s="85">
        <v>41385</v>
      </c>
      <c r="AO68" s="85">
        <v>43919</v>
      </c>
      <c r="AP68" s="85">
        <v>17689</v>
      </c>
      <c r="AQ68" s="135">
        <v>1181.4720812182741</v>
      </c>
      <c r="AR68" s="85">
        <v>14972</v>
      </c>
      <c r="AS68" s="135" t="s">
        <v>379</v>
      </c>
      <c r="AT68" s="135" t="s">
        <v>379</v>
      </c>
      <c r="AU68" s="135" t="s">
        <v>379</v>
      </c>
      <c r="AV68" s="85">
        <v>5399</v>
      </c>
      <c r="AW68" s="135">
        <v>4807.6580587711487</v>
      </c>
      <c r="AX68" s="85">
        <v>1123</v>
      </c>
      <c r="AY68" s="85" t="s">
        <v>379</v>
      </c>
      <c r="AZ68" s="135" t="s">
        <v>379</v>
      </c>
      <c r="BA68" s="89">
        <v>0</v>
      </c>
      <c r="BB68" s="87">
        <v>508.6846530232155</v>
      </c>
      <c r="BC68" s="91">
        <v>5.5770772107934814</v>
      </c>
      <c r="BD68" s="85">
        <v>9442</v>
      </c>
      <c r="BE68" s="92">
        <v>22.814478326003961</v>
      </c>
      <c r="BF68" s="85">
        <v>1464</v>
      </c>
      <c r="BG68" s="92">
        <v>3.5374281157879475</v>
      </c>
      <c r="BH68" s="85">
        <v>8535</v>
      </c>
      <c r="BI68" s="92">
        <v>20.622915961919489</v>
      </c>
      <c r="BJ68" s="85">
        <v>6029</v>
      </c>
      <c r="BK68" s="92">
        <v>14.567728217271542</v>
      </c>
      <c r="BL68" s="85">
        <v>9821</v>
      </c>
      <c r="BM68" s="92">
        <v>23.730246943410815</v>
      </c>
      <c r="BN68" s="85">
        <v>3508</v>
      </c>
      <c r="BO68" s="92">
        <v>8.4762963320929785</v>
      </c>
      <c r="BP68" s="85">
        <v>2587</v>
      </c>
      <c r="BQ68" s="92">
        <v>6.2509061035132651</v>
      </c>
      <c r="BR68" s="165">
        <v>243.71483144907336</v>
      </c>
      <c r="BS68" s="165">
        <v>220.30354653864023</v>
      </c>
      <c r="BT68" s="111">
        <v>0</v>
      </c>
      <c r="BU68" s="165">
        <v>155.61922461411388</v>
      </c>
      <c r="BV68" s="165">
        <v>181.99886428165814</v>
      </c>
      <c r="BW68" s="165">
        <v>37.78844664704971</v>
      </c>
      <c r="BX68" s="165">
        <v>66.775076144752461</v>
      </c>
      <c r="BY68" s="112">
        <v>71.498631975633685</v>
      </c>
      <c r="BZ68" s="165">
        <v>90.547725982138246</v>
      </c>
      <c r="CA68" s="110" t="s">
        <v>355</v>
      </c>
      <c r="CB68" s="112">
        <v>431.41341653666149</v>
      </c>
      <c r="CC68" s="110" t="s">
        <v>355</v>
      </c>
      <c r="CD68" s="110" t="s">
        <v>355</v>
      </c>
      <c r="CE68" s="110" t="s">
        <v>355</v>
      </c>
      <c r="CF68" s="110" t="s">
        <v>355</v>
      </c>
      <c r="CG68" s="110" t="s">
        <v>355</v>
      </c>
      <c r="CH68" s="110" t="s">
        <v>355</v>
      </c>
      <c r="CI68" s="110" t="s">
        <v>355</v>
      </c>
      <c r="CJ68" s="87">
        <v>8943</v>
      </c>
      <c r="CK68" s="92">
        <v>52.644526445264447</v>
      </c>
      <c r="CL68" s="139">
        <v>101.61000000000001</v>
      </c>
      <c r="CM68" s="139">
        <v>2.622735016261422</v>
      </c>
      <c r="CN68" s="139">
        <v>212</v>
      </c>
      <c r="CO68" s="115">
        <v>4</v>
      </c>
      <c r="CP68" s="115">
        <v>12</v>
      </c>
      <c r="CQ68" s="110">
        <v>2</v>
      </c>
      <c r="CR68" s="86">
        <v>13.454566551492961</v>
      </c>
      <c r="CS68" s="85">
        <v>4609.8429999999998</v>
      </c>
      <c r="CT68" s="85">
        <v>2317.4250000000002</v>
      </c>
      <c r="CU68" s="84">
        <v>198.92</v>
      </c>
      <c r="CV68" s="84">
        <v>117.12</v>
      </c>
      <c r="CW68" s="84">
        <v>0.83</v>
      </c>
      <c r="CX68" s="115" t="s">
        <v>339</v>
      </c>
      <c r="CY68" s="114">
        <v>51000</v>
      </c>
      <c r="CZ68" s="129">
        <v>212000</v>
      </c>
      <c r="DA68" s="129">
        <v>0</v>
      </c>
      <c r="DB68" s="129">
        <v>9000</v>
      </c>
      <c r="DC68" s="129">
        <v>0</v>
      </c>
      <c r="DD68" s="129">
        <v>401954</v>
      </c>
      <c r="DE68" s="87">
        <v>2</v>
      </c>
      <c r="DF68" s="87">
        <v>0</v>
      </c>
      <c r="DG68" s="114">
        <v>0</v>
      </c>
      <c r="DH68" s="162">
        <v>9</v>
      </c>
      <c r="DI68" s="114">
        <v>4304.666666666667</v>
      </c>
      <c r="DJ68" s="114">
        <v>56</v>
      </c>
      <c r="DK68" s="114">
        <v>44</v>
      </c>
      <c r="DL68" s="114">
        <v>0</v>
      </c>
      <c r="DM68" s="114">
        <v>0</v>
      </c>
      <c r="DN68" s="114">
        <v>11.111111111111111</v>
      </c>
      <c r="DO68" s="114">
        <v>67</v>
      </c>
      <c r="DP68" s="114">
        <v>22</v>
      </c>
      <c r="DQ68" s="88">
        <v>192</v>
      </c>
      <c r="DR68" s="147">
        <v>201.78125</v>
      </c>
      <c r="DT68" s="55"/>
      <c r="DU68" s="55"/>
    </row>
    <row r="69" spans="1:125" s="32" customFormat="1" ht="15" customHeight="1" thickBot="1">
      <c r="A69" s="100" t="s">
        <v>288</v>
      </c>
      <c r="B69" s="184">
        <v>2017</v>
      </c>
      <c r="C69" s="109">
        <v>11</v>
      </c>
      <c r="D69" s="83" t="s">
        <v>350</v>
      </c>
      <c r="E69" s="83" t="s">
        <v>405</v>
      </c>
      <c r="F69" s="132">
        <v>1167.2</v>
      </c>
      <c r="G69" s="85">
        <v>11417</v>
      </c>
      <c r="H69" s="86">
        <v>-0.70447034266829522</v>
      </c>
      <c r="I69" s="132">
        <v>9.7815284441398216</v>
      </c>
      <c r="J69" s="85">
        <v>5683</v>
      </c>
      <c r="K69" s="173">
        <v>49.776648856967682</v>
      </c>
      <c r="L69" s="85">
        <v>5734</v>
      </c>
      <c r="M69" s="173">
        <v>50.223351143032325</v>
      </c>
      <c r="N69" s="161">
        <v>29.692563720767279</v>
      </c>
      <c r="O69" s="161">
        <v>47.262853639309796</v>
      </c>
      <c r="P69" s="161">
        <v>23.044582639922922</v>
      </c>
      <c r="Q69" s="161">
        <v>41.192957869843219</v>
      </c>
      <c r="R69" s="159">
        <v>35.762459490233859</v>
      </c>
      <c r="S69" s="160">
        <v>23.044582639922922</v>
      </c>
      <c r="T69" s="84">
        <v>5.7</v>
      </c>
      <c r="U69" s="84">
        <v>7.3</v>
      </c>
      <c r="V69" s="89">
        <v>35</v>
      </c>
      <c r="W69" s="90">
        <v>6.3</v>
      </c>
      <c r="X69" s="148">
        <v>48701</v>
      </c>
      <c r="Y69" s="89">
        <v>2.5</v>
      </c>
      <c r="Z69" s="89" t="s">
        <v>343</v>
      </c>
      <c r="AA69" s="85">
        <v>957</v>
      </c>
      <c r="AB69" s="110" t="s">
        <v>355</v>
      </c>
      <c r="AC69" s="110" t="s">
        <v>355</v>
      </c>
      <c r="AD69" s="110" t="s">
        <v>355</v>
      </c>
      <c r="AE69" s="110" t="s">
        <v>355</v>
      </c>
      <c r="AF69" s="84">
        <v>12.86</v>
      </c>
      <c r="AG69" s="84">
        <v>5.12</v>
      </c>
      <c r="AH69" s="84">
        <v>71.84</v>
      </c>
      <c r="AI69" s="86">
        <v>28.163584070701102</v>
      </c>
      <c r="AJ69" s="84">
        <v>3.92</v>
      </c>
      <c r="AK69" s="84">
        <v>25.15</v>
      </c>
      <c r="AL69" s="84">
        <v>1.2913324202700058</v>
      </c>
      <c r="AM69" s="84">
        <v>22.51</v>
      </c>
      <c r="AN69" s="85">
        <v>26723</v>
      </c>
      <c r="AO69" s="85">
        <v>30666</v>
      </c>
      <c r="AP69" s="85">
        <v>3476</v>
      </c>
      <c r="AQ69" s="135">
        <v>871.83345874090799</v>
      </c>
      <c r="AR69" s="85">
        <v>3987</v>
      </c>
      <c r="AS69" s="85">
        <v>2788</v>
      </c>
      <c r="AT69" s="135">
        <v>3433.497536945813</v>
      </c>
      <c r="AU69" s="85">
        <v>812</v>
      </c>
      <c r="AV69" s="85">
        <v>408</v>
      </c>
      <c r="AW69" s="135">
        <v>798.43444227005875</v>
      </c>
      <c r="AX69" s="85">
        <v>511</v>
      </c>
      <c r="AY69" s="135" t="s">
        <v>379</v>
      </c>
      <c r="AZ69" s="135" t="s">
        <v>379</v>
      </c>
      <c r="BA69" s="89">
        <v>0</v>
      </c>
      <c r="BB69" s="87">
        <v>76.340034172661873</v>
      </c>
      <c r="BC69" s="91">
        <v>23.04991221469777</v>
      </c>
      <c r="BD69" s="85">
        <v>2989</v>
      </c>
      <c r="BE69" s="92">
        <v>11.185121430977061</v>
      </c>
      <c r="BF69" s="85">
        <v>6827</v>
      </c>
      <c r="BG69" s="92">
        <v>25.547281368109871</v>
      </c>
      <c r="BH69" s="85">
        <v>2789</v>
      </c>
      <c r="BI69" s="92">
        <v>10.43670246604049</v>
      </c>
      <c r="BJ69" s="85">
        <v>3096</v>
      </c>
      <c r="BK69" s="92">
        <v>11.585525577218126</v>
      </c>
      <c r="BL69" s="85">
        <v>3728</v>
      </c>
      <c r="BM69" s="92">
        <v>13.950529506417691</v>
      </c>
      <c r="BN69" s="85">
        <v>4940</v>
      </c>
      <c r="BO69" s="92">
        <v>18.485948433933316</v>
      </c>
      <c r="BP69" s="85">
        <v>2354</v>
      </c>
      <c r="BQ69" s="92">
        <v>8.8088912173034473</v>
      </c>
      <c r="BR69" s="165">
        <v>261.80257510729615</v>
      </c>
      <c r="BS69" s="165">
        <v>244.28483839887886</v>
      </c>
      <c r="BT69" s="111">
        <v>533.06472803713757</v>
      </c>
      <c r="BU69" s="165">
        <v>271.17456424629938</v>
      </c>
      <c r="BV69" s="165">
        <v>286.32740649908033</v>
      </c>
      <c r="BW69" s="165">
        <v>64.903214504685991</v>
      </c>
      <c r="BX69" s="165">
        <v>206.1837610580713</v>
      </c>
      <c r="BY69" s="112">
        <v>40.203205745817641</v>
      </c>
      <c r="BZ69" s="165">
        <v>432.68809669790664</v>
      </c>
      <c r="CA69" s="110" t="s">
        <v>355</v>
      </c>
      <c r="CB69" s="112">
        <v>414.10633181939619</v>
      </c>
      <c r="CC69" s="110" t="s">
        <v>355</v>
      </c>
      <c r="CD69" s="110" t="s">
        <v>355</v>
      </c>
      <c r="CE69" s="110" t="s">
        <v>355</v>
      </c>
      <c r="CF69" s="110" t="s">
        <v>355</v>
      </c>
      <c r="CG69" s="110" t="s">
        <v>355</v>
      </c>
      <c r="CH69" s="110" t="s">
        <v>355</v>
      </c>
      <c r="CI69" s="110" t="s">
        <v>355</v>
      </c>
      <c r="CJ69" s="87">
        <v>7175</v>
      </c>
      <c r="CK69" s="92">
        <v>51.456445993031366</v>
      </c>
      <c r="CL69" s="139">
        <v>900.95999999999992</v>
      </c>
      <c r="CM69" s="139">
        <v>78.913900324078114</v>
      </c>
      <c r="CN69" s="139">
        <v>185.75</v>
      </c>
      <c r="CO69" s="115">
        <v>2</v>
      </c>
      <c r="CP69" s="115">
        <v>6</v>
      </c>
      <c r="CQ69" s="110">
        <v>1</v>
      </c>
      <c r="CR69" s="86">
        <v>3.1585814360770579</v>
      </c>
      <c r="CS69" s="85">
        <v>5313</v>
      </c>
      <c r="CT69" s="85">
        <v>5313</v>
      </c>
      <c r="CU69" s="84">
        <v>100</v>
      </c>
      <c r="CV69" s="84">
        <v>63.76</v>
      </c>
      <c r="CW69" s="84">
        <v>2.17</v>
      </c>
      <c r="CX69" s="115" t="s">
        <v>339</v>
      </c>
      <c r="CY69" s="114">
        <v>45000</v>
      </c>
      <c r="CZ69" s="129">
        <v>129000</v>
      </c>
      <c r="DA69" s="129">
        <v>0</v>
      </c>
      <c r="DB69" s="129">
        <v>19000</v>
      </c>
      <c r="DC69" s="129">
        <v>0</v>
      </c>
      <c r="DD69" s="129">
        <v>237101</v>
      </c>
      <c r="DE69" s="87">
        <v>0</v>
      </c>
      <c r="DF69" s="87">
        <v>0</v>
      </c>
      <c r="DG69" s="114">
        <v>0</v>
      </c>
      <c r="DH69" s="162">
        <v>9</v>
      </c>
      <c r="DI69" s="114">
        <v>1268.5555555555557</v>
      </c>
      <c r="DJ69" s="114">
        <v>22</v>
      </c>
      <c r="DK69" s="114">
        <v>78</v>
      </c>
      <c r="DL69" s="114">
        <v>0</v>
      </c>
      <c r="DM69" s="114">
        <v>11</v>
      </c>
      <c r="DN69" s="114">
        <v>0</v>
      </c>
      <c r="DO69" s="114">
        <v>67</v>
      </c>
      <c r="DP69" s="114">
        <v>33</v>
      </c>
      <c r="DQ69" s="88">
        <v>117</v>
      </c>
      <c r="DR69" s="147">
        <v>97.581196581196579</v>
      </c>
      <c r="DT69" s="55"/>
      <c r="DU69" s="55"/>
    </row>
    <row r="70" spans="1:125" s="32" customFormat="1" ht="15" customHeight="1" thickBot="1">
      <c r="A70" s="100" t="s">
        <v>289</v>
      </c>
      <c r="B70" s="184">
        <v>2017</v>
      </c>
      <c r="C70" s="109">
        <v>4</v>
      </c>
      <c r="D70" s="83" t="s">
        <v>347</v>
      </c>
      <c r="E70" s="83" t="s">
        <v>407</v>
      </c>
      <c r="F70" s="132">
        <v>1287.7</v>
      </c>
      <c r="G70" s="85">
        <v>43905</v>
      </c>
      <c r="H70" s="86">
        <v>-1.3038102731257717</v>
      </c>
      <c r="I70" s="132">
        <v>34.095674458336568</v>
      </c>
      <c r="J70" s="85">
        <v>21479</v>
      </c>
      <c r="K70" s="173">
        <v>48.921535132672815</v>
      </c>
      <c r="L70" s="85">
        <v>22426</v>
      </c>
      <c r="M70" s="173">
        <v>51.078464867327192</v>
      </c>
      <c r="N70" s="161">
        <v>24.803553126067644</v>
      </c>
      <c r="O70" s="161">
        <v>49.796150780093384</v>
      </c>
      <c r="P70" s="161">
        <v>25.400296093838971</v>
      </c>
      <c r="Q70" s="161">
        <v>35.749914588315683</v>
      </c>
      <c r="R70" s="159">
        <v>38.849789317845342</v>
      </c>
      <c r="S70" s="160">
        <v>25.400296093838971</v>
      </c>
      <c r="T70" s="84">
        <v>5</v>
      </c>
      <c r="U70" s="84">
        <v>4.5999999999999996</v>
      </c>
      <c r="V70" s="89">
        <v>45</v>
      </c>
      <c r="W70" s="90">
        <v>5.9</v>
      </c>
      <c r="X70" s="148">
        <v>45735</v>
      </c>
      <c r="Y70" s="89">
        <v>2.4</v>
      </c>
      <c r="Z70" s="89" t="s">
        <v>340</v>
      </c>
      <c r="AA70" s="85">
        <v>4045</v>
      </c>
      <c r="AB70" s="110" t="s">
        <v>355</v>
      </c>
      <c r="AC70" s="110" t="s">
        <v>355</v>
      </c>
      <c r="AD70" s="110" t="s">
        <v>355</v>
      </c>
      <c r="AE70" s="110" t="s">
        <v>355</v>
      </c>
      <c r="AF70" s="84">
        <v>1.44</v>
      </c>
      <c r="AG70" s="84">
        <v>1.37</v>
      </c>
      <c r="AH70" s="84">
        <v>71.36</v>
      </c>
      <c r="AI70" s="86">
        <v>28.636083673068114</v>
      </c>
      <c r="AJ70" s="84">
        <v>9.02</v>
      </c>
      <c r="AK70" s="84">
        <v>3.41</v>
      </c>
      <c r="AL70" s="84">
        <v>7.4681558057965667</v>
      </c>
      <c r="AM70" s="84">
        <v>7.46</v>
      </c>
      <c r="AN70" s="85">
        <v>106776</v>
      </c>
      <c r="AO70" s="85">
        <v>108340</v>
      </c>
      <c r="AP70" s="85">
        <v>18148</v>
      </c>
      <c r="AQ70" s="135">
        <v>1171.5189464850559</v>
      </c>
      <c r="AR70" s="85">
        <v>15491</v>
      </c>
      <c r="AS70" s="85">
        <v>4443</v>
      </c>
      <c r="AT70" s="135">
        <v>2337.1909521304578</v>
      </c>
      <c r="AU70" s="85">
        <v>1901</v>
      </c>
      <c r="AV70" s="85">
        <v>5425</v>
      </c>
      <c r="AW70" s="135">
        <v>4443.0794430794431</v>
      </c>
      <c r="AX70" s="85">
        <v>1221</v>
      </c>
      <c r="AY70" s="135" t="s">
        <v>379</v>
      </c>
      <c r="AZ70" s="135" t="s">
        <v>379</v>
      </c>
      <c r="BA70" s="89">
        <v>0</v>
      </c>
      <c r="BB70" s="87">
        <v>121.77079882924043</v>
      </c>
      <c r="BC70" s="91">
        <v>23.077916209411917</v>
      </c>
      <c r="BD70" s="85">
        <v>6661</v>
      </c>
      <c r="BE70" s="92">
        <v>6.0409562504534575</v>
      </c>
      <c r="BF70" s="85">
        <v>30716</v>
      </c>
      <c r="BG70" s="92">
        <v>27.856780091416962</v>
      </c>
      <c r="BH70" s="85">
        <v>16279</v>
      </c>
      <c r="BI70" s="92">
        <v>14.763658129579918</v>
      </c>
      <c r="BJ70" s="85">
        <v>4236</v>
      </c>
      <c r="BK70" s="92">
        <v>3.8416890372197634</v>
      </c>
      <c r="BL70" s="85">
        <v>17144</v>
      </c>
      <c r="BM70" s="92">
        <v>15.548139011826162</v>
      </c>
      <c r="BN70" s="85">
        <v>22236</v>
      </c>
      <c r="BO70" s="92">
        <v>20.16614670245955</v>
      </c>
      <c r="BP70" s="85">
        <v>12992</v>
      </c>
      <c r="BQ70" s="92">
        <v>11.782630777044185</v>
      </c>
      <c r="BR70" s="165">
        <v>151.71392779865619</v>
      </c>
      <c r="BS70" s="165">
        <v>370.77781573852639</v>
      </c>
      <c r="BT70" s="111">
        <v>624.00637740576246</v>
      </c>
      <c r="BU70" s="165">
        <v>96.481038606081313</v>
      </c>
      <c r="BV70" s="165">
        <v>272.29244960710628</v>
      </c>
      <c r="BW70" s="165">
        <v>75.595034734084962</v>
      </c>
      <c r="BX70" s="165">
        <v>295.91162737729189</v>
      </c>
      <c r="BY70" s="112">
        <v>118.18699464753445</v>
      </c>
      <c r="BZ70" s="165">
        <v>506.45712333447216</v>
      </c>
      <c r="CA70" s="110" t="s">
        <v>355</v>
      </c>
      <c r="CB70" s="112">
        <v>260.84775520441434</v>
      </c>
      <c r="CC70" s="110" t="s">
        <v>355</v>
      </c>
      <c r="CD70" s="110" t="s">
        <v>355</v>
      </c>
      <c r="CE70" s="110" t="s">
        <v>355</v>
      </c>
      <c r="CF70" s="110" t="s">
        <v>355</v>
      </c>
      <c r="CG70" s="110" t="s">
        <v>355</v>
      </c>
      <c r="CH70" s="110" t="s">
        <v>355</v>
      </c>
      <c r="CI70" s="110" t="s">
        <v>355</v>
      </c>
      <c r="CJ70" s="87">
        <v>21932</v>
      </c>
      <c r="CK70" s="92">
        <v>63.359474740105782</v>
      </c>
      <c r="CL70" s="139">
        <v>1223.03</v>
      </c>
      <c r="CM70" s="139">
        <v>27.856280605853549</v>
      </c>
      <c r="CN70" s="139">
        <v>405.08800000000002</v>
      </c>
      <c r="CO70" s="115">
        <v>3</v>
      </c>
      <c r="CP70" s="115">
        <v>7</v>
      </c>
      <c r="CQ70" s="110">
        <v>3</v>
      </c>
      <c r="CR70" s="86">
        <v>8.9910534964396565</v>
      </c>
      <c r="CS70" s="85">
        <v>10498</v>
      </c>
      <c r="CT70" s="85">
        <v>11332</v>
      </c>
      <c r="CU70" s="84">
        <v>92.64</v>
      </c>
      <c r="CV70" s="84">
        <v>60.07</v>
      </c>
      <c r="CW70" s="84">
        <v>13.63</v>
      </c>
      <c r="CX70" s="115" t="s">
        <v>339</v>
      </c>
      <c r="CY70" s="114">
        <v>160000</v>
      </c>
      <c r="CZ70" s="129">
        <v>268000</v>
      </c>
      <c r="DA70" s="129">
        <v>12000</v>
      </c>
      <c r="DB70" s="129">
        <v>17000</v>
      </c>
      <c r="DC70" s="129">
        <v>2000</v>
      </c>
      <c r="DD70" s="129">
        <v>347622</v>
      </c>
      <c r="DE70" s="87">
        <v>12</v>
      </c>
      <c r="DF70" s="87">
        <v>39074</v>
      </c>
      <c r="DG70" s="114">
        <v>2</v>
      </c>
      <c r="DH70" s="162">
        <v>11</v>
      </c>
      <c r="DI70" s="114">
        <v>3991.3636363636365</v>
      </c>
      <c r="DJ70" s="114">
        <v>45</v>
      </c>
      <c r="DK70" s="114">
        <v>55</v>
      </c>
      <c r="DL70" s="114">
        <v>0</v>
      </c>
      <c r="DM70" s="114">
        <v>9</v>
      </c>
      <c r="DN70" s="114">
        <v>0</v>
      </c>
      <c r="DO70" s="114">
        <v>82</v>
      </c>
      <c r="DP70" s="114">
        <v>18</v>
      </c>
      <c r="DQ70" s="88">
        <v>431</v>
      </c>
      <c r="DR70" s="147">
        <v>101.8677494199536</v>
      </c>
      <c r="DT70" s="55"/>
      <c r="DU70" s="55"/>
    </row>
    <row r="71" spans="1:125" s="32" customFormat="1" ht="15" customHeight="1" thickBot="1">
      <c r="A71" s="100" t="s">
        <v>290</v>
      </c>
      <c r="B71" s="184">
        <v>2017</v>
      </c>
      <c r="C71" s="109">
        <v>4</v>
      </c>
      <c r="D71" s="83" t="s">
        <v>347</v>
      </c>
      <c r="E71" s="83"/>
      <c r="F71" s="132">
        <v>4512.3</v>
      </c>
      <c r="G71" s="85">
        <v>21565</v>
      </c>
      <c r="H71" s="86">
        <v>2.6464848398305429</v>
      </c>
      <c r="I71" s="132">
        <v>4.7791591871107855</v>
      </c>
      <c r="J71" s="85">
        <v>10992</v>
      </c>
      <c r="K71" s="173">
        <v>50.971481567354502</v>
      </c>
      <c r="L71" s="85">
        <v>10573</v>
      </c>
      <c r="M71" s="173">
        <v>49.028518432645491</v>
      </c>
      <c r="N71" s="161">
        <v>23.222814746116395</v>
      </c>
      <c r="O71" s="161">
        <v>48.115001159285882</v>
      </c>
      <c r="P71" s="161">
        <v>28.662184094597727</v>
      </c>
      <c r="Q71" s="161">
        <v>34.305587757941112</v>
      </c>
      <c r="R71" s="159">
        <v>37.032228147461169</v>
      </c>
      <c r="S71" s="160">
        <v>28.662184094597727</v>
      </c>
      <c r="T71" s="84">
        <v>5.7</v>
      </c>
      <c r="U71" s="84">
        <v>3.4</v>
      </c>
      <c r="V71" s="89">
        <v>17</v>
      </c>
      <c r="W71" s="90">
        <v>7.5</v>
      </c>
      <c r="X71" s="148">
        <v>56652</v>
      </c>
      <c r="Y71" s="89">
        <v>2.2999999999999998</v>
      </c>
      <c r="Z71" s="89" t="s">
        <v>340</v>
      </c>
      <c r="AA71" s="85">
        <v>1271</v>
      </c>
      <c r="AB71" s="110" t="s">
        <v>355</v>
      </c>
      <c r="AC71" s="110" t="s">
        <v>355</v>
      </c>
      <c r="AD71" s="110" t="s">
        <v>355</v>
      </c>
      <c r="AE71" s="110" t="s">
        <v>355</v>
      </c>
      <c r="AF71" s="84">
        <v>-1.99</v>
      </c>
      <c r="AG71" s="84">
        <v>1.81</v>
      </c>
      <c r="AH71" s="84">
        <v>73.97</v>
      </c>
      <c r="AI71" s="86">
        <v>26.02871715092181</v>
      </c>
      <c r="AJ71" s="84">
        <v>5.92</v>
      </c>
      <c r="AK71" s="84">
        <v>4.49</v>
      </c>
      <c r="AL71" s="84">
        <v>6.0794661239557941</v>
      </c>
      <c r="AM71" s="84">
        <v>12.95</v>
      </c>
      <c r="AN71" s="85">
        <v>43096</v>
      </c>
      <c r="AO71" s="85">
        <v>42257</v>
      </c>
      <c r="AP71" s="85">
        <v>13602</v>
      </c>
      <c r="AQ71" s="135">
        <v>1422.8033472803347</v>
      </c>
      <c r="AR71" s="85">
        <v>9560</v>
      </c>
      <c r="AS71" s="85">
        <v>1762</v>
      </c>
      <c r="AT71" s="135">
        <v>1377.6387802971071</v>
      </c>
      <c r="AU71" s="85">
        <v>1279</v>
      </c>
      <c r="AV71" s="85">
        <v>1729</v>
      </c>
      <c r="AW71" s="135">
        <v>3528.5714285714284</v>
      </c>
      <c r="AX71" s="85">
        <v>490</v>
      </c>
      <c r="AY71" s="85">
        <v>2035</v>
      </c>
      <c r="AZ71" s="135">
        <v>156538.46153846153</v>
      </c>
      <c r="BA71" s="89">
        <v>13</v>
      </c>
      <c r="BB71" s="87">
        <v>83.693908929318283</v>
      </c>
      <c r="BC71" s="91">
        <v>25.460251046025107</v>
      </c>
      <c r="BD71" s="85">
        <v>621</v>
      </c>
      <c r="BE71" s="92">
        <v>1.4109147089562413</v>
      </c>
      <c r="BF71" s="85">
        <v>14796</v>
      </c>
      <c r="BG71" s="92">
        <v>33.616576543826966</v>
      </c>
      <c r="BH71" s="85">
        <v>3356</v>
      </c>
      <c r="BI71" s="92">
        <v>7.6248466397055488</v>
      </c>
      <c r="BJ71" s="85">
        <v>4222</v>
      </c>
      <c r="BK71" s="92">
        <v>9.5924024174126412</v>
      </c>
      <c r="BL71" s="85">
        <v>7392</v>
      </c>
      <c r="BM71" s="92">
        <v>16.794656245739993</v>
      </c>
      <c r="BN71" s="85">
        <v>4455</v>
      </c>
      <c r="BO71" s="92">
        <v>10.121779433816513</v>
      </c>
      <c r="BP71" s="85">
        <v>9172</v>
      </c>
      <c r="BQ71" s="92">
        <v>20.838824010542101</v>
      </c>
      <c r="BR71" s="165">
        <v>28.796661256665892</v>
      </c>
      <c r="BS71" s="165">
        <v>155.62253651750521</v>
      </c>
      <c r="BT71" s="111">
        <v>616.09088801298401</v>
      </c>
      <c r="BU71" s="165">
        <v>195.78019939717134</v>
      </c>
      <c r="BV71" s="165">
        <v>269.27892418270346</v>
      </c>
      <c r="BW71" s="165">
        <v>70.020867145838167</v>
      </c>
      <c r="BX71" s="165">
        <v>425.31880361697193</v>
      </c>
      <c r="BY71" s="112">
        <v>73.498724785532119</v>
      </c>
      <c r="BZ71" s="165">
        <v>206.58474379782055</v>
      </c>
      <c r="CA71" s="110" t="s">
        <v>355</v>
      </c>
      <c r="CB71" s="112">
        <v>296.4947388806404</v>
      </c>
      <c r="CC71" s="110" t="s">
        <v>355</v>
      </c>
      <c r="CD71" s="110" t="s">
        <v>355</v>
      </c>
      <c r="CE71" s="110" t="s">
        <v>355</v>
      </c>
      <c r="CF71" s="110" t="s">
        <v>355</v>
      </c>
      <c r="CG71" s="110" t="s">
        <v>355</v>
      </c>
      <c r="CH71" s="110" t="s">
        <v>355</v>
      </c>
      <c r="CI71" s="110" t="s">
        <v>355</v>
      </c>
      <c r="CJ71" s="87">
        <v>17690</v>
      </c>
      <c r="CK71" s="92">
        <v>35.008479366873942</v>
      </c>
      <c r="CL71" s="139">
        <v>1331.9279999999999</v>
      </c>
      <c r="CM71" s="139">
        <v>61.76341293763042</v>
      </c>
      <c r="CN71" s="139">
        <v>92.63</v>
      </c>
      <c r="CO71" s="115">
        <v>1</v>
      </c>
      <c r="CP71" s="115">
        <v>12</v>
      </c>
      <c r="CQ71" s="110">
        <v>3</v>
      </c>
      <c r="CR71" s="86">
        <v>3.6503982218929432</v>
      </c>
      <c r="CS71" s="85">
        <v>5346</v>
      </c>
      <c r="CT71" s="85">
        <v>7138</v>
      </c>
      <c r="CU71" s="84">
        <v>74.89</v>
      </c>
      <c r="CV71" s="84">
        <v>86.97</v>
      </c>
      <c r="CW71" s="84">
        <v>6.04</v>
      </c>
      <c r="CX71" s="115" t="s">
        <v>339</v>
      </c>
      <c r="CY71" s="114">
        <v>26000</v>
      </c>
      <c r="CZ71" s="129">
        <v>117000</v>
      </c>
      <c r="DA71" s="129">
        <v>0</v>
      </c>
      <c r="DB71" s="129">
        <v>8366</v>
      </c>
      <c r="DC71" s="129">
        <v>0</v>
      </c>
      <c r="DD71" s="129">
        <v>238740</v>
      </c>
      <c r="DE71" s="87">
        <v>3</v>
      </c>
      <c r="DF71" s="87">
        <v>9500</v>
      </c>
      <c r="DG71" s="114">
        <v>3</v>
      </c>
      <c r="DH71" s="162">
        <v>9</v>
      </c>
      <c r="DI71" s="114">
        <v>2396.1111111111113</v>
      </c>
      <c r="DJ71" s="114">
        <v>33</v>
      </c>
      <c r="DK71" s="114">
        <v>67</v>
      </c>
      <c r="DL71" s="114">
        <v>0</v>
      </c>
      <c r="DM71" s="114">
        <v>0</v>
      </c>
      <c r="DN71" s="114">
        <v>0</v>
      </c>
      <c r="DO71" s="114">
        <v>56</v>
      </c>
      <c r="DP71" s="114">
        <v>44</v>
      </c>
      <c r="DQ71" s="88">
        <v>184</v>
      </c>
      <c r="DR71" s="147">
        <v>117.20108695652173</v>
      </c>
      <c r="DT71" s="55"/>
      <c r="DU71" s="55"/>
    </row>
    <row r="72" spans="1:125" s="32" customFormat="1" ht="15" customHeight="1" thickBot="1">
      <c r="A72" s="100" t="s">
        <v>291</v>
      </c>
      <c r="B72" s="184">
        <v>2017</v>
      </c>
      <c r="C72" s="109">
        <v>3</v>
      </c>
      <c r="D72" s="83" t="s">
        <v>349</v>
      </c>
      <c r="E72" s="83"/>
      <c r="F72" s="132">
        <v>305.7</v>
      </c>
      <c r="G72" s="85">
        <v>217586</v>
      </c>
      <c r="H72" s="86">
        <v>13.774026897575876</v>
      </c>
      <c r="I72" s="132">
        <v>711.76316650310764</v>
      </c>
      <c r="J72" s="85">
        <v>108572</v>
      </c>
      <c r="K72" s="173">
        <v>49.89843096522754</v>
      </c>
      <c r="L72" s="85">
        <v>109014</v>
      </c>
      <c r="M72" s="173">
        <v>50.101569034772453</v>
      </c>
      <c r="N72" s="161">
        <v>29.819014090980119</v>
      </c>
      <c r="O72" s="161">
        <v>55.334442473320891</v>
      </c>
      <c r="P72" s="161">
        <v>14.846543435698988</v>
      </c>
      <c r="Q72" s="161">
        <v>44.631547985624074</v>
      </c>
      <c r="R72" s="159">
        <v>40.521908578676936</v>
      </c>
      <c r="S72" s="160">
        <v>14.846543435698988</v>
      </c>
      <c r="T72" s="84">
        <v>1.5</v>
      </c>
      <c r="U72" s="84">
        <v>51.9</v>
      </c>
      <c r="V72" s="89">
        <v>82</v>
      </c>
      <c r="W72" s="90">
        <v>4.9000000000000004</v>
      </c>
      <c r="X72" s="148">
        <v>55082</v>
      </c>
      <c r="Y72" s="89">
        <v>3.2</v>
      </c>
      <c r="Z72" s="89" t="s">
        <v>340</v>
      </c>
      <c r="AA72" s="85">
        <v>15538</v>
      </c>
      <c r="AB72" s="110" t="s">
        <v>355</v>
      </c>
      <c r="AC72" s="110" t="s">
        <v>355</v>
      </c>
      <c r="AD72" s="110" t="s">
        <v>355</v>
      </c>
      <c r="AE72" s="110" t="s">
        <v>355</v>
      </c>
      <c r="AF72" s="84">
        <v>5.4</v>
      </c>
      <c r="AG72" s="84">
        <v>2.11</v>
      </c>
      <c r="AH72" s="84">
        <v>55.15</v>
      </c>
      <c r="AI72" s="86">
        <v>44.879776359234398</v>
      </c>
      <c r="AJ72" s="84">
        <v>4.6100000000000003</v>
      </c>
      <c r="AK72" s="84">
        <v>6.4</v>
      </c>
      <c r="AL72" s="84">
        <v>4.0184964526602318</v>
      </c>
      <c r="AM72" s="84">
        <v>15.16</v>
      </c>
      <c r="AN72" s="85">
        <v>173013</v>
      </c>
      <c r="AO72" s="85">
        <v>182769</v>
      </c>
      <c r="AP72" s="85">
        <v>71309</v>
      </c>
      <c r="AQ72" s="135">
        <v>1081.4389056552268</v>
      </c>
      <c r="AR72" s="85">
        <v>65939</v>
      </c>
      <c r="AS72" s="85">
        <v>511</v>
      </c>
      <c r="AT72" s="135">
        <v>3729.9270072992699</v>
      </c>
      <c r="AU72" s="85">
        <v>137</v>
      </c>
      <c r="AV72" s="85">
        <v>22089</v>
      </c>
      <c r="AW72" s="135">
        <v>6752.980739834913</v>
      </c>
      <c r="AX72" s="85">
        <v>3271</v>
      </c>
      <c r="AY72" s="135" t="s">
        <v>379</v>
      </c>
      <c r="AZ72" s="135" t="s">
        <v>379</v>
      </c>
      <c r="BA72" s="89">
        <v>0</v>
      </c>
      <c r="BB72" s="87">
        <v>345.62868564248367</v>
      </c>
      <c r="BC72" s="91">
        <v>13.517038474954123</v>
      </c>
      <c r="BD72" s="85">
        <v>39903</v>
      </c>
      <c r="BE72" s="92">
        <v>21.847897503285154</v>
      </c>
      <c r="BF72" s="85">
        <v>6818</v>
      </c>
      <c r="BG72" s="92">
        <v>3.7330267192290845</v>
      </c>
      <c r="BH72" s="85">
        <v>38036</v>
      </c>
      <c r="BI72" s="92">
        <v>20.825667980727115</v>
      </c>
      <c r="BJ72" s="85">
        <v>25612</v>
      </c>
      <c r="BK72" s="92">
        <v>14.023215067893124</v>
      </c>
      <c r="BL72" s="85">
        <v>36835</v>
      </c>
      <c r="BM72" s="92">
        <v>20.168090232150679</v>
      </c>
      <c r="BN72" s="85">
        <v>25546</v>
      </c>
      <c r="BO72" s="92">
        <v>13.987078405606656</v>
      </c>
      <c r="BP72" s="85">
        <v>9890</v>
      </c>
      <c r="BQ72" s="92">
        <v>5.4150240911081911</v>
      </c>
      <c r="BR72" s="165">
        <v>183.38955631336574</v>
      </c>
      <c r="BS72" s="165">
        <v>174.80904102285993</v>
      </c>
      <c r="BT72" s="111">
        <v>0</v>
      </c>
      <c r="BU72" s="165">
        <v>117.7097791218185</v>
      </c>
      <c r="BV72" s="165">
        <v>127.97238792937046</v>
      </c>
      <c r="BW72" s="165">
        <v>31.334736609892179</v>
      </c>
      <c r="BX72" s="165">
        <v>45.453292031656446</v>
      </c>
      <c r="BY72" s="112">
        <v>41.316996497936451</v>
      </c>
      <c r="BZ72" s="165">
        <v>117.40645078267903</v>
      </c>
      <c r="CA72" s="110" t="s">
        <v>355</v>
      </c>
      <c r="CB72" s="112">
        <v>368.41004184100416</v>
      </c>
      <c r="CC72" s="110" t="s">
        <v>355</v>
      </c>
      <c r="CD72" s="110" t="s">
        <v>355</v>
      </c>
      <c r="CE72" s="110" t="s">
        <v>355</v>
      </c>
      <c r="CF72" s="110" t="s">
        <v>355</v>
      </c>
      <c r="CG72" s="110" t="s">
        <v>355</v>
      </c>
      <c r="CH72" s="110" t="s">
        <v>355</v>
      </c>
      <c r="CI72" s="110" t="s">
        <v>355</v>
      </c>
      <c r="CJ72" s="87">
        <v>58528</v>
      </c>
      <c r="CK72" s="92">
        <v>47.479838709677416</v>
      </c>
      <c r="CL72" s="139">
        <v>920.49499999999989</v>
      </c>
      <c r="CM72" s="139">
        <v>4.2304881747906569</v>
      </c>
      <c r="CN72" s="139">
        <v>1672.11</v>
      </c>
      <c r="CO72" s="115">
        <v>3</v>
      </c>
      <c r="CP72" s="115">
        <v>29</v>
      </c>
      <c r="CQ72" s="110">
        <v>6</v>
      </c>
      <c r="CR72" s="86">
        <v>3.2643246867766469</v>
      </c>
      <c r="CS72" s="85">
        <v>19955</v>
      </c>
      <c r="CT72" s="85">
        <v>18843</v>
      </c>
      <c r="CU72" s="84">
        <v>105.9</v>
      </c>
      <c r="CV72" s="84">
        <v>86.47</v>
      </c>
      <c r="CW72" s="84">
        <v>2.6</v>
      </c>
      <c r="CX72" s="115" t="s">
        <v>339</v>
      </c>
      <c r="CY72" s="114">
        <v>85000</v>
      </c>
      <c r="CZ72" s="129">
        <v>335000</v>
      </c>
      <c r="DA72" s="129">
        <v>0</v>
      </c>
      <c r="DB72" s="129">
        <v>14761</v>
      </c>
      <c r="DC72" s="129">
        <v>14376</v>
      </c>
      <c r="DD72" s="129">
        <v>389329</v>
      </c>
      <c r="DE72" s="87">
        <v>2</v>
      </c>
      <c r="DF72" s="87">
        <v>2000</v>
      </c>
      <c r="DG72" s="114">
        <v>0</v>
      </c>
      <c r="DH72" s="162">
        <v>11</v>
      </c>
      <c r="DI72" s="114">
        <v>19780.545454545456</v>
      </c>
      <c r="DJ72" s="114">
        <v>36</v>
      </c>
      <c r="DK72" s="114">
        <v>64</v>
      </c>
      <c r="DL72" s="114">
        <v>0</v>
      </c>
      <c r="DM72" s="114">
        <v>40</v>
      </c>
      <c r="DN72" s="114">
        <v>10</v>
      </c>
      <c r="DO72" s="114">
        <v>50</v>
      </c>
      <c r="DP72" s="114">
        <v>40</v>
      </c>
      <c r="DQ72" s="88">
        <v>743</v>
      </c>
      <c r="DR72" s="147">
        <v>292.84791386271871</v>
      </c>
      <c r="DT72" s="55"/>
      <c r="DU72" s="55"/>
    </row>
    <row r="73" spans="1:125" s="32" customFormat="1" ht="15" customHeight="1" thickBot="1">
      <c r="A73" s="100" t="s">
        <v>292</v>
      </c>
      <c r="B73" s="184">
        <v>2017</v>
      </c>
      <c r="C73" s="109">
        <v>10</v>
      </c>
      <c r="D73" s="83" t="s">
        <v>350</v>
      </c>
      <c r="E73" s="83" t="s">
        <v>414</v>
      </c>
      <c r="F73" s="132">
        <v>5082.2</v>
      </c>
      <c r="G73" s="85">
        <v>7867</v>
      </c>
      <c r="H73" s="86">
        <v>1.0662898252826292</v>
      </c>
      <c r="I73" s="132">
        <v>1.5479516744716855</v>
      </c>
      <c r="J73" s="85">
        <v>3941</v>
      </c>
      <c r="K73" s="173">
        <v>50.095334943434601</v>
      </c>
      <c r="L73" s="85">
        <v>3926</v>
      </c>
      <c r="M73" s="173">
        <v>49.904665056565399</v>
      </c>
      <c r="N73" s="161">
        <v>25.371806279394942</v>
      </c>
      <c r="O73" s="161">
        <v>45.11249523325283</v>
      </c>
      <c r="P73" s="161">
        <v>29.515698487352232</v>
      </c>
      <c r="Q73" s="161">
        <v>34.625651455446807</v>
      </c>
      <c r="R73" s="159">
        <v>35.858650057200961</v>
      </c>
      <c r="S73" s="160">
        <v>29.515698487352232</v>
      </c>
      <c r="T73" s="84">
        <v>12.4</v>
      </c>
      <c r="U73" s="84">
        <v>1.1000000000000001</v>
      </c>
      <c r="V73" s="89">
        <v>15</v>
      </c>
      <c r="W73" s="90">
        <v>6.8</v>
      </c>
      <c r="X73" s="148">
        <v>47792</v>
      </c>
      <c r="Y73" s="89">
        <v>2.2999999999999998</v>
      </c>
      <c r="Z73" s="89" t="s">
        <v>342</v>
      </c>
      <c r="AA73" s="85">
        <v>997</v>
      </c>
      <c r="AB73" s="110" t="s">
        <v>355</v>
      </c>
      <c r="AC73" s="110" t="s">
        <v>355</v>
      </c>
      <c r="AD73" s="110" t="s">
        <v>355</v>
      </c>
      <c r="AE73" s="110" t="s">
        <v>355</v>
      </c>
      <c r="AF73" s="84">
        <v>-35.1</v>
      </c>
      <c r="AG73" s="84">
        <v>3.68</v>
      </c>
      <c r="AH73" s="84">
        <v>57.83</v>
      </c>
      <c r="AI73" s="86">
        <v>42.170745925266303</v>
      </c>
      <c r="AJ73" s="84">
        <v>6.63</v>
      </c>
      <c r="AK73" s="84">
        <v>3.28</v>
      </c>
      <c r="AL73" s="84">
        <v>2.1390128340770045</v>
      </c>
      <c r="AM73" s="84">
        <v>14.72</v>
      </c>
      <c r="AN73" s="85">
        <v>29369</v>
      </c>
      <c r="AO73" s="85">
        <v>21739</v>
      </c>
      <c r="AP73" s="85">
        <v>1933</v>
      </c>
      <c r="AQ73" s="135">
        <v>663.5770683144525</v>
      </c>
      <c r="AR73" s="85">
        <v>2913</v>
      </c>
      <c r="AS73" s="85">
        <v>4105</v>
      </c>
      <c r="AT73" s="135">
        <v>4117.3520561685054</v>
      </c>
      <c r="AU73" s="85">
        <v>997</v>
      </c>
      <c r="AV73" s="85">
        <v>328</v>
      </c>
      <c r="AW73" s="135">
        <v>961.87683284457478</v>
      </c>
      <c r="AX73" s="85">
        <v>341</v>
      </c>
      <c r="AY73" s="85">
        <v>297</v>
      </c>
      <c r="AZ73" s="135">
        <v>74250</v>
      </c>
      <c r="BA73" s="89">
        <v>4</v>
      </c>
      <c r="BB73" s="87">
        <v>215.02261293711541</v>
      </c>
      <c r="BC73" s="91">
        <v>28.939237899073124</v>
      </c>
      <c r="BD73" s="85">
        <v>4996</v>
      </c>
      <c r="BE73" s="92">
        <v>16.82948191066496</v>
      </c>
      <c r="BF73" s="85">
        <v>5277</v>
      </c>
      <c r="BG73" s="92">
        <v>17.776056053358484</v>
      </c>
      <c r="BH73" s="85">
        <v>1847</v>
      </c>
      <c r="BI73" s="92">
        <v>6.2217880482382268</v>
      </c>
      <c r="BJ73" s="85">
        <v>1784</v>
      </c>
      <c r="BK73" s="92">
        <v>6.00956679916459</v>
      </c>
      <c r="BL73" s="85">
        <v>3212</v>
      </c>
      <c r="BM73" s="92">
        <v>10.819915111500372</v>
      </c>
      <c r="BN73" s="85">
        <v>10723</v>
      </c>
      <c r="BO73" s="92">
        <v>36.121404028835144</v>
      </c>
      <c r="BP73" s="85">
        <v>1847</v>
      </c>
      <c r="BQ73" s="92">
        <v>6.2217880482382268</v>
      </c>
      <c r="BR73" s="165">
        <v>635.05783653235028</v>
      </c>
      <c r="BS73" s="165">
        <v>234.77818736494217</v>
      </c>
      <c r="BT73" s="111">
        <v>559.80678784797249</v>
      </c>
      <c r="BU73" s="165">
        <v>226.77005211643575</v>
      </c>
      <c r="BV73" s="165">
        <v>346.25651455446803</v>
      </c>
      <c r="BW73" s="165">
        <v>110.96987415787467</v>
      </c>
      <c r="BX73" s="165">
        <v>234.77818736494217</v>
      </c>
      <c r="BY73" s="112">
        <v>62.031269861446546</v>
      </c>
      <c r="BZ73" s="165">
        <v>1363.0354645989576</v>
      </c>
      <c r="CA73" s="110" t="s">
        <v>355</v>
      </c>
      <c r="CB73" s="112">
        <v>438.61751012299248</v>
      </c>
      <c r="CC73" s="110" t="s">
        <v>355</v>
      </c>
      <c r="CD73" s="110" t="s">
        <v>355</v>
      </c>
      <c r="CE73" s="110" t="s">
        <v>355</v>
      </c>
      <c r="CF73" s="110" t="s">
        <v>355</v>
      </c>
      <c r="CG73" s="110" t="s">
        <v>355</v>
      </c>
      <c r="CH73" s="110" t="s">
        <v>355</v>
      </c>
      <c r="CI73" s="110" t="s">
        <v>355</v>
      </c>
      <c r="CJ73" s="87">
        <v>7044</v>
      </c>
      <c r="CK73" s="92">
        <v>34.596819988642821</v>
      </c>
      <c r="CL73" s="139">
        <v>1393.9099999999999</v>
      </c>
      <c r="CM73" s="139">
        <v>177.18444133723145</v>
      </c>
      <c r="CN73" s="139">
        <v>90</v>
      </c>
      <c r="CO73" s="115">
        <v>2</v>
      </c>
      <c r="CP73" s="115">
        <v>9</v>
      </c>
      <c r="CQ73" s="110">
        <v>3</v>
      </c>
      <c r="CR73" s="86">
        <v>3.3547609991124636</v>
      </c>
      <c r="CS73" s="85">
        <v>6240</v>
      </c>
      <c r="CT73" s="85">
        <v>6451</v>
      </c>
      <c r="CU73" s="84">
        <v>96.73</v>
      </c>
      <c r="CV73" s="84">
        <v>15.43</v>
      </c>
      <c r="CW73" s="84">
        <v>2.08</v>
      </c>
      <c r="CX73" s="115" t="s">
        <v>339</v>
      </c>
      <c r="CY73" s="114">
        <v>47000</v>
      </c>
      <c r="CZ73" s="129">
        <v>106000</v>
      </c>
      <c r="DA73" s="129">
        <v>4000</v>
      </c>
      <c r="DB73" s="129">
        <v>8000</v>
      </c>
      <c r="DC73" s="129">
        <v>11000</v>
      </c>
      <c r="DD73" s="129">
        <v>262069</v>
      </c>
      <c r="DE73" s="87">
        <v>2</v>
      </c>
      <c r="DF73" s="87">
        <v>5331</v>
      </c>
      <c r="DG73" s="114">
        <v>0</v>
      </c>
      <c r="DH73" s="162">
        <v>7</v>
      </c>
      <c r="DI73" s="114">
        <v>1123.8571428571429</v>
      </c>
      <c r="DJ73" s="114">
        <v>14</v>
      </c>
      <c r="DK73" s="114">
        <v>86</v>
      </c>
      <c r="DL73" s="114">
        <v>10</v>
      </c>
      <c r="DM73" s="114">
        <v>0</v>
      </c>
      <c r="DN73" s="114">
        <v>0</v>
      </c>
      <c r="DO73" s="114">
        <v>30</v>
      </c>
      <c r="DP73" s="114">
        <v>70</v>
      </c>
      <c r="DQ73" s="88">
        <v>114</v>
      </c>
      <c r="DR73" s="147">
        <v>69.008771929824562</v>
      </c>
      <c r="DT73" s="55"/>
      <c r="DU73" s="55"/>
    </row>
    <row r="74" spans="1:125" s="32" customFormat="1" ht="15" customHeight="1" thickBot="1">
      <c r="A74" s="100" t="s">
        <v>293</v>
      </c>
      <c r="B74" s="184">
        <v>2017</v>
      </c>
      <c r="C74" s="109">
        <v>9</v>
      </c>
      <c r="D74" s="83" t="s">
        <v>348</v>
      </c>
      <c r="E74" s="83" t="s">
        <v>411</v>
      </c>
      <c r="F74" s="132">
        <v>2895.8</v>
      </c>
      <c r="G74" s="85">
        <v>3237</v>
      </c>
      <c r="H74" s="86">
        <v>5.0292018170019492</v>
      </c>
      <c r="I74" s="132">
        <v>1.1178258167000483</v>
      </c>
      <c r="J74" s="85">
        <v>1601</v>
      </c>
      <c r="K74" s="173">
        <v>49.459375965400056</v>
      </c>
      <c r="L74" s="85">
        <v>1636</v>
      </c>
      <c r="M74" s="173">
        <v>50.540624034599936</v>
      </c>
      <c r="N74" s="161">
        <v>27.587272165585418</v>
      </c>
      <c r="O74" s="161">
        <v>43.867778807537846</v>
      </c>
      <c r="P74" s="161">
        <v>28.544949026876736</v>
      </c>
      <c r="Q74" s="161">
        <v>36.453506333024407</v>
      </c>
      <c r="R74" s="159">
        <v>35.001544640098857</v>
      </c>
      <c r="S74" s="160">
        <v>28.544949026876736</v>
      </c>
      <c r="T74" s="84">
        <v>3.4</v>
      </c>
      <c r="U74" s="84">
        <v>1.3</v>
      </c>
      <c r="V74" s="89">
        <v>81</v>
      </c>
      <c r="W74" s="90">
        <v>3.2</v>
      </c>
      <c r="X74" s="148">
        <v>45645</v>
      </c>
      <c r="Y74" s="89">
        <v>2.5</v>
      </c>
      <c r="Z74" s="89" t="s">
        <v>342</v>
      </c>
      <c r="AA74" s="85">
        <v>297</v>
      </c>
      <c r="AB74" s="110" t="s">
        <v>355</v>
      </c>
      <c r="AC74" s="110" t="s">
        <v>355</v>
      </c>
      <c r="AD74" s="110" t="s">
        <v>355</v>
      </c>
      <c r="AE74" s="110" t="s">
        <v>355</v>
      </c>
      <c r="AF74" s="84">
        <v>8.4</v>
      </c>
      <c r="AG74" s="84">
        <v>8.36</v>
      </c>
      <c r="AH74" s="84">
        <v>34.46</v>
      </c>
      <c r="AI74" s="86">
        <v>65.544035414437303</v>
      </c>
      <c r="AJ74" s="84">
        <v>5.03</v>
      </c>
      <c r="AK74" s="84">
        <v>37.64</v>
      </c>
      <c r="AL74" s="84">
        <v>1.0360742205896203</v>
      </c>
      <c r="AM74" s="84">
        <v>18.87</v>
      </c>
      <c r="AN74" s="85">
        <v>9725</v>
      </c>
      <c r="AO74" s="85">
        <v>10617</v>
      </c>
      <c r="AP74" s="85">
        <v>335</v>
      </c>
      <c r="AQ74" s="135">
        <v>291.30434782608694</v>
      </c>
      <c r="AR74" s="85">
        <v>1150</v>
      </c>
      <c r="AS74" s="85">
        <v>1890</v>
      </c>
      <c r="AT74" s="135">
        <v>1687.5</v>
      </c>
      <c r="AU74" s="85">
        <v>1120</v>
      </c>
      <c r="AV74" s="85">
        <v>101</v>
      </c>
      <c r="AW74" s="135">
        <v>463.30275229357801</v>
      </c>
      <c r="AX74" s="85">
        <v>218</v>
      </c>
      <c r="AY74" s="135" t="s">
        <v>379</v>
      </c>
      <c r="AZ74" s="135" t="s">
        <v>379</v>
      </c>
      <c r="BA74" s="89">
        <v>0</v>
      </c>
      <c r="BB74" s="87">
        <v>320.92036887360274</v>
      </c>
      <c r="BC74" s="91">
        <v>27.565217391304348</v>
      </c>
      <c r="BD74" s="85">
        <v>1920</v>
      </c>
      <c r="BE74" s="92">
        <v>19.46</v>
      </c>
      <c r="BF74" s="85">
        <v>726</v>
      </c>
      <c r="BG74" s="92">
        <v>7.3578595317725757</v>
      </c>
      <c r="BH74" s="85">
        <v>1145</v>
      </c>
      <c r="BI74" s="92">
        <v>11.604337691294212</v>
      </c>
      <c r="BJ74" s="85">
        <v>593</v>
      </c>
      <c r="BK74" s="92">
        <v>6.0099320968886181</v>
      </c>
      <c r="BL74" s="85">
        <v>730</v>
      </c>
      <c r="BM74" s="92">
        <v>7.3983987027465297</v>
      </c>
      <c r="BN74" s="85">
        <v>3255</v>
      </c>
      <c r="BO74" s="92">
        <v>32.99</v>
      </c>
      <c r="BP74" s="85">
        <v>1498</v>
      </c>
      <c r="BQ74" s="92">
        <v>15.181919529745617</v>
      </c>
      <c r="BR74" s="165">
        <v>593.1417979610751</v>
      </c>
      <c r="BS74" s="165">
        <v>353.72258263824529</v>
      </c>
      <c r="BT74" s="111">
        <v>154.46400988569664</v>
      </c>
      <c r="BU74" s="165">
        <v>183.19431572443619</v>
      </c>
      <c r="BV74" s="165">
        <v>190.29966017917826</v>
      </c>
      <c r="BW74" s="165">
        <v>69.817732468334881</v>
      </c>
      <c r="BX74" s="165">
        <v>462.77417361754709</v>
      </c>
      <c r="BY74" s="112">
        <v>35.217794253938834</v>
      </c>
      <c r="BZ74" s="165">
        <v>1005.560704355885</v>
      </c>
      <c r="CA74" s="110" t="s">
        <v>355</v>
      </c>
      <c r="CB74" s="112">
        <v>463.43975283213183</v>
      </c>
      <c r="CC74" s="110" t="s">
        <v>355</v>
      </c>
      <c r="CD74" s="110" t="s">
        <v>355</v>
      </c>
      <c r="CE74" s="110" t="s">
        <v>355</v>
      </c>
      <c r="CF74" s="110" t="s">
        <v>355</v>
      </c>
      <c r="CG74" s="110" t="s">
        <v>355</v>
      </c>
      <c r="CH74" s="110" t="s">
        <v>355</v>
      </c>
      <c r="CI74" s="110" t="s">
        <v>355</v>
      </c>
      <c r="CJ74" s="87">
        <v>2116</v>
      </c>
      <c r="CK74" s="92">
        <v>44.328922495274107</v>
      </c>
      <c r="CL74" s="139">
        <v>1368.21</v>
      </c>
      <c r="CM74" s="139">
        <v>422.67840593141796</v>
      </c>
      <c r="CN74" s="139">
        <v>37</v>
      </c>
      <c r="CO74" s="115">
        <v>2</v>
      </c>
      <c r="CP74" s="115">
        <v>8</v>
      </c>
      <c r="CQ74" s="110">
        <v>0</v>
      </c>
      <c r="CR74" s="86">
        <v>2.7063174114021571</v>
      </c>
      <c r="CS74" s="85">
        <v>1864</v>
      </c>
      <c r="CT74" s="85">
        <v>1673</v>
      </c>
      <c r="CU74" s="84">
        <v>111.42</v>
      </c>
      <c r="CV74" s="84">
        <v>57.15</v>
      </c>
      <c r="CW74" s="84">
        <v>1.07</v>
      </c>
      <c r="CX74" s="115" t="s">
        <v>339</v>
      </c>
      <c r="CY74" s="114">
        <v>18000</v>
      </c>
      <c r="CZ74" s="129">
        <v>116000</v>
      </c>
      <c r="DA74" s="129">
        <v>0</v>
      </c>
      <c r="DB74" s="129">
        <v>10000</v>
      </c>
      <c r="DC74" s="129">
        <v>0</v>
      </c>
      <c r="DD74" s="129">
        <v>209613</v>
      </c>
      <c r="DE74" s="87">
        <v>0</v>
      </c>
      <c r="DF74" s="87">
        <v>0</v>
      </c>
      <c r="DG74" s="114">
        <v>0</v>
      </c>
      <c r="DH74" s="162">
        <v>9</v>
      </c>
      <c r="DI74" s="114">
        <v>359.66666666666669</v>
      </c>
      <c r="DJ74" s="114">
        <v>11.111111111111111</v>
      </c>
      <c r="DK74" s="114">
        <v>88.888888888888886</v>
      </c>
      <c r="DL74" s="114">
        <v>0</v>
      </c>
      <c r="DM74" s="114">
        <v>0</v>
      </c>
      <c r="DN74" s="114">
        <v>0</v>
      </c>
      <c r="DO74" s="114">
        <v>33</v>
      </c>
      <c r="DP74" s="114">
        <v>67</v>
      </c>
      <c r="DQ74" s="88">
        <v>51</v>
      </c>
      <c r="DR74" s="147">
        <v>63.470588235294116</v>
      </c>
      <c r="DT74" s="55"/>
      <c r="DU74" s="55"/>
    </row>
    <row r="75" spans="1:125" s="32" customFormat="1" ht="15" customHeight="1" thickBot="1">
      <c r="A75" s="100" t="s">
        <v>294</v>
      </c>
      <c r="B75" s="184">
        <v>2017</v>
      </c>
      <c r="C75" s="109">
        <v>5</v>
      </c>
      <c r="D75" s="83" t="s">
        <v>347</v>
      </c>
      <c r="E75" s="83" t="s">
        <v>412</v>
      </c>
      <c r="F75" s="132">
        <v>391.5</v>
      </c>
      <c r="G75" s="85">
        <v>80989</v>
      </c>
      <c r="H75" s="86">
        <v>12.694459132273961</v>
      </c>
      <c r="I75" s="132">
        <v>206.8684546615581</v>
      </c>
      <c r="J75" s="85">
        <v>39682</v>
      </c>
      <c r="K75" s="173">
        <v>48.99677734013261</v>
      </c>
      <c r="L75" s="85">
        <v>41307</v>
      </c>
      <c r="M75" s="173">
        <v>51.00322265986739</v>
      </c>
      <c r="N75" s="161">
        <v>28.574250824185999</v>
      </c>
      <c r="O75" s="161">
        <v>52.221906678684761</v>
      </c>
      <c r="P75" s="161">
        <v>19.203842497129241</v>
      </c>
      <c r="Q75" s="161">
        <v>42.177332724197115</v>
      </c>
      <c r="R75" s="159">
        <v>38.618824778673648</v>
      </c>
      <c r="S75" s="160">
        <v>19.203842497129241</v>
      </c>
      <c r="T75" s="84">
        <v>5.3</v>
      </c>
      <c r="U75" s="84">
        <v>4</v>
      </c>
      <c r="V75" s="89">
        <v>75</v>
      </c>
      <c r="W75" s="90">
        <v>4.8</v>
      </c>
      <c r="X75" s="148">
        <v>59924</v>
      </c>
      <c r="Y75" s="89">
        <v>2.7</v>
      </c>
      <c r="Z75" s="89" t="s">
        <v>340</v>
      </c>
      <c r="AA75" s="85">
        <v>5434</v>
      </c>
      <c r="AB75" s="110" t="s">
        <v>355</v>
      </c>
      <c r="AC75" s="110" t="s">
        <v>355</v>
      </c>
      <c r="AD75" s="110" t="s">
        <v>355</v>
      </c>
      <c r="AE75" s="110" t="s">
        <v>355</v>
      </c>
      <c r="AF75" s="84" t="s">
        <v>403</v>
      </c>
      <c r="AG75" s="84" t="s">
        <v>403</v>
      </c>
      <c r="AH75" s="84" t="s">
        <v>403</v>
      </c>
      <c r="AI75" s="84" t="s">
        <v>403</v>
      </c>
      <c r="AJ75" s="84" t="s">
        <v>403</v>
      </c>
      <c r="AK75" s="84" t="s">
        <v>403</v>
      </c>
      <c r="AL75" s="84" t="s">
        <v>403</v>
      </c>
      <c r="AM75" s="84" t="s">
        <v>403</v>
      </c>
      <c r="AN75" s="84" t="s">
        <v>403</v>
      </c>
      <c r="AO75" s="84" t="s">
        <v>403</v>
      </c>
      <c r="AP75" s="84" t="s">
        <v>403</v>
      </c>
      <c r="AQ75" s="84" t="s">
        <v>403</v>
      </c>
      <c r="AR75" s="84" t="s">
        <v>403</v>
      </c>
      <c r="AS75" s="84" t="s">
        <v>403</v>
      </c>
      <c r="AT75" s="84" t="s">
        <v>403</v>
      </c>
      <c r="AU75" s="84" t="s">
        <v>403</v>
      </c>
      <c r="AV75" s="84" t="s">
        <v>403</v>
      </c>
      <c r="AW75" s="84" t="s">
        <v>403</v>
      </c>
      <c r="AX75" s="84" t="s">
        <v>403</v>
      </c>
      <c r="AY75" s="84" t="s">
        <v>403</v>
      </c>
      <c r="AZ75" s="84" t="s">
        <v>403</v>
      </c>
      <c r="BA75" s="84" t="s">
        <v>403</v>
      </c>
      <c r="BB75" s="84" t="s">
        <v>403</v>
      </c>
      <c r="BC75" s="84" t="s">
        <v>403</v>
      </c>
      <c r="BD75" s="84" t="s">
        <v>403</v>
      </c>
      <c r="BE75" s="84" t="s">
        <v>403</v>
      </c>
      <c r="BF75" s="84" t="s">
        <v>403</v>
      </c>
      <c r="BG75" s="84" t="s">
        <v>403</v>
      </c>
      <c r="BH75" s="84" t="s">
        <v>403</v>
      </c>
      <c r="BI75" s="84" t="s">
        <v>403</v>
      </c>
      <c r="BJ75" s="84" t="s">
        <v>403</v>
      </c>
      <c r="BK75" s="84" t="s">
        <v>403</v>
      </c>
      <c r="BL75" s="84" t="s">
        <v>403</v>
      </c>
      <c r="BM75" s="84" t="s">
        <v>403</v>
      </c>
      <c r="BN75" s="84" t="s">
        <v>403</v>
      </c>
      <c r="BO75" s="84" t="s">
        <v>403</v>
      </c>
      <c r="BP75" s="84" t="s">
        <v>403</v>
      </c>
      <c r="BQ75" s="84" t="s">
        <v>403</v>
      </c>
      <c r="BR75" s="84" t="s">
        <v>403</v>
      </c>
      <c r="BS75" s="84" t="s">
        <v>403</v>
      </c>
      <c r="BT75" s="84" t="s">
        <v>403</v>
      </c>
      <c r="BU75" s="84" t="s">
        <v>403</v>
      </c>
      <c r="BV75" s="84" t="s">
        <v>403</v>
      </c>
      <c r="BW75" s="84" t="s">
        <v>403</v>
      </c>
      <c r="BX75" s="84" t="s">
        <v>403</v>
      </c>
      <c r="BY75" s="84" t="s">
        <v>403</v>
      </c>
      <c r="BZ75" s="84" t="s">
        <v>403</v>
      </c>
      <c r="CA75" s="110" t="s">
        <v>355</v>
      </c>
      <c r="CB75" s="112">
        <v>297.39130434782606</v>
      </c>
      <c r="CC75" s="110" t="s">
        <v>355</v>
      </c>
      <c r="CD75" s="110" t="s">
        <v>355</v>
      </c>
      <c r="CE75" s="110" t="s">
        <v>355</v>
      </c>
      <c r="CF75" s="110" t="s">
        <v>355</v>
      </c>
      <c r="CG75" s="110" t="s">
        <v>355</v>
      </c>
      <c r="CH75" s="110" t="s">
        <v>355</v>
      </c>
      <c r="CI75" s="110" t="s">
        <v>355</v>
      </c>
      <c r="CJ75" s="87">
        <v>45760</v>
      </c>
      <c r="CK75" s="92">
        <v>46.45541958041958</v>
      </c>
      <c r="CL75" s="139">
        <v>719.07</v>
      </c>
      <c r="CM75" s="139">
        <v>8.8786131449949988</v>
      </c>
      <c r="CN75" s="139">
        <v>514.62</v>
      </c>
      <c r="CO75" s="115">
        <v>3</v>
      </c>
      <c r="CP75" s="115">
        <v>17</v>
      </c>
      <c r="CQ75" s="110">
        <v>4</v>
      </c>
      <c r="CR75" s="86">
        <v>5.6539915061242079</v>
      </c>
      <c r="CS75" s="89" t="s">
        <v>403</v>
      </c>
      <c r="CT75" s="89" t="s">
        <v>403</v>
      </c>
      <c r="CU75" s="84" t="s">
        <v>403</v>
      </c>
      <c r="CV75" s="84" t="s">
        <v>403</v>
      </c>
      <c r="CW75" s="84" t="s">
        <v>403</v>
      </c>
      <c r="CX75" s="115" t="s">
        <v>378</v>
      </c>
      <c r="CY75" s="114" t="s">
        <v>403</v>
      </c>
      <c r="CZ75" s="129" t="s">
        <v>403</v>
      </c>
      <c r="DA75" s="129" t="s">
        <v>403</v>
      </c>
      <c r="DB75" s="129" t="s">
        <v>403</v>
      </c>
      <c r="DC75" s="129" t="s">
        <v>403</v>
      </c>
      <c r="DD75" s="129" t="s">
        <v>403</v>
      </c>
      <c r="DE75" s="87">
        <v>0</v>
      </c>
      <c r="DF75" s="87">
        <v>0</v>
      </c>
      <c r="DG75" s="114">
        <v>0</v>
      </c>
      <c r="DH75" s="162">
        <v>13</v>
      </c>
      <c r="DI75" s="114">
        <v>6229.9230769230771</v>
      </c>
      <c r="DJ75" s="114">
        <v>31</v>
      </c>
      <c r="DK75" s="114">
        <v>69</v>
      </c>
      <c r="DL75" s="114">
        <v>0</v>
      </c>
      <c r="DM75" s="114">
        <v>0</v>
      </c>
      <c r="DN75" s="114">
        <v>8</v>
      </c>
      <c r="DO75" s="114">
        <v>69</v>
      </c>
      <c r="DP75" s="114">
        <v>23</v>
      </c>
      <c r="DQ75" s="88" t="s">
        <v>403</v>
      </c>
      <c r="DR75" s="147" t="s">
        <v>403</v>
      </c>
      <c r="DT75" s="55"/>
      <c r="DU75" s="55"/>
    </row>
    <row r="76" spans="1:125" s="32" customFormat="1" ht="15" customHeight="1" thickBot="1">
      <c r="A76" s="100" t="s">
        <v>295</v>
      </c>
      <c r="B76" s="184">
        <v>2017</v>
      </c>
      <c r="C76" s="109">
        <v>5</v>
      </c>
      <c r="D76" s="83" t="s">
        <v>347</v>
      </c>
      <c r="E76" s="83" t="s">
        <v>412</v>
      </c>
      <c r="F76" s="132">
        <v>10053.200000000001</v>
      </c>
      <c r="G76" s="85">
        <v>92462</v>
      </c>
      <c r="H76" s="86">
        <v>3.5455115570686146</v>
      </c>
      <c r="I76" s="132">
        <v>9.1972705208291874</v>
      </c>
      <c r="J76" s="85">
        <v>45357</v>
      </c>
      <c r="K76" s="173">
        <v>49.054746814907745</v>
      </c>
      <c r="L76" s="85">
        <v>47105</v>
      </c>
      <c r="M76" s="173">
        <v>50.945253185092255</v>
      </c>
      <c r="N76" s="161">
        <v>21.335251238346565</v>
      </c>
      <c r="O76" s="161">
        <v>40.74863187039</v>
      </c>
      <c r="P76" s="161">
        <v>37.916116891263442</v>
      </c>
      <c r="Q76" s="161">
        <v>29.164413488784579</v>
      </c>
      <c r="R76" s="159">
        <v>32.919469619951983</v>
      </c>
      <c r="S76" s="160">
        <v>37.916116891263442</v>
      </c>
      <c r="T76" s="84">
        <v>6.2</v>
      </c>
      <c r="U76" s="84">
        <v>2.6</v>
      </c>
      <c r="V76" s="89">
        <v>20</v>
      </c>
      <c r="W76" s="90">
        <v>5</v>
      </c>
      <c r="X76" s="148">
        <v>45338</v>
      </c>
      <c r="Y76" s="89">
        <v>2.2000000000000002</v>
      </c>
      <c r="Z76" s="89" t="s">
        <v>340</v>
      </c>
      <c r="AA76" s="85">
        <v>6658</v>
      </c>
      <c r="AB76" s="110" t="s">
        <v>355</v>
      </c>
      <c r="AC76" s="110" t="s">
        <v>355</v>
      </c>
      <c r="AD76" s="110" t="s">
        <v>355</v>
      </c>
      <c r="AE76" s="110" t="s">
        <v>355</v>
      </c>
      <c r="AF76" s="84">
        <v>1.9</v>
      </c>
      <c r="AG76" s="84">
        <v>5.3</v>
      </c>
      <c r="AH76" s="84">
        <v>76.430000000000007</v>
      </c>
      <c r="AI76" s="86">
        <v>23.573091436321587</v>
      </c>
      <c r="AJ76" s="84">
        <v>6.28</v>
      </c>
      <c r="AK76" s="84">
        <v>2.8</v>
      </c>
      <c r="AL76" s="84">
        <v>14.300909117557151</v>
      </c>
      <c r="AM76" s="84">
        <v>10.72</v>
      </c>
      <c r="AN76" s="85">
        <v>234273</v>
      </c>
      <c r="AO76" s="85">
        <v>238803</v>
      </c>
      <c r="AP76" s="85">
        <v>60328</v>
      </c>
      <c r="AQ76" s="135">
        <v>1328.3131866922079</v>
      </c>
      <c r="AR76" s="85">
        <v>45417</v>
      </c>
      <c r="AS76" s="85">
        <v>4938</v>
      </c>
      <c r="AT76" s="135">
        <v>789.9536074228123</v>
      </c>
      <c r="AU76" s="85">
        <v>6251</v>
      </c>
      <c r="AV76" s="85">
        <v>3413</v>
      </c>
      <c r="AW76" s="135">
        <v>1280.1950487621905</v>
      </c>
      <c r="AX76" s="85">
        <v>2666</v>
      </c>
      <c r="AY76" s="85">
        <v>282</v>
      </c>
      <c r="AZ76" s="135">
        <v>47000</v>
      </c>
      <c r="BA76" s="89">
        <v>6</v>
      </c>
      <c r="BB76" s="87">
        <v>143.25611729818303</v>
      </c>
      <c r="BC76" s="91">
        <v>26.122377083470948</v>
      </c>
      <c r="BD76" s="85">
        <v>29919</v>
      </c>
      <c r="BE76" s="92">
        <v>12.752816412127515</v>
      </c>
      <c r="BF76" s="85">
        <v>82106</v>
      </c>
      <c r="BG76" s="92">
        <v>34.997250721419228</v>
      </c>
      <c r="BH76" s="85">
        <v>29807</v>
      </c>
      <c r="BI76" s="92">
        <v>12.7050770011125</v>
      </c>
      <c r="BJ76" s="85">
        <v>16424</v>
      </c>
      <c r="BK76" s="92">
        <v>7.0006436295592209</v>
      </c>
      <c r="BL76" s="85">
        <v>19317</v>
      </c>
      <c r="BM76" s="92">
        <v>8.2337696658667472</v>
      </c>
      <c r="BN76" s="85">
        <v>48233</v>
      </c>
      <c r="BO76" s="92">
        <v>20.559062602565138</v>
      </c>
      <c r="BP76" s="85">
        <v>8801</v>
      </c>
      <c r="BQ76" s="92">
        <v>3.7513799673496528</v>
      </c>
      <c r="BR76" s="165">
        <v>323.58157945966991</v>
      </c>
      <c r="BS76" s="165">
        <v>322.37027103026111</v>
      </c>
      <c r="BT76" s="111">
        <v>838.93923990396058</v>
      </c>
      <c r="BU76" s="165">
        <v>177.62972896973892</v>
      </c>
      <c r="BV76" s="165">
        <v>161.78538210291796</v>
      </c>
      <c r="BW76" s="165">
        <v>49.057991391057946</v>
      </c>
      <c r="BX76" s="165">
        <v>95.185048993099869</v>
      </c>
      <c r="BY76" s="112">
        <v>47.132876208604614</v>
      </c>
      <c r="BZ76" s="165">
        <v>521.65213817568304</v>
      </c>
      <c r="CA76" s="110" t="s">
        <v>355</v>
      </c>
      <c r="CB76" s="112" t="s">
        <v>403</v>
      </c>
      <c r="CC76" s="110" t="s">
        <v>355</v>
      </c>
      <c r="CD76" s="110" t="s">
        <v>355</v>
      </c>
      <c r="CE76" s="110" t="s">
        <v>355</v>
      </c>
      <c r="CF76" s="110" t="s">
        <v>355</v>
      </c>
      <c r="CG76" s="110" t="s">
        <v>355</v>
      </c>
      <c r="CH76" s="110" t="s">
        <v>355</v>
      </c>
      <c r="CI76" s="110" t="s">
        <v>355</v>
      </c>
      <c r="CJ76" s="87">
        <v>55137</v>
      </c>
      <c r="CK76" s="92">
        <v>62.429947222373357</v>
      </c>
      <c r="CL76" s="139">
        <v>3599</v>
      </c>
      <c r="CM76" s="139">
        <v>38.924098548592937</v>
      </c>
      <c r="CN76" s="139">
        <v>1554.8</v>
      </c>
      <c r="CO76" s="115">
        <v>18</v>
      </c>
      <c r="CP76" s="115">
        <v>29</v>
      </c>
      <c r="CQ76" s="110">
        <v>8</v>
      </c>
      <c r="CR76" s="86">
        <v>7.9576208017802932</v>
      </c>
      <c r="CS76" s="85">
        <v>44876</v>
      </c>
      <c r="CT76" s="85">
        <v>61552</v>
      </c>
      <c r="CU76" s="84">
        <v>72.91</v>
      </c>
      <c r="CV76" s="84">
        <v>38.25</v>
      </c>
      <c r="CW76" s="84">
        <v>8.83</v>
      </c>
      <c r="CX76" s="115" t="s">
        <v>339</v>
      </c>
      <c r="CY76" s="114">
        <v>58000</v>
      </c>
      <c r="CZ76" s="129">
        <v>198000</v>
      </c>
      <c r="DA76" s="129">
        <v>0</v>
      </c>
      <c r="DB76" s="129">
        <v>18000</v>
      </c>
      <c r="DC76" s="129">
        <v>2000</v>
      </c>
      <c r="DD76" s="129">
        <v>417683</v>
      </c>
      <c r="DE76" s="87">
        <v>3</v>
      </c>
      <c r="DF76" s="87">
        <v>0</v>
      </c>
      <c r="DG76" s="114">
        <v>0</v>
      </c>
      <c r="DH76" s="162">
        <v>11</v>
      </c>
      <c r="DI76" s="114">
        <v>8405.636363636364</v>
      </c>
      <c r="DJ76" s="114">
        <v>45</v>
      </c>
      <c r="DK76" s="114">
        <v>55</v>
      </c>
      <c r="DL76" s="114">
        <v>9</v>
      </c>
      <c r="DM76" s="114">
        <v>0</v>
      </c>
      <c r="DN76" s="114">
        <v>0</v>
      </c>
      <c r="DO76" s="114">
        <v>36</v>
      </c>
      <c r="DP76" s="114">
        <v>64</v>
      </c>
      <c r="DQ76" s="88">
        <v>737</v>
      </c>
      <c r="DR76" s="147">
        <v>125.4572591587517</v>
      </c>
      <c r="DT76" s="55"/>
      <c r="DU76" s="55"/>
    </row>
    <row r="77" spans="1:125" s="32" customFormat="1" ht="15" customHeight="1" thickBot="1">
      <c r="A77" s="100" t="s">
        <v>296</v>
      </c>
      <c r="B77" s="184">
        <v>2017</v>
      </c>
      <c r="C77" s="109">
        <v>4</v>
      </c>
      <c r="D77" s="83" t="s">
        <v>347</v>
      </c>
      <c r="E77" s="83" t="s">
        <v>413</v>
      </c>
      <c r="F77" s="132">
        <v>8752.2999999999993</v>
      </c>
      <c r="G77" s="85">
        <v>24815</v>
      </c>
      <c r="H77" s="86">
        <v>5.627208104541781</v>
      </c>
      <c r="I77" s="132">
        <v>2.8352547330416007</v>
      </c>
      <c r="J77" s="85">
        <v>12483</v>
      </c>
      <c r="K77" s="173">
        <v>50.304251460809994</v>
      </c>
      <c r="L77" s="85">
        <v>12332</v>
      </c>
      <c r="M77" s="173">
        <v>49.695748539190006</v>
      </c>
      <c r="N77" s="161">
        <v>26.346967559943586</v>
      </c>
      <c r="O77" s="161">
        <v>48.486802337295991</v>
      </c>
      <c r="P77" s="161">
        <v>25.16623010276043</v>
      </c>
      <c r="Q77" s="161">
        <v>36.49405601450735</v>
      </c>
      <c r="R77" s="159">
        <v>38.339713882732219</v>
      </c>
      <c r="S77" s="160">
        <v>25.16623010276043</v>
      </c>
      <c r="T77" s="84">
        <v>5.4</v>
      </c>
      <c r="U77" s="84">
        <v>2.7</v>
      </c>
      <c r="V77" s="89">
        <v>44</v>
      </c>
      <c r="W77" s="90">
        <v>5.6</v>
      </c>
      <c r="X77" s="148">
        <v>57633</v>
      </c>
      <c r="Y77" s="89">
        <v>2.4</v>
      </c>
      <c r="Z77" s="89" t="s">
        <v>345</v>
      </c>
      <c r="AA77" s="85">
        <v>2497</v>
      </c>
      <c r="AB77" s="110" t="s">
        <v>355</v>
      </c>
      <c r="AC77" s="110" t="s">
        <v>355</v>
      </c>
      <c r="AD77" s="110" t="s">
        <v>355</v>
      </c>
      <c r="AE77" s="110" t="s">
        <v>355</v>
      </c>
      <c r="AF77" s="84">
        <v>11.69</v>
      </c>
      <c r="AG77" s="84">
        <v>4.0199999999999996</v>
      </c>
      <c r="AH77" s="84">
        <v>63.29</v>
      </c>
      <c r="AI77" s="86">
        <v>36.705553436449911</v>
      </c>
      <c r="AJ77" s="84">
        <v>3.52</v>
      </c>
      <c r="AK77" s="84">
        <v>9.36</v>
      </c>
      <c r="AL77" s="84">
        <v>3.8243542435424356</v>
      </c>
      <c r="AM77" s="84">
        <v>15.6</v>
      </c>
      <c r="AN77" s="85">
        <v>59832</v>
      </c>
      <c r="AO77" s="85">
        <v>67750</v>
      </c>
      <c r="AP77" s="85">
        <v>9535</v>
      </c>
      <c r="AQ77" s="135">
        <v>858.46763302421891</v>
      </c>
      <c r="AR77" s="85">
        <v>11107</v>
      </c>
      <c r="AS77" s="85">
        <v>4509</v>
      </c>
      <c r="AT77" s="135">
        <v>2376.9109119662626</v>
      </c>
      <c r="AU77" s="85">
        <v>1897</v>
      </c>
      <c r="AV77" s="85">
        <v>1297</v>
      </c>
      <c r="AW77" s="135">
        <v>1858.1661891117478</v>
      </c>
      <c r="AX77" s="85">
        <v>698</v>
      </c>
      <c r="AY77" s="85">
        <v>2179</v>
      </c>
      <c r="AZ77" s="135">
        <v>198090.90909090909</v>
      </c>
      <c r="BA77" s="89">
        <v>11</v>
      </c>
      <c r="BB77" s="87">
        <v>131.86735216894976</v>
      </c>
      <c r="BC77" s="91">
        <v>17.223372647879714</v>
      </c>
      <c r="BD77" s="85">
        <v>9944</v>
      </c>
      <c r="BE77" s="92">
        <v>15.163390719590112</v>
      </c>
      <c r="BF77" s="85">
        <v>12329</v>
      </c>
      <c r="BG77" s="92">
        <v>18.800225682001862</v>
      </c>
      <c r="BH77" s="85">
        <v>7776</v>
      </c>
      <c r="BI77" s="92">
        <v>11.85745436801415</v>
      </c>
      <c r="BJ77" s="85">
        <v>4033</v>
      </c>
      <c r="BK77" s="92">
        <v>6.1498345506945817</v>
      </c>
      <c r="BL77" s="85">
        <v>6633</v>
      </c>
      <c r="BM77" s="92">
        <v>10.114518367160219</v>
      </c>
      <c r="BN77" s="85">
        <v>15615</v>
      </c>
      <c r="BO77" s="92">
        <v>23.810976074658047</v>
      </c>
      <c r="BP77" s="85">
        <v>9249</v>
      </c>
      <c r="BQ77" s="92">
        <v>14.103600237881029</v>
      </c>
      <c r="BR77" s="165">
        <v>400.72536772113642</v>
      </c>
      <c r="BS77" s="165">
        <v>313.35885553092885</v>
      </c>
      <c r="BT77" s="111">
        <v>432.44005641748942</v>
      </c>
      <c r="BU77" s="165">
        <v>162.52266774128552</v>
      </c>
      <c r="BV77" s="165">
        <v>222.44610114849888</v>
      </c>
      <c r="BW77" s="165">
        <v>64.396534354221231</v>
      </c>
      <c r="BX77" s="165">
        <v>372.71811404392503</v>
      </c>
      <c r="BY77" s="112">
        <v>44.851904090267986</v>
      </c>
      <c r="BZ77" s="165">
        <v>629.25649808583523</v>
      </c>
      <c r="CA77" s="110" t="s">
        <v>355</v>
      </c>
      <c r="CB77" s="112">
        <v>366.27254111896428</v>
      </c>
      <c r="CC77" s="110" t="s">
        <v>355</v>
      </c>
      <c r="CD77" s="110" t="s">
        <v>355</v>
      </c>
      <c r="CE77" s="110" t="s">
        <v>355</v>
      </c>
      <c r="CF77" s="110" t="s">
        <v>355</v>
      </c>
      <c r="CG77" s="110" t="s">
        <v>355</v>
      </c>
      <c r="CH77" s="110" t="s">
        <v>355</v>
      </c>
      <c r="CI77" s="110" t="s">
        <v>355</v>
      </c>
      <c r="CJ77" s="87">
        <v>20348</v>
      </c>
      <c r="CK77" s="92">
        <v>27.683310399056417</v>
      </c>
      <c r="CL77" s="139">
        <v>2201.1400000000003</v>
      </c>
      <c r="CM77" s="139">
        <v>88.701994761233138</v>
      </c>
      <c r="CN77" s="139">
        <v>474.28</v>
      </c>
      <c r="CO77" s="115">
        <v>3</v>
      </c>
      <c r="CP77" s="115">
        <v>16</v>
      </c>
      <c r="CQ77" s="110">
        <v>3</v>
      </c>
      <c r="CR77" s="86">
        <v>3.3812938048819787</v>
      </c>
      <c r="CS77" s="85">
        <v>9588</v>
      </c>
      <c r="CT77" s="85">
        <v>9521</v>
      </c>
      <c r="CU77" s="84">
        <v>100.7</v>
      </c>
      <c r="CV77" s="84">
        <v>123.17</v>
      </c>
      <c r="CW77" s="84">
        <v>4.42</v>
      </c>
      <c r="CX77" s="115" t="s">
        <v>339</v>
      </c>
      <c r="CY77" s="114">
        <v>20000</v>
      </c>
      <c r="CZ77" s="129">
        <v>216000</v>
      </c>
      <c r="DA77" s="129">
        <v>0</v>
      </c>
      <c r="DB77" s="129">
        <v>7000</v>
      </c>
      <c r="DC77" s="129">
        <v>0</v>
      </c>
      <c r="DD77" s="129">
        <v>310120</v>
      </c>
      <c r="DE77" s="87">
        <v>2</v>
      </c>
      <c r="DF77" s="87">
        <v>0</v>
      </c>
      <c r="DG77" s="114">
        <v>0</v>
      </c>
      <c r="DH77" s="162">
        <v>9</v>
      </c>
      <c r="DI77" s="114">
        <v>2757.2222222222222</v>
      </c>
      <c r="DJ77" s="114">
        <v>11</v>
      </c>
      <c r="DK77" s="114">
        <v>89</v>
      </c>
      <c r="DL77" s="114">
        <v>0</v>
      </c>
      <c r="DM77" s="114">
        <v>0</v>
      </c>
      <c r="DN77" s="114">
        <v>22</v>
      </c>
      <c r="DO77" s="114">
        <v>44.444444444444443</v>
      </c>
      <c r="DP77" s="114">
        <v>34</v>
      </c>
      <c r="DQ77" s="88">
        <v>307</v>
      </c>
      <c r="DR77" s="147">
        <v>80.830618892508141</v>
      </c>
      <c r="DT77" s="55"/>
      <c r="DU77" s="55"/>
    </row>
    <row r="78" spans="1:125" s="32" customFormat="1" ht="15" customHeight="1" thickBot="1">
      <c r="A78" s="100" t="s">
        <v>297</v>
      </c>
      <c r="B78" s="184">
        <v>2017</v>
      </c>
      <c r="C78" s="109">
        <v>11</v>
      </c>
      <c r="D78" s="83" t="s">
        <v>350</v>
      </c>
      <c r="E78" s="83" t="s">
        <v>406</v>
      </c>
      <c r="F78" s="132">
        <v>17906.5</v>
      </c>
      <c r="G78" s="85">
        <v>13451</v>
      </c>
      <c r="H78" s="86">
        <v>-4.9063273241428114</v>
      </c>
      <c r="I78" s="132">
        <v>0.75117973920084891</v>
      </c>
      <c r="J78" s="85">
        <v>6770</v>
      </c>
      <c r="K78" s="173">
        <v>50.330830421529996</v>
      </c>
      <c r="L78" s="85">
        <v>6681</v>
      </c>
      <c r="M78" s="173">
        <v>49.669169578470004</v>
      </c>
      <c r="N78" s="161">
        <v>28.235818898223179</v>
      </c>
      <c r="O78" s="161">
        <v>51.505464277748871</v>
      </c>
      <c r="P78" s="161">
        <v>20.258716824027953</v>
      </c>
      <c r="Q78" s="161">
        <v>41.112184967660397</v>
      </c>
      <c r="R78" s="159">
        <v>38.629098208311653</v>
      </c>
      <c r="S78" s="160">
        <v>20.258716824027953</v>
      </c>
      <c r="T78" s="84">
        <v>21.6</v>
      </c>
      <c r="U78" s="84">
        <v>3.5</v>
      </c>
      <c r="V78" s="89">
        <v>24</v>
      </c>
      <c r="W78" s="90">
        <v>8.4</v>
      </c>
      <c r="X78" s="148">
        <v>48248</v>
      </c>
      <c r="Y78" s="89">
        <v>2.5</v>
      </c>
      <c r="Z78" s="89" t="s">
        <v>342</v>
      </c>
      <c r="AA78" s="85">
        <v>1925</v>
      </c>
      <c r="AB78" s="110" t="s">
        <v>355</v>
      </c>
      <c r="AC78" s="110" t="s">
        <v>355</v>
      </c>
      <c r="AD78" s="110" t="s">
        <v>355</v>
      </c>
      <c r="AE78" s="110" t="s">
        <v>355</v>
      </c>
      <c r="AF78" s="84">
        <v>6.84</v>
      </c>
      <c r="AG78" s="84">
        <v>1.1299999999999999</v>
      </c>
      <c r="AH78" s="84">
        <v>66.23</v>
      </c>
      <c r="AI78" s="86">
        <v>33.769228289226483</v>
      </c>
      <c r="AJ78" s="84">
        <v>5.0599999999999996</v>
      </c>
      <c r="AK78" s="84">
        <v>4.45</v>
      </c>
      <c r="AL78" s="84">
        <v>7.608849808537796</v>
      </c>
      <c r="AM78" s="84">
        <v>8.65</v>
      </c>
      <c r="AN78" s="85">
        <v>52547</v>
      </c>
      <c r="AO78" s="85">
        <v>56408</v>
      </c>
      <c r="AP78" s="85">
        <v>4527</v>
      </c>
      <c r="AQ78" s="135">
        <v>1047.4317445627025</v>
      </c>
      <c r="AR78" s="85">
        <v>4322</v>
      </c>
      <c r="AS78" s="85">
        <v>14906</v>
      </c>
      <c r="AT78" s="135">
        <v>10739.193083573487</v>
      </c>
      <c r="AU78" s="85">
        <v>1388</v>
      </c>
      <c r="AV78" s="85">
        <v>2527</v>
      </c>
      <c r="AW78" s="135">
        <v>4312.286689419795</v>
      </c>
      <c r="AX78" s="85">
        <v>586</v>
      </c>
      <c r="AY78" s="135" t="s">
        <v>379</v>
      </c>
      <c r="AZ78" s="135" t="s">
        <v>379</v>
      </c>
      <c r="BA78" s="89">
        <v>0</v>
      </c>
      <c r="BB78" s="87">
        <v>172.27630692167577</v>
      </c>
      <c r="BC78" s="91">
        <v>13.882461823229985</v>
      </c>
      <c r="BD78" s="85">
        <v>7538</v>
      </c>
      <c r="BE78" s="92">
        <v>13.927020785219399</v>
      </c>
      <c r="BF78" s="85">
        <v>10627</v>
      </c>
      <c r="BG78" s="92">
        <v>19.63418013856813</v>
      </c>
      <c r="BH78" s="85">
        <v>4974</v>
      </c>
      <c r="BI78" s="92">
        <v>9.1898383371824472</v>
      </c>
      <c r="BJ78" s="85">
        <v>3935</v>
      </c>
      <c r="BK78" s="92">
        <v>7.2702078521939955</v>
      </c>
      <c r="BL78" s="85">
        <v>5412</v>
      </c>
      <c r="BM78" s="92">
        <v>9.9990762124711328</v>
      </c>
      <c r="BN78" s="85">
        <v>11481</v>
      </c>
      <c r="BO78" s="92">
        <v>21.212009237875289</v>
      </c>
      <c r="BP78" s="85">
        <v>10158</v>
      </c>
      <c r="BQ78" s="92">
        <v>18.767667436489607</v>
      </c>
      <c r="BR78" s="165">
        <v>560.40443089733105</v>
      </c>
      <c r="BS78" s="165">
        <v>369.78663296409189</v>
      </c>
      <c r="BT78" s="111">
        <v>625.52970039402271</v>
      </c>
      <c r="BU78" s="165">
        <v>292.54330533045868</v>
      </c>
      <c r="BV78" s="165">
        <v>340.71816221842244</v>
      </c>
      <c r="BW78" s="165">
        <v>164.52308378559215</v>
      </c>
      <c r="BX78" s="165">
        <v>755.18548806780166</v>
      </c>
      <c r="BY78" s="112">
        <v>61.631105494015316</v>
      </c>
      <c r="BZ78" s="165">
        <v>853.54248754739422</v>
      </c>
      <c r="CA78" s="110" t="s">
        <v>355</v>
      </c>
      <c r="CB78" s="112">
        <v>117.49347258485639</v>
      </c>
      <c r="CC78" s="110" t="s">
        <v>355</v>
      </c>
      <c r="CD78" s="110" t="s">
        <v>355</v>
      </c>
      <c r="CE78" s="110" t="s">
        <v>355</v>
      </c>
      <c r="CF78" s="110" t="s">
        <v>355</v>
      </c>
      <c r="CG78" s="110" t="s">
        <v>355</v>
      </c>
      <c r="CH78" s="110" t="s">
        <v>355</v>
      </c>
      <c r="CI78" s="110" t="s">
        <v>355</v>
      </c>
      <c r="CJ78" s="87">
        <v>8743</v>
      </c>
      <c r="CK78" s="92">
        <v>25.265927027336154</v>
      </c>
      <c r="CL78" s="139">
        <v>2899.4000000000005</v>
      </c>
      <c r="CM78" s="139">
        <v>215.55274700765744</v>
      </c>
      <c r="CN78" s="139">
        <v>238</v>
      </c>
      <c r="CO78" s="115">
        <v>3</v>
      </c>
      <c r="CP78" s="115">
        <v>8</v>
      </c>
      <c r="CQ78" s="110">
        <v>2</v>
      </c>
      <c r="CR78" s="86">
        <v>3.2860978520286395</v>
      </c>
      <c r="CS78" s="85">
        <v>8844</v>
      </c>
      <c r="CT78" s="85">
        <v>9164</v>
      </c>
      <c r="CU78" s="84">
        <v>96.51</v>
      </c>
      <c r="CV78" s="84">
        <v>74.27</v>
      </c>
      <c r="CW78" s="84">
        <v>0.65</v>
      </c>
      <c r="CX78" s="115" t="s">
        <v>339</v>
      </c>
      <c r="CY78" s="114">
        <v>92000</v>
      </c>
      <c r="CZ78" s="129">
        <v>129000</v>
      </c>
      <c r="DA78" s="129">
        <v>0</v>
      </c>
      <c r="DB78" s="129">
        <v>9000</v>
      </c>
      <c r="DC78" s="129">
        <v>0</v>
      </c>
      <c r="DD78" s="129">
        <v>256000</v>
      </c>
      <c r="DE78" s="87">
        <v>1</v>
      </c>
      <c r="DF78" s="87">
        <v>720</v>
      </c>
      <c r="DG78" s="114">
        <v>0</v>
      </c>
      <c r="DH78" s="163">
        <v>9</v>
      </c>
      <c r="DI78" s="114">
        <v>1494.5555555555557</v>
      </c>
      <c r="DJ78" s="114">
        <v>33.333333333333329</v>
      </c>
      <c r="DK78" s="114">
        <v>66.666666666666657</v>
      </c>
      <c r="DL78" s="114">
        <v>0</v>
      </c>
      <c r="DM78" s="114">
        <v>11.111111111111111</v>
      </c>
      <c r="DN78" s="114">
        <v>0</v>
      </c>
      <c r="DO78" s="114">
        <v>55.555555555555557</v>
      </c>
      <c r="DP78" s="114">
        <v>44.444444444444443</v>
      </c>
      <c r="DQ78" s="88">
        <v>219</v>
      </c>
      <c r="DR78" s="147">
        <v>61.420091324200911</v>
      </c>
      <c r="DT78" s="55"/>
      <c r="DU78" s="55"/>
    </row>
    <row r="79" spans="1:125" s="32" customFormat="1" ht="15" customHeight="1" thickBot="1">
      <c r="A79" s="100" t="s">
        <v>298</v>
      </c>
      <c r="B79" s="184">
        <v>2017</v>
      </c>
      <c r="C79" s="109">
        <v>2</v>
      </c>
      <c r="D79" s="83" t="s">
        <v>349</v>
      </c>
      <c r="E79" s="83"/>
      <c r="F79" s="132">
        <v>8.6999999999999993</v>
      </c>
      <c r="G79" s="85">
        <v>30564</v>
      </c>
      <c r="H79" s="86">
        <v>3.239317682823839</v>
      </c>
      <c r="I79" s="132">
        <v>3513.1034482758623</v>
      </c>
      <c r="J79" s="85">
        <v>14287</v>
      </c>
      <c r="K79" s="173">
        <v>46.744536055490123</v>
      </c>
      <c r="L79" s="85">
        <v>16277</v>
      </c>
      <c r="M79" s="173">
        <v>53.255463944509884</v>
      </c>
      <c r="N79" s="161">
        <v>23.161235440387383</v>
      </c>
      <c r="O79" s="161">
        <v>52.506216463813637</v>
      </c>
      <c r="P79" s="161">
        <v>24.332548095798977</v>
      </c>
      <c r="Q79" s="161">
        <v>33.523099070802253</v>
      </c>
      <c r="R79" s="159">
        <v>42.14435283339877</v>
      </c>
      <c r="S79" s="160">
        <v>24.332548095798977</v>
      </c>
      <c r="T79" s="84">
        <v>0.2</v>
      </c>
      <c r="U79" s="84">
        <v>15.1</v>
      </c>
      <c r="V79" s="89">
        <v>128</v>
      </c>
      <c r="W79" s="90">
        <v>2.2999999999999998</v>
      </c>
      <c r="X79" s="148">
        <v>143856</v>
      </c>
      <c r="Y79" s="89">
        <v>2.4</v>
      </c>
      <c r="Z79" s="89" t="s">
        <v>344</v>
      </c>
      <c r="AA79" s="85">
        <v>4227</v>
      </c>
      <c r="AB79" s="110" t="s">
        <v>355</v>
      </c>
      <c r="AC79" s="110" t="s">
        <v>355</v>
      </c>
      <c r="AD79" s="110" t="s">
        <v>355</v>
      </c>
      <c r="AE79" s="110" t="s">
        <v>355</v>
      </c>
      <c r="AF79" s="84">
        <v>4.28</v>
      </c>
      <c r="AG79" s="84">
        <v>1.87</v>
      </c>
      <c r="AH79" s="84">
        <v>87.84</v>
      </c>
      <c r="AI79" s="86">
        <v>12.156238555287718</v>
      </c>
      <c r="AJ79" s="84">
        <v>2.48</v>
      </c>
      <c r="AK79" s="84">
        <v>4.72</v>
      </c>
      <c r="AL79" s="84">
        <v>3.6318150448585231</v>
      </c>
      <c r="AM79" s="84">
        <v>4.22</v>
      </c>
      <c r="AN79" s="85">
        <v>44382</v>
      </c>
      <c r="AO79" s="85">
        <v>46368</v>
      </c>
      <c r="AP79" s="85">
        <v>17627</v>
      </c>
      <c r="AQ79" s="135">
        <v>1378.5094236333775</v>
      </c>
      <c r="AR79" s="85">
        <v>12787</v>
      </c>
      <c r="AS79" s="135" t="s">
        <v>379</v>
      </c>
      <c r="AT79" s="135" t="s">
        <v>379</v>
      </c>
      <c r="AU79" s="135" t="s">
        <v>379</v>
      </c>
      <c r="AV79" s="85">
        <v>1812</v>
      </c>
      <c r="AW79" s="135">
        <v>3025.041736227045</v>
      </c>
      <c r="AX79" s="85">
        <v>599</v>
      </c>
      <c r="AY79" s="135" t="s">
        <v>379</v>
      </c>
      <c r="AZ79" s="135" t="s">
        <v>379</v>
      </c>
      <c r="BA79" s="89">
        <v>0</v>
      </c>
      <c r="BB79" s="87">
        <v>612.53786876896959</v>
      </c>
      <c r="BC79" s="91">
        <v>9.8381168374129988</v>
      </c>
      <c r="BD79" s="85">
        <v>11447</v>
      </c>
      <c r="BE79" s="92">
        <v>25.090414922297967</v>
      </c>
      <c r="BF79" s="85">
        <v>2151</v>
      </c>
      <c r="BG79" s="92">
        <v>4.714727220919273</v>
      </c>
      <c r="BH79" s="85">
        <v>5800</v>
      </c>
      <c r="BI79" s="92">
        <v>12.712886044319752</v>
      </c>
      <c r="BJ79" s="85">
        <v>6000</v>
      </c>
      <c r="BK79" s="92">
        <v>13.151261425158363</v>
      </c>
      <c r="BL79" s="85">
        <v>11850</v>
      </c>
      <c r="BM79" s="92">
        <v>25.973741314687764</v>
      </c>
      <c r="BN79" s="85">
        <v>6392</v>
      </c>
      <c r="BO79" s="92">
        <v>14.010477171602043</v>
      </c>
      <c r="BP79" s="85">
        <v>1983</v>
      </c>
      <c r="BQ79" s="92">
        <v>4.3464919010148391</v>
      </c>
      <c r="BR79" s="165">
        <v>374.52558565632768</v>
      </c>
      <c r="BS79" s="165">
        <v>189.76573746891768</v>
      </c>
      <c r="BT79" s="111">
        <v>0</v>
      </c>
      <c r="BU79" s="165">
        <v>196.30938358853552</v>
      </c>
      <c r="BV79" s="165">
        <v>309.15456092134536</v>
      </c>
      <c r="BW79" s="165">
        <v>70.376914016489991</v>
      </c>
      <c r="BX79" s="165">
        <v>64.880251276010995</v>
      </c>
      <c r="BY79" s="112">
        <v>78.5564716660123</v>
      </c>
      <c r="BZ79" s="165">
        <v>209.13492998298651</v>
      </c>
      <c r="CA79" s="110" t="s">
        <v>355</v>
      </c>
      <c r="CB79" s="112">
        <v>482.87829708468303</v>
      </c>
      <c r="CC79" s="110" t="s">
        <v>355</v>
      </c>
      <c r="CD79" s="110" t="s">
        <v>355</v>
      </c>
      <c r="CE79" s="110" t="s">
        <v>355</v>
      </c>
      <c r="CF79" s="110" t="s">
        <v>355</v>
      </c>
      <c r="CG79" s="110" t="s">
        <v>355</v>
      </c>
      <c r="CH79" s="110" t="s">
        <v>355</v>
      </c>
      <c r="CI79" s="110" t="s">
        <v>355</v>
      </c>
      <c r="CJ79" s="87">
        <v>8230</v>
      </c>
      <c r="CK79" s="92">
        <v>65.006075334143375</v>
      </c>
      <c r="CL79" s="139">
        <v>93.86999999999999</v>
      </c>
      <c r="CM79" s="139">
        <v>3.071260306242638</v>
      </c>
      <c r="CN79" s="139">
        <v>177.4</v>
      </c>
      <c r="CO79" s="115">
        <v>4</v>
      </c>
      <c r="CP79" s="115">
        <v>1</v>
      </c>
      <c r="CQ79" s="110">
        <v>1</v>
      </c>
      <c r="CR79" s="86">
        <v>10.045232233710816</v>
      </c>
      <c r="CS79" s="85">
        <v>10316</v>
      </c>
      <c r="CT79" s="85">
        <v>8263</v>
      </c>
      <c r="CU79" s="84">
        <v>124.85</v>
      </c>
      <c r="CV79" s="84">
        <v>126.48</v>
      </c>
      <c r="CW79" s="84">
        <v>1.03</v>
      </c>
      <c r="CX79" s="115" t="s">
        <v>339</v>
      </c>
      <c r="CY79" s="114">
        <v>11000</v>
      </c>
      <c r="CZ79" s="129">
        <v>178000</v>
      </c>
      <c r="DA79" s="129">
        <v>0</v>
      </c>
      <c r="DB79" s="129">
        <v>7000</v>
      </c>
      <c r="DC79" s="129">
        <v>0</v>
      </c>
      <c r="DD79" s="129">
        <v>297346.08</v>
      </c>
      <c r="DE79" s="87">
        <v>0</v>
      </c>
      <c r="DF79" s="87">
        <v>0</v>
      </c>
      <c r="DG79" s="114">
        <v>0</v>
      </c>
      <c r="DH79" s="163">
        <v>7</v>
      </c>
      <c r="DI79" s="114">
        <v>4366.2857142857147</v>
      </c>
      <c r="DJ79" s="114">
        <v>43</v>
      </c>
      <c r="DK79" s="114">
        <v>57</v>
      </c>
      <c r="DL79" s="114">
        <v>0</v>
      </c>
      <c r="DM79" s="114">
        <v>0</v>
      </c>
      <c r="DN79" s="114">
        <v>0</v>
      </c>
      <c r="DO79" s="114">
        <v>57.142857142857139</v>
      </c>
      <c r="DP79" s="114">
        <v>42.857142857142854</v>
      </c>
      <c r="DQ79" s="88">
        <v>164</v>
      </c>
      <c r="DR79" s="147">
        <v>186.36585365853659</v>
      </c>
      <c r="DT79" s="55"/>
      <c r="DU79" s="55"/>
    </row>
    <row r="80" spans="1:125" s="32" customFormat="1" ht="15" thickBot="1">
      <c r="A80" s="100" t="s">
        <v>299</v>
      </c>
      <c r="B80" s="184">
        <v>2017</v>
      </c>
      <c r="C80" s="109">
        <v>11</v>
      </c>
      <c r="D80" s="83" t="s">
        <v>350</v>
      </c>
      <c r="E80" s="83" t="s">
        <v>405</v>
      </c>
      <c r="F80" s="132">
        <v>11863.5</v>
      </c>
      <c r="G80" s="85">
        <v>11956</v>
      </c>
      <c r="H80" s="86">
        <v>5.3856324371970077</v>
      </c>
      <c r="I80" s="132">
        <v>1.0077970244868715</v>
      </c>
      <c r="J80" s="85">
        <v>5941</v>
      </c>
      <c r="K80" s="173">
        <v>49.690531950485109</v>
      </c>
      <c r="L80" s="85">
        <v>6015</v>
      </c>
      <c r="M80" s="173">
        <v>50.309468049514884</v>
      </c>
      <c r="N80" s="161">
        <v>23.04282368685179</v>
      </c>
      <c r="O80" s="161">
        <v>43.634994981599192</v>
      </c>
      <c r="P80" s="161">
        <v>33.322181331549011</v>
      </c>
      <c r="Q80" s="161">
        <v>31.549013047842088</v>
      </c>
      <c r="R80" s="159">
        <v>35.128805620608901</v>
      </c>
      <c r="S80" s="160">
        <v>33.322181331549011</v>
      </c>
      <c r="T80" s="84">
        <v>3.2</v>
      </c>
      <c r="U80" s="84">
        <v>2.5</v>
      </c>
      <c r="V80" s="89">
        <v>78</v>
      </c>
      <c r="W80" s="90">
        <v>4.5999999999999996</v>
      </c>
      <c r="X80" s="148">
        <v>45737</v>
      </c>
      <c r="Y80" s="89">
        <v>2.2999999999999998</v>
      </c>
      <c r="Z80" s="89" t="s">
        <v>342</v>
      </c>
      <c r="AA80" s="85">
        <v>1197</v>
      </c>
      <c r="AB80" s="110" t="s">
        <v>355</v>
      </c>
      <c r="AC80" s="110" t="s">
        <v>355</v>
      </c>
      <c r="AD80" s="110" t="s">
        <v>355</v>
      </c>
      <c r="AE80" s="110" t="s">
        <v>355</v>
      </c>
      <c r="AF80" s="84">
        <v>6.4</v>
      </c>
      <c r="AG80" s="84">
        <v>5.92</v>
      </c>
      <c r="AH80" s="84">
        <v>54.4</v>
      </c>
      <c r="AI80" s="86">
        <v>45.599527517477071</v>
      </c>
      <c r="AJ80" s="84">
        <v>10.31</v>
      </c>
      <c r="AK80" s="84">
        <v>14.58</v>
      </c>
      <c r="AL80" s="84">
        <v>2.3036722832837291</v>
      </c>
      <c r="AM80" s="84">
        <v>24.51</v>
      </c>
      <c r="AN80" s="85">
        <v>39941</v>
      </c>
      <c r="AO80" s="85">
        <v>42671</v>
      </c>
      <c r="AP80" s="85">
        <v>3402</v>
      </c>
      <c r="AQ80" s="135">
        <v>689.36170212765956</v>
      </c>
      <c r="AR80" s="85">
        <v>4935</v>
      </c>
      <c r="AS80" s="85">
        <v>5399</v>
      </c>
      <c r="AT80" s="135">
        <v>2729.524772497472</v>
      </c>
      <c r="AU80" s="85">
        <v>1978</v>
      </c>
      <c r="AV80" s="85">
        <v>844</v>
      </c>
      <c r="AW80" s="135">
        <v>830.70866141732279</v>
      </c>
      <c r="AX80" s="85">
        <v>1016</v>
      </c>
      <c r="AY80" s="135" t="s">
        <v>379</v>
      </c>
      <c r="AZ80" s="135" t="s">
        <v>379</v>
      </c>
      <c r="BA80" s="89">
        <v>0</v>
      </c>
      <c r="BB80" s="87">
        <v>116.4727968895801</v>
      </c>
      <c r="BC80" s="91">
        <v>21.256332320162109</v>
      </c>
      <c r="BD80" s="85">
        <v>6299</v>
      </c>
      <c r="BE80" s="92">
        <v>15.748287414370719</v>
      </c>
      <c r="BF80" s="85">
        <v>7652</v>
      </c>
      <c r="BG80" s="92">
        <v>19.130956547827392</v>
      </c>
      <c r="BH80" s="85">
        <v>2889</v>
      </c>
      <c r="BI80" s="92">
        <v>7.2228611430571537</v>
      </c>
      <c r="BJ80" s="85">
        <v>3175</v>
      </c>
      <c r="BK80" s="92">
        <v>7.9378968948447426</v>
      </c>
      <c r="BL80" s="85">
        <v>3790</v>
      </c>
      <c r="BM80" s="92">
        <v>9.4754737736886856</v>
      </c>
      <c r="BN80" s="85">
        <v>12541</v>
      </c>
      <c r="BO80" s="92">
        <v>31.354067703385169</v>
      </c>
      <c r="BP80" s="85">
        <v>3652</v>
      </c>
      <c r="BQ80" s="92">
        <v>9.1304565228261421</v>
      </c>
      <c r="BR80" s="165">
        <v>526.84844429575105</v>
      </c>
      <c r="BS80" s="165">
        <v>241.6359986617598</v>
      </c>
      <c r="BT80" s="111">
        <v>511.45868183338911</v>
      </c>
      <c r="BU80" s="165">
        <v>265.55704248912679</v>
      </c>
      <c r="BV80" s="165">
        <v>242.305118768819</v>
      </c>
      <c r="BW80" s="165">
        <v>128.55470056875208</v>
      </c>
      <c r="BX80" s="165">
        <v>305.45332887253261</v>
      </c>
      <c r="BY80" s="112">
        <v>74.690531950485109</v>
      </c>
      <c r="BZ80" s="165">
        <v>1048.9294078287053</v>
      </c>
      <c r="CA80" s="110" t="s">
        <v>355</v>
      </c>
      <c r="CB80" s="112">
        <v>523.73504340345664</v>
      </c>
      <c r="CC80" s="110" t="s">
        <v>355</v>
      </c>
      <c r="CD80" s="110" t="s">
        <v>355</v>
      </c>
      <c r="CE80" s="110" t="s">
        <v>355</v>
      </c>
      <c r="CF80" s="110" t="s">
        <v>355</v>
      </c>
      <c r="CG80" s="110" t="s">
        <v>355</v>
      </c>
      <c r="CH80" s="110" t="s">
        <v>355</v>
      </c>
      <c r="CI80" s="110" t="s">
        <v>355</v>
      </c>
      <c r="CJ80" s="87">
        <v>5214</v>
      </c>
      <c r="CK80" s="92">
        <v>77.06175680859225</v>
      </c>
      <c r="CL80" s="139">
        <v>3034.8799999999997</v>
      </c>
      <c r="CM80" s="139">
        <v>253.83740381398457</v>
      </c>
      <c r="CN80" s="139">
        <v>192.23</v>
      </c>
      <c r="CO80" s="115">
        <v>5</v>
      </c>
      <c r="CP80" s="115">
        <v>18</v>
      </c>
      <c r="CQ80" s="110">
        <v>3</v>
      </c>
      <c r="CR80" s="86">
        <v>2.4510033444816055</v>
      </c>
      <c r="CS80" s="85">
        <v>6453</v>
      </c>
      <c r="CT80" s="85">
        <v>6453</v>
      </c>
      <c r="CU80" s="84">
        <v>100</v>
      </c>
      <c r="CV80" s="84">
        <v>113.53</v>
      </c>
      <c r="CW80" s="84">
        <v>0.9</v>
      </c>
      <c r="CX80" s="115" t="s">
        <v>339</v>
      </c>
      <c r="CY80" s="114">
        <v>186000</v>
      </c>
      <c r="CZ80" s="129">
        <v>108000</v>
      </c>
      <c r="DA80" s="129">
        <v>0</v>
      </c>
      <c r="DB80" s="129">
        <v>33114</v>
      </c>
      <c r="DC80" s="129">
        <v>0</v>
      </c>
      <c r="DD80" s="129">
        <v>310004</v>
      </c>
      <c r="DE80" s="87">
        <v>2</v>
      </c>
      <c r="DF80" s="87">
        <v>2860</v>
      </c>
      <c r="DG80" s="114">
        <v>1</v>
      </c>
      <c r="DH80" s="163">
        <v>9</v>
      </c>
      <c r="DI80" s="114">
        <v>1328.4444444444443</v>
      </c>
      <c r="DJ80" s="114">
        <v>33</v>
      </c>
      <c r="DK80" s="114">
        <v>67</v>
      </c>
      <c r="DL80" s="114">
        <v>0</v>
      </c>
      <c r="DM80" s="114">
        <v>11</v>
      </c>
      <c r="DN80" s="114">
        <v>0</v>
      </c>
      <c r="DO80" s="114">
        <v>44</v>
      </c>
      <c r="DP80" s="114">
        <v>56</v>
      </c>
      <c r="DQ80" s="88">
        <v>172</v>
      </c>
      <c r="DR80" s="147">
        <v>69.511627906976742</v>
      </c>
      <c r="DT80" s="55"/>
      <c r="DU80" s="55"/>
    </row>
    <row r="81" spans="1:125" s="32" customFormat="1" ht="15" customHeight="1" thickBot="1">
      <c r="A81" s="100" t="s">
        <v>300</v>
      </c>
      <c r="B81" s="184">
        <v>2017</v>
      </c>
      <c r="C81" s="109">
        <v>9</v>
      </c>
      <c r="D81" s="83" t="s">
        <v>348</v>
      </c>
      <c r="E81" s="83" t="s">
        <v>405</v>
      </c>
      <c r="F81" s="132">
        <v>6882.8</v>
      </c>
      <c r="G81" s="85">
        <v>3952</v>
      </c>
      <c r="H81" s="86">
        <v>0.27911697538696156</v>
      </c>
      <c r="I81" s="132">
        <v>0.57418492473993143</v>
      </c>
      <c r="J81" s="85">
        <v>2070</v>
      </c>
      <c r="K81" s="173">
        <v>52.378542510121463</v>
      </c>
      <c r="L81" s="85">
        <v>1882</v>
      </c>
      <c r="M81" s="173">
        <v>47.621457489878544</v>
      </c>
      <c r="N81" s="161">
        <v>27.859311740890689</v>
      </c>
      <c r="O81" s="161">
        <v>48.861336032388664</v>
      </c>
      <c r="P81" s="161">
        <v>23.279352226720647</v>
      </c>
      <c r="Q81" s="161">
        <v>39.701417004048587</v>
      </c>
      <c r="R81" s="159">
        <v>37.019230769230774</v>
      </c>
      <c r="S81" s="160">
        <v>23.279352226720647</v>
      </c>
      <c r="T81" s="84">
        <v>7.5</v>
      </c>
      <c r="U81" s="84">
        <v>3.3</v>
      </c>
      <c r="V81" s="89">
        <v>54</v>
      </c>
      <c r="W81" s="90">
        <v>4.5999999999999996</v>
      </c>
      <c r="X81" s="148">
        <v>42853</v>
      </c>
      <c r="Y81" s="89">
        <v>2.5</v>
      </c>
      <c r="Z81" s="89" t="s">
        <v>342</v>
      </c>
      <c r="AA81" s="85">
        <v>656</v>
      </c>
      <c r="AB81" s="110" t="s">
        <v>355</v>
      </c>
      <c r="AC81" s="110" t="s">
        <v>355</v>
      </c>
      <c r="AD81" s="110" t="s">
        <v>355</v>
      </c>
      <c r="AE81" s="110" t="s">
        <v>355</v>
      </c>
      <c r="AF81" s="84">
        <v>-25.3</v>
      </c>
      <c r="AG81" s="84">
        <v>5.67</v>
      </c>
      <c r="AH81" s="84">
        <v>49.39</v>
      </c>
      <c r="AI81" s="86">
        <v>50.609208359933945</v>
      </c>
      <c r="AJ81" s="84">
        <v>8.4700000000000006</v>
      </c>
      <c r="AK81" s="84">
        <v>17.2</v>
      </c>
      <c r="AL81" s="84">
        <v>0.64220766834106946</v>
      </c>
      <c r="AM81" s="84">
        <v>19.850000000000001</v>
      </c>
      <c r="AN81" s="85">
        <v>19271</v>
      </c>
      <c r="AO81" s="85">
        <v>15727</v>
      </c>
      <c r="AP81" s="85">
        <v>325</v>
      </c>
      <c r="AQ81" s="135">
        <v>279.69018932874354</v>
      </c>
      <c r="AR81" s="85">
        <v>1162</v>
      </c>
      <c r="AS81" s="85">
        <v>3564</v>
      </c>
      <c r="AT81" s="135">
        <v>3494.1176470588234</v>
      </c>
      <c r="AU81" s="85">
        <v>1020</v>
      </c>
      <c r="AV81" s="85">
        <v>101</v>
      </c>
      <c r="AW81" s="135">
        <v>410.5691056910569</v>
      </c>
      <c r="AX81" s="85">
        <v>246</v>
      </c>
      <c r="AY81" s="135" t="s">
        <v>379</v>
      </c>
      <c r="AZ81" s="135" t="s">
        <v>379</v>
      </c>
      <c r="BA81" s="89">
        <v>0</v>
      </c>
      <c r="BB81" s="87">
        <v>93.840155639097745</v>
      </c>
      <c r="BC81" s="91">
        <v>22.117039586919105</v>
      </c>
      <c r="BD81" s="85">
        <v>8426</v>
      </c>
      <c r="BE81" s="92">
        <v>34.372195480133797</v>
      </c>
      <c r="BF81" s="85">
        <v>2228</v>
      </c>
      <c r="BG81" s="92">
        <v>9.0886840172962398</v>
      </c>
      <c r="BH81" s="85">
        <v>1052</v>
      </c>
      <c r="BI81" s="92">
        <v>4.2914253079872724</v>
      </c>
      <c r="BJ81" s="85">
        <v>1324</v>
      </c>
      <c r="BK81" s="92">
        <v>5.4009953495961494</v>
      </c>
      <c r="BL81" s="85">
        <v>1666</v>
      </c>
      <c r="BM81" s="92">
        <v>6.7961165048543686</v>
      </c>
      <c r="BN81" s="85">
        <v>8095</v>
      </c>
      <c r="BO81" s="92">
        <v>33.021946642734761</v>
      </c>
      <c r="BP81" s="85">
        <v>1723</v>
      </c>
      <c r="BQ81" s="92">
        <v>7.0286366973974062</v>
      </c>
      <c r="BR81" s="165">
        <v>2132.0850202429151</v>
      </c>
      <c r="BS81" s="165">
        <v>266.19433198380568</v>
      </c>
      <c r="BT81" s="111">
        <v>424.59514170040484</v>
      </c>
      <c r="BU81" s="165">
        <v>335.02024291497975</v>
      </c>
      <c r="BV81" s="165">
        <v>351.9736842105263</v>
      </c>
      <c r="BW81" s="165">
        <v>139.17004048582996</v>
      </c>
      <c r="BX81" s="165">
        <v>435.9817813765182</v>
      </c>
      <c r="BY81" s="112">
        <v>69.585020242914979</v>
      </c>
      <c r="BZ81" s="165">
        <v>2048.3299595141702</v>
      </c>
      <c r="CA81" s="110" t="s">
        <v>355</v>
      </c>
      <c r="CB81" s="112">
        <v>573.27839905826954</v>
      </c>
      <c r="CC81" s="110" t="s">
        <v>355</v>
      </c>
      <c r="CD81" s="110" t="s">
        <v>355</v>
      </c>
      <c r="CE81" s="110" t="s">
        <v>355</v>
      </c>
      <c r="CF81" s="110" t="s">
        <v>355</v>
      </c>
      <c r="CG81" s="110" t="s">
        <v>355</v>
      </c>
      <c r="CH81" s="110" t="s">
        <v>355</v>
      </c>
      <c r="CI81" s="110" t="s">
        <v>355</v>
      </c>
      <c r="CJ81" s="87">
        <v>2217</v>
      </c>
      <c r="CK81" s="92">
        <v>36.129905277401896</v>
      </c>
      <c r="CL81" s="139">
        <v>1715.0500000000002</v>
      </c>
      <c r="CM81" s="139">
        <v>433.97014170040489</v>
      </c>
      <c r="CN81" s="139">
        <v>186</v>
      </c>
      <c r="CO81" s="115">
        <v>3</v>
      </c>
      <c r="CP81" s="115">
        <v>9</v>
      </c>
      <c r="CQ81" s="110">
        <v>1</v>
      </c>
      <c r="CR81" s="86">
        <v>4.7869433198380564</v>
      </c>
      <c r="CS81" s="85">
        <v>4054</v>
      </c>
      <c r="CT81" s="85">
        <v>3437</v>
      </c>
      <c r="CU81" s="84">
        <v>117.95</v>
      </c>
      <c r="CV81" s="84">
        <v>15.22</v>
      </c>
      <c r="CW81" s="84">
        <v>0</v>
      </c>
      <c r="CX81" s="115" t="s">
        <v>339</v>
      </c>
      <c r="CY81" s="114">
        <v>50000</v>
      </c>
      <c r="CZ81" s="129">
        <v>120000</v>
      </c>
      <c r="DA81" s="129">
        <v>0</v>
      </c>
      <c r="DB81" s="129">
        <v>2000</v>
      </c>
      <c r="DC81" s="129">
        <v>0</v>
      </c>
      <c r="DD81" s="129">
        <v>289956</v>
      </c>
      <c r="DE81" s="87">
        <v>0</v>
      </c>
      <c r="DF81" s="87">
        <v>0</v>
      </c>
      <c r="DG81" s="114">
        <v>0</v>
      </c>
      <c r="DH81" s="162">
        <v>9</v>
      </c>
      <c r="DI81" s="114">
        <v>439.11111111111109</v>
      </c>
      <c r="DJ81" s="114">
        <v>44</v>
      </c>
      <c r="DK81" s="114">
        <v>56</v>
      </c>
      <c r="DL81" s="114">
        <v>0</v>
      </c>
      <c r="DM81" s="114">
        <v>0</v>
      </c>
      <c r="DN81" s="114">
        <v>0</v>
      </c>
      <c r="DO81" s="114">
        <v>56</v>
      </c>
      <c r="DP81" s="114">
        <v>44</v>
      </c>
      <c r="DQ81" s="88">
        <v>82</v>
      </c>
      <c r="DR81" s="147">
        <v>48.195121951219512</v>
      </c>
      <c r="DT81" s="55"/>
      <c r="DU81" s="55"/>
    </row>
    <row r="82" spans="1:125" s="32" customFormat="1" ht="15" customHeight="1" thickBot="1">
      <c r="A82" s="100" t="s">
        <v>301</v>
      </c>
      <c r="B82" s="184">
        <v>2017</v>
      </c>
      <c r="C82" s="109">
        <v>11</v>
      </c>
      <c r="D82" s="83" t="s">
        <v>350</v>
      </c>
      <c r="E82" s="83" t="s">
        <v>412</v>
      </c>
      <c r="F82" s="132">
        <v>3404.9</v>
      </c>
      <c r="G82" s="85">
        <v>16431</v>
      </c>
      <c r="H82" s="86">
        <v>-1.5754163172397306</v>
      </c>
      <c r="I82" s="132">
        <v>4.8256923845046842</v>
      </c>
      <c r="J82" s="85">
        <v>8441</v>
      </c>
      <c r="K82" s="173">
        <v>51.372405818270337</v>
      </c>
      <c r="L82" s="85">
        <v>7990</v>
      </c>
      <c r="M82" s="173">
        <v>48.627594181729656</v>
      </c>
      <c r="N82" s="161">
        <v>29.304363702756987</v>
      </c>
      <c r="O82" s="161">
        <v>52.869575801837989</v>
      </c>
      <c r="P82" s="161">
        <v>17.826060495405027</v>
      </c>
      <c r="Q82" s="161">
        <v>42.310267177895447</v>
      </c>
      <c r="R82" s="159">
        <v>39.863672326699536</v>
      </c>
      <c r="S82" s="160">
        <v>17.826060495405027</v>
      </c>
      <c r="T82" s="84">
        <v>8.3000000000000007</v>
      </c>
      <c r="U82" s="84">
        <v>3.5</v>
      </c>
      <c r="V82" s="89">
        <v>22</v>
      </c>
      <c r="W82" s="90">
        <v>7.3</v>
      </c>
      <c r="X82" s="148">
        <v>68390</v>
      </c>
      <c r="Y82" s="89">
        <v>2.5</v>
      </c>
      <c r="Z82" s="89" t="s">
        <v>345</v>
      </c>
      <c r="AA82" s="85">
        <v>1032</v>
      </c>
      <c r="AB82" s="110" t="s">
        <v>355</v>
      </c>
      <c r="AC82" s="110" t="s">
        <v>355</v>
      </c>
      <c r="AD82" s="110" t="s">
        <v>355</v>
      </c>
      <c r="AE82" s="110" t="s">
        <v>355</v>
      </c>
      <c r="AF82" s="84">
        <v>13.03</v>
      </c>
      <c r="AG82" s="84">
        <v>2.02</v>
      </c>
      <c r="AH82" s="84">
        <v>65.83</v>
      </c>
      <c r="AI82" s="86">
        <v>34.173950773639916</v>
      </c>
      <c r="AJ82" s="84">
        <v>7.7</v>
      </c>
      <c r="AK82" s="84">
        <v>2.2999999999999998</v>
      </c>
      <c r="AL82" s="84">
        <v>16.078111970834062</v>
      </c>
      <c r="AM82" s="84">
        <v>7.7</v>
      </c>
      <c r="AN82" s="85">
        <v>44850</v>
      </c>
      <c r="AO82" s="85">
        <v>51567</v>
      </c>
      <c r="AP82" s="85">
        <v>4670</v>
      </c>
      <c r="AQ82" s="135">
        <v>712.10734980176881</v>
      </c>
      <c r="AR82" s="85">
        <v>6558</v>
      </c>
      <c r="AS82" s="85">
        <v>1300</v>
      </c>
      <c r="AT82" s="135">
        <v>2725.3668763102723</v>
      </c>
      <c r="AU82" s="85">
        <v>477</v>
      </c>
      <c r="AV82" s="85">
        <v>1110</v>
      </c>
      <c r="AW82" s="135">
        <v>1831.6831683168316</v>
      </c>
      <c r="AX82" s="85">
        <v>606</v>
      </c>
      <c r="AY82" s="85">
        <v>7801</v>
      </c>
      <c r="AZ82" s="135">
        <v>410578.94736842107</v>
      </c>
      <c r="BA82" s="89">
        <v>19</v>
      </c>
      <c r="BB82" s="87">
        <v>78.129489416033863</v>
      </c>
      <c r="BC82" s="91">
        <v>12.473315035071668</v>
      </c>
      <c r="BD82" s="85">
        <v>4464</v>
      </c>
      <c r="BE82" s="92">
        <v>9.9250728149943299</v>
      </c>
      <c r="BF82" s="85">
        <v>11667</v>
      </c>
      <c r="BG82" s="92">
        <v>25.939924850479134</v>
      </c>
      <c r="BH82" s="85">
        <v>7482</v>
      </c>
      <c r="BI82" s="92">
        <v>16.63516908642195</v>
      </c>
      <c r="BJ82" s="85">
        <v>1964</v>
      </c>
      <c r="BK82" s="92">
        <v>4.3666763012206244</v>
      </c>
      <c r="BL82" s="85">
        <v>5848</v>
      </c>
      <c r="BM82" s="92">
        <v>13.002201125019456</v>
      </c>
      <c r="BN82" s="85">
        <v>7894</v>
      </c>
      <c r="BO82" s="92">
        <v>17.551192831891857</v>
      </c>
      <c r="BP82" s="85">
        <v>5658</v>
      </c>
      <c r="BQ82" s="92">
        <v>12.579762989972654</v>
      </c>
      <c r="BR82" s="165">
        <v>271.68157750593389</v>
      </c>
      <c r="BS82" s="165">
        <v>455.35877305094027</v>
      </c>
      <c r="BT82" s="111">
        <v>639.70543484876146</v>
      </c>
      <c r="BU82" s="165">
        <v>119.53015641166088</v>
      </c>
      <c r="BV82" s="165">
        <v>288.29651268942854</v>
      </c>
      <c r="BW82" s="165">
        <v>70.354817113991842</v>
      </c>
      <c r="BX82" s="165">
        <v>344.34909622055869</v>
      </c>
      <c r="BY82" s="112">
        <v>67.616091534294924</v>
      </c>
      <c r="BZ82" s="165">
        <v>480.43332724727651</v>
      </c>
      <c r="CA82" s="110" t="s">
        <v>355</v>
      </c>
      <c r="CB82" s="112">
        <v>224.61273666092944</v>
      </c>
      <c r="CC82" s="110" t="s">
        <v>355</v>
      </c>
      <c r="CD82" s="110" t="s">
        <v>355</v>
      </c>
      <c r="CE82" s="110" t="s">
        <v>355</v>
      </c>
      <c r="CF82" s="110" t="s">
        <v>355</v>
      </c>
      <c r="CG82" s="110" t="s">
        <v>355</v>
      </c>
      <c r="CH82" s="110" t="s">
        <v>355</v>
      </c>
      <c r="CI82" s="110" t="s">
        <v>355</v>
      </c>
      <c r="CJ82" s="87">
        <v>12715</v>
      </c>
      <c r="CK82" s="92">
        <v>43.311049941014552</v>
      </c>
      <c r="CL82" s="139">
        <v>619.53000000000009</v>
      </c>
      <c r="CM82" s="139">
        <v>37.704947964213993</v>
      </c>
      <c r="CN82" s="139">
        <v>358.16</v>
      </c>
      <c r="CO82" s="115">
        <v>2</v>
      </c>
      <c r="CP82" s="115">
        <v>2</v>
      </c>
      <c r="CQ82" s="110">
        <v>2</v>
      </c>
      <c r="CR82" s="86">
        <v>3.2368052596335302</v>
      </c>
      <c r="CS82" s="85">
        <v>6418</v>
      </c>
      <c r="CT82" s="85">
        <v>8542</v>
      </c>
      <c r="CU82" s="84">
        <v>75.13</v>
      </c>
      <c r="CV82" s="84">
        <v>97.11</v>
      </c>
      <c r="CW82" s="84">
        <v>5.54</v>
      </c>
      <c r="CX82" s="115" t="s">
        <v>339</v>
      </c>
      <c r="CY82" s="114">
        <v>29000</v>
      </c>
      <c r="CZ82" s="129">
        <v>164000</v>
      </c>
      <c r="DA82" s="129">
        <v>0</v>
      </c>
      <c r="DB82" s="129">
        <v>12000</v>
      </c>
      <c r="DC82" s="129">
        <v>0</v>
      </c>
      <c r="DD82" s="129">
        <v>179073</v>
      </c>
      <c r="DE82" s="87">
        <v>0</v>
      </c>
      <c r="DF82" s="87">
        <v>0</v>
      </c>
      <c r="DG82" s="114">
        <v>0</v>
      </c>
      <c r="DH82" s="162">
        <v>12</v>
      </c>
      <c r="DI82" s="114">
        <v>1369.25</v>
      </c>
      <c r="DJ82" s="114">
        <v>25</v>
      </c>
      <c r="DK82" s="114">
        <v>75</v>
      </c>
      <c r="DL82" s="114">
        <v>8.3333333333333321</v>
      </c>
      <c r="DM82" s="114">
        <v>0</v>
      </c>
      <c r="DN82" s="114">
        <v>0</v>
      </c>
      <c r="DO82" s="114">
        <v>92</v>
      </c>
      <c r="DP82" s="114">
        <v>8</v>
      </c>
      <c r="DQ82" s="88">
        <v>166</v>
      </c>
      <c r="DR82" s="147">
        <v>98.981927710843379</v>
      </c>
      <c r="DT82" s="55"/>
      <c r="DU82" s="55"/>
    </row>
    <row r="83" spans="1:125" s="32" customFormat="1" ht="15" customHeight="1" thickBot="1">
      <c r="A83" s="100" t="s">
        <v>302</v>
      </c>
      <c r="B83" s="184">
        <v>2017</v>
      </c>
      <c r="C83" s="109">
        <v>11</v>
      </c>
      <c r="D83" s="83" t="s">
        <v>350</v>
      </c>
      <c r="E83" s="83"/>
      <c r="F83" s="132">
        <v>1491.3</v>
      </c>
      <c r="G83" s="85">
        <v>19688</v>
      </c>
      <c r="H83" s="86">
        <v>1.9100367513846583</v>
      </c>
      <c r="I83" s="132">
        <v>13.201904378729967</v>
      </c>
      <c r="J83" s="85">
        <v>9659</v>
      </c>
      <c r="K83" s="173">
        <v>49.060341324664769</v>
      </c>
      <c r="L83" s="85">
        <v>10029</v>
      </c>
      <c r="M83" s="173">
        <v>50.939658675335231</v>
      </c>
      <c r="N83" s="161">
        <v>22.440065014221862</v>
      </c>
      <c r="O83" s="161">
        <v>41.791954490044695</v>
      </c>
      <c r="P83" s="161">
        <v>35.76798049573344</v>
      </c>
      <c r="Q83" s="161">
        <v>30.536367330353514</v>
      </c>
      <c r="R83" s="159">
        <v>33.695652173913047</v>
      </c>
      <c r="S83" s="160">
        <v>35.76798049573344</v>
      </c>
      <c r="T83" s="84">
        <v>7.6</v>
      </c>
      <c r="U83" s="84">
        <v>2.4</v>
      </c>
      <c r="V83" s="89">
        <v>9</v>
      </c>
      <c r="W83" s="90">
        <v>6.1</v>
      </c>
      <c r="X83" s="148">
        <v>44054</v>
      </c>
      <c r="Y83" s="89">
        <v>2.2999999999999998</v>
      </c>
      <c r="Z83" s="89" t="s">
        <v>340</v>
      </c>
      <c r="AA83" s="85">
        <v>1427</v>
      </c>
      <c r="AB83" s="110" t="s">
        <v>355</v>
      </c>
      <c r="AC83" s="110" t="s">
        <v>355</v>
      </c>
      <c r="AD83" s="110" t="s">
        <v>355</v>
      </c>
      <c r="AE83" s="110" t="s">
        <v>355</v>
      </c>
      <c r="AF83" s="84">
        <v>6.93</v>
      </c>
      <c r="AG83" s="84">
        <v>2.06</v>
      </c>
      <c r="AH83" s="84">
        <v>69.73</v>
      </c>
      <c r="AI83" s="86">
        <v>30.000949618587896</v>
      </c>
      <c r="AJ83" s="84">
        <v>5.07</v>
      </c>
      <c r="AK83" s="84">
        <v>2.5299999999999998</v>
      </c>
      <c r="AL83" s="84">
        <v>15.693882605465204</v>
      </c>
      <c r="AM83" s="84">
        <v>11.96</v>
      </c>
      <c r="AN83" s="85">
        <v>33819</v>
      </c>
      <c r="AO83" s="85">
        <v>36711</v>
      </c>
      <c r="AP83" s="85">
        <v>8186</v>
      </c>
      <c r="AQ83" s="135">
        <v>978.13358824232284</v>
      </c>
      <c r="AR83" s="85">
        <v>8369</v>
      </c>
      <c r="AS83" s="85">
        <v>961</v>
      </c>
      <c r="AT83" s="135">
        <v>1945.3441295546559</v>
      </c>
      <c r="AU83" s="85">
        <v>494</v>
      </c>
      <c r="AV83" s="85">
        <v>1086</v>
      </c>
      <c r="AW83" s="135">
        <v>1813.0217028380634</v>
      </c>
      <c r="AX83" s="85">
        <v>599</v>
      </c>
      <c r="AY83" s="85" t="s">
        <v>379</v>
      </c>
      <c r="AZ83" s="135" t="s">
        <v>379</v>
      </c>
      <c r="BA83" s="89">
        <v>0</v>
      </c>
      <c r="BB83" s="87">
        <v>146.71945626893384</v>
      </c>
      <c r="BC83" s="91">
        <v>29.931891504361335</v>
      </c>
      <c r="BD83" s="85">
        <v>2403</v>
      </c>
      <c r="BE83" s="92">
        <v>6.5960308528451046</v>
      </c>
      <c r="BF83" s="85">
        <v>12209</v>
      </c>
      <c r="BG83" s="92">
        <v>33.51266778293212</v>
      </c>
      <c r="BH83" s="85">
        <v>6524</v>
      </c>
      <c r="BI83" s="92">
        <v>17.907825752792952</v>
      </c>
      <c r="BJ83" s="85">
        <v>1826</v>
      </c>
      <c r="BK83" s="92">
        <v>5.0122148719497135</v>
      </c>
      <c r="BL83" s="85">
        <v>3728</v>
      </c>
      <c r="BM83" s="92">
        <v>10.233043287310258</v>
      </c>
      <c r="BN83" s="85">
        <v>8005</v>
      </c>
      <c r="BO83" s="92">
        <v>21.973044934259285</v>
      </c>
      <c r="BP83" s="85">
        <v>1736</v>
      </c>
      <c r="BQ83" s="92">
        <v>4.7651725179105711</v>
      </c>
      <c r="BR83" s="165">
        <v>122.05404307192198</v>
      </c>
      <c r="BS83" s="165">
        <v>331.36936204794802</v>
      </c>
      <c r="BT83" s="111">
        <v>539.11011783827712</v>
      </c>
      <c r="BU83" s="165">
        <v>92.746850873628603</v>
      </c>
      <c r="BV83" s="165">
        <v>152.98659081674117</v>
      </c>
      <c r="BW83" s="165">
        <v>81.013815522145464</v>
      </c>
      <c r="BX83" s="165">
        <v>88.175538399024788</v>
      </c>
      <c r="BY83" s="112">
        <v>36.367330353514831</v>
      </c>
      <c r="BZ83" s="165">
        <v>406.59284843559527</v>
      </c>
      <c r="CA83" s="110" t="s">
        <v>355</v>
      </c>
      <c r="CB83" s="112">
        <v>330.89356511131444</v>
      </c>
      <c r="CC83" s="110" t="s">
        <v>355</v>
      </c>
      <c r="CD83" s="110" t="s">
        <v>355</v>
      </c>
      <c r="CE83" s="110" t="s">
        <v>355</v>
      </c>
      <c r="CF83" s="110" t="s">
        <v>355</v>
      </c>
      <c r="CG83" s="110" t="s">
        <v>355</v>
      </c>
      <c r="CH83" s="110" t="s">
        <v>355</v>
      </c>
      <c r="CI83" s="110" t="s">
        <v>355</v>
      </c>
      <c r="CJ83" s="87">
        <v>9499</v>
      </c>
      <c r="CK83" s="92">
        <v>60.027371302242337</v>
      </c>
      <c r="CL83" s="139">
        <v>714.32100000000003</v>
      </c>
      <c r="CM83" s="139">
        <v>36.282049979683059</v>
      </c>
      <c r="CN83" s="139">
        <v>515</v>
      </c>
      <c r="CO83" s="115">
        <v>1</v>
      </c>
      <c r="CP83" s="115">
        <v>15</v>
      </c>
      <c r="CQ83" s="110">
        <v>2</v>
      </c>
      <c r="CR83" s="86">
        <v>4.6683821656050952</v>
      </c>
      <c r="CS83" s="85">
        <v>5845</v>
      </c>
      <c r="CT83" s="85">
        <v>5845</v>
      </c>
      <c r="CU83" s="84">
        <v>100</v>
      </c>
      <c r="CV83" s="84">
        <v>91.73</v>
      </c>
      <c r="CW83" s="84">
        <v>2.61</v>
      </c>
      <c r="CX83" s="115" t="s">
        <v>339</v>
      </c>
      <c r="CY83" s="114">
        <v>23000</v>
      </c>
      <c r="CZ83" s="129">
        <v>154000</v>
      </c>
      <c r="DA83" s="129">
        <v>0</v>
      </c>
      <c r="DB83" s="129">
        <v>3041</v>
      </c>
      <c r="DC83" s="129">
        <v>0</v>
      </c>
      <c r="DD83" s="129">
        <v>233587</v>
      </c>
      <c r="DE83" s="87">
        <v>0</v>
      </c>
      <c r="DF83" s="87">
        <v>0</v>
      </c>
      <c r="DG83" s="114">
        <v>0</v>
      </c>
      <c r="DH83" s="162">
        <v>9</v>
      </c>
      <c r="DI83" s="114">
        <v>2187.5555555555557</v>
      </c>
      <c r="DJ83" s="114">
        <v>44</v>
      </c>
      <c r="DK83" s="114">
        <v>56</v>
      </c>
      <c r="DL83" s="114">
        <v>11.111111111111111</v>
      </c>
      <c r="DM83" s="114">
        <v>11</v>
      </c>
      <c r="DN83" s="114">
        <v>0</v>
      </c>
      <c r="DO83" s="114">
        <v>33</v>
      </c>
      <c r="DP83" s="114">
        <v>67</v>
      </c>
      <c r="DQ83" s="88">
        <v>110</v>
      </c>
      <c r="DR83" s="147">
        <v>178.98181818181817</v>
      </c>
      <c r="DT83" s="55"/>
      <c r="DU83" s="55"/>
    </row>
    <row r="84" spans="1:125" s="32" customFormat="1" ht="15" customHeight="1" thickBot="1">
      <c r="A84" s="100" t="s">
        <v>303</v>
      </c>
      <c r="B84" s="184">
        <v>2017</v>
      </c>
      <c r="C84" s="109">
        <v>11</v>
      </c>
      <c r="D84" s="83" t="s">
        <v>350</v>
      </c>
      <c r="E84" s="83" t="s">
        <v>406</v>
      </c>
      <c r="F84" s="132">
        <v>13015</v>
      </c>
      <c r="G84" s="85">
        <v>13278</v>
      </c>
      <c r="H84" s="86">
        <v>-1.8915324368257713</v>
      </c>
      <c r="I84" s="132">
        <v>1.0202074529389167</v>
      </c>
      <c r="J84" s="85">
        <v>6638</v>
      </c>
      <c r="K84" s="173">
        <v>49.992468745292967</v>
      </c>
      <c r="L84" s="85">
        <v>6640</v>
      </c>
      <c r="M84" s="173">
        <v>50.00753125470704</v>
      </c>
      <c r="N84" s="161">
        <v>28.204548877843049</v>
      </c>
      <c r="O84" s="161">
        <v>49.005874378671486</v>
      </c>
      <c r="P84" s="161">
        <v>22.789576743485465</v>
      </c>
      <c r="Q84" s="161">
        <v>39.27549329718331</v>
      </c>
      <c r="R84" s="159">
        <v>37.934929959331228</v>
      </c>
      <c r="S84" s="160">
        <v>22.789576743485465</v>
      </c>
      <c r="T84" s="84">
        <v>12.2</v>
      </c>
      <c r="U84" s="84">
        <v>1.8</v>
      </c>
      <c r="V84" s="89">
        <v>41</v>
      </c>
      <c r="W84" s="90">
        <v>6.1</v>
      </c>
      <c r="X84" s="148">
        <v>50962</v>
      </c>
      <c r="Y84" s="89">
        <v>2.5</v>
      </c>
      <c r="Z84" s="89" t="s">
        <v>342</v>
      </c>
      <c r="AA84" s="85">
        <v>1760</v>
      </c>
      <c r="AB84" s="110" t="s">
        <v>355</v>
      </c>
      <c r="AC84" s="110" t="s">
        <v>355</v>
      </c>
      <c r="AD84" s="110" t="s">
        <v>355</v>
      </c>
      <c r="AE84" s="110" t="s">
        <v>355</v>
      </c>
      <c r="AF84" s="84">
        <v>12.02</v>
      </c>
      <c r="AG84" s="84">
        <v>4.6500000000000004</v>
      </c>
      <c r="AH84" s="84">
        <v>71.7</v>
      </c>
      <c r="AI84" s="86">
        <v>28.304288119772465</v>
      </c>
      <c r="AJ84" s="84">
        <v>8.17</v>
      </c>
      <c r="AK84" s="84">
        <v>11.82</v>
      </c>
      <c r="AL84" s="84">
        <v>2.6765122003217243</v>
      </c>
      <c r="AM84" s="84">
        <v>17.18</v>
      </c>
      <c r="AN84" s="85">
        <v>45395</v>
      </c>
      <c r="AO84" s="85">
        <v>51597</v>
      </c>
      <c r="AP84" s="85">
        <v>4179</v>
      </c>
      <c r="AQ84" s="135">
        <v>914.04199475065616</v>
      </c>
      <c r="AR84" s="85">
        <v>4572</v>
      </c>
      <c r="AS84" s="85">
        <v>6219</v>
      </c>
      <c r="AT84" s="135">
        <v>3787.4543239951281</v>
      </c>
      <c r="AU84" s="85">
        <v>1642</v>
      </c>
      <c r="AV84" s="85">
        <v>912</v>
      </c>
      <c r="AW84" s="135">
        <v>1625.668449197861</v>
      </c>
      <c r="AX84" s="85">
        <v>561</v>
      </c>
      <c r="AY84" s="85">
        <v>1023</v>
      </c>
      <c r="AZ84" s="135">
        <v>204600</v>
      </c>
      <c r="BA84" s="89">
        <v>5</v>
      </c>
      <c r="BB84" s="87">
        <v>152.72185907727237</v>
      </c>
      <c r="BC84" s="91">
        <v>18.919510061242345</v>
      </c>
      <c r="BD84" s="85">
        <v>6685</v>
      </c>
      <c r="BE84" s="92">
        <v>14.302830612550546</v>
      </c>
      <c r="BF84" s="85">
        <v>7387</v>
      </c>
      <c r="BG84" s="92">
        <v>15.804788292432445</v>
      </c>
      <c r="BH84" s="85">
        <v>3606</v>
      </c>
      <c r="BI84" s="92">
        <v>7.7151843214446183</v>
      </c>
      <c r="BJ84" s="85">
        <v>1028</v>
      </c>
      <c r="BK84" s="92">
        <v>2.1994479984595303</v>
      </c>
      <c r="BL84" s="85">
        <v>6175</v>
      </c>
      <c r="BM84" s="92">
        <v>13.211664776738912</v>
      </c>
      <c r="BN84" s="85">
        <v>10580</v>
      </c>
      <c r="BO84" s="92">
        <v>22.636342240955091</v>
      </c>
      <c r="BP84" s="85">
        <v>11278</v>
      </c>
      <c r="BQ84" s="92">
        <v>24.129741757418856</v>
      </c>
      <c r="BR84" s="165">
        <v>503.4643771652357</v>
      </c>
      <c r="BS84" s="165">
        <v>271.57704473565298</v>
      </c>
      <c r="BT84" s="111">
        <v>474.16779635487273</v>
      </c>
      <c r="BU84" s="165">
        <v>77.421298388311499</v>
      </c>
      <c r="BV84" s="165">
        <v>416.93026058141288</v>
      </c>
      <c r="BW84" s="165">
        <v>82.165988853743031</v>
      </c>
      <c r="BX84" s="165">
        <v>849.37490585931619</v>
      </c>
      <c r="BY84" s="112">
        <v>48.124717577948488</v>
      </c>
      <c r="BZ84" s="165">
        <v>796.80674800421752</v>
      </c>
      <c r="CA84" s="110" t="s">
        <v>355</v>
      </c>
      <c r="CB84" s="112">
        <v>460.03106703309834</v>
      </c>
      <c r="CC84" s="110" t="s">
        <v>355</v>
      </c>
      <c r="CD84" s="110" t="s">
        <v>355</v>
      </c>
      <c r="CE84" s="110" t="s">
        <v>355</v>
      </c>
      <c r="CF84" s="110" t="s">
        <v>355</v>
      </c>
      <c r="CG84" s="110" t="s">
        <v>355</v>
      </c>
      <c r="CH84" s="110" t="s">
        <v>355</v>
      </c>
      <c r="CI84" s="110" t="s">
        <v>355</v>
      </c>
      <c r="CJ84" s="87">
        <v>8323</v>
      </c>
      <c r="CK84" s="92">
        <v>37.174095878889823</v>
      </c>
      <c r="CL84" s="139">
        <v>2313.4690000000001</v>
      </c>
      <c r="CM84" s="139">
        <v>174.23324295827686</v>
      </c>
      <c r="CN84" s="139">
        <v>351.17</v>
      </c>
      <c r="CO84" s="115">
        <v>4</v>
      </c>
      <c r="CP84" s="115">
        <v>3</v>
      </c>
      <c r="CQ84" s="110">
        <v>3</v>
      </c>
      <c r="CR84" s="86">
        <v>3.4963023829087923</v>
      </c>
      <c r="CS84" s="85">
        <v>7580</v>
      </c>
      <c r="CT84" s="85">
        <v>7582</v>
      </c>
      <c r="CU84" s="84">
        <v>99.97</v>
      </c>
      <c r="CV84" s="84">
        <v>94.34</v>
      </c>
      <c r="CW84" s="84">
        <v>9.15</v>
      </c>
      <c r="CX84" s="115" t="s">
        <v>339</v>
      </c>
      <c r="CY84" s="114">
        <v>95000</v>
      </c>
      <c r="CZ84" s="129">
        <v>129000</v>
      </c>
      <c r="DA84" s="129">
        <v>6000</v>
      </c>
      <c r="DB84" s="129">
        <v>6000</v>
      </c>
      <c r="DC84" s="129">
        <v>0</v>
      </c>
      <c r="DD84" s="129">
        <v>266187</v>
      </c>
      <c r="DE84" s="87">
        <v>0</v>
      </c>
      <c r="DF84" s="87">
        <v>0</v>
      </c>
      <c r="DG84" s="114">
        <v>0</v>
      </c>
      <c r="DH84" s="163">
        <v>9</v>
      </c>
      <c r="DI84" s="114">
        <v>1475.3333333333333</v>
      </c>
      <c r="DJ84" s="114">
        <v>44</v>
      </c>
      <c r="DK84" s="114">
        <v>56</v>
      </c>
      <c r="DL84" s="114">
        <v>0</v>
      </c>
      <c r="DM84" s="114">
        <v>0</v>
      </c>
      <c r="DN84" s="114">
        <v>0</v>
      </c>
      <c r="DO84" s="114">
        <v>44</v>
      </c>
      <c r="DP84" s="114">
        <v>56</v>
      </c>
      <c r="DQ84" s="88">
        <v>161</v>
      </c>
      <c r="DR84" s="147">
        <v>82.472049689440993</v>
      </c>
      <c r="DT84" s="55"/>
      <c r="DU84" s="55"/>
    </row>
    <row r="85" spans="1:125" s="32" customFormat="1" ht="15" customHeight="1" thickBot="1">
      <c r="A85" s="100" t="s">
        <v>304</v>
      </c>
      <c r="B85" s="184">
        <v>2017</v>
      </c>
      <c r="C85" s="109">
        <v>10</v>
      </c>
      <c r="D85" s="83" t="s">
        <v>350</v>
      </c>
      <c r="E85" s="83" t="s">
        <v>405</v>
      </c>
      <c r="F85" s="132">
        <v>4116.3</v>
      </c>
      <c r="G85" s="85">
        <v>5931</v>
      </c>
      <c r="H85" s="86">
        <v>-2.3060451325976006</v>
      </c>
      <c r="I85" s="132">
        <v>1.4408570803877268</v>
      </c>
      <c r="J85" s="85">
        <v>2969</v>
      </c>
      <c r="K85" s="173">
        <v>50.059011970999833</v>
      </c>
      <c r="L85" s="85">
        <v>2962</v>
      </c>
      <c r="M85" s="173">
        <v>49.940988029000167</v>
      </c>
      <c r="N85" s="161">
        <v>25.847243297926152</v>
      </c>
      <c r="O85" s="161">
        <v>45.928174001011634</v>
      </c>
      <c r="P85" s="161">
        <v>28.224582701062218</v>
      </c>
      <c r="Q85" s="161">
        <v>35.491485415612885</v>
      </c>
      <c r="R85" s="159">
        <v>36.283931883324904</v>
      </c>
      <c r="S85" s="160">
        <v>28.224582701062218</v>
      </c>
      <c r="T85" s="84">
        <v>9.6999999999999993</v>
      </c>
      <c r="U85" s="84">
        <v>2.5</v>
      </c>
      <c r="V85" s="89">
        <v>23</v>
      </c>
      <c r="W85" s="90">
        <v>8.8000000000000007</v>
      </c>
      <c r="X85" s="148">
        <v>45460</v>
      </c>
      <c r="Y85" s="89">
        <v>2.2999999999999998</v>
      </c>
      <c r="Z85" s="89" t="s">
        <v>342</v>
      </c>
      <c r="AA85" s="85">
        <v>569</v>
      </c>
      <c r="AB85" s="110" t="s">
        <v>355</v>
      </c>
      <c r="AC85" s="110" t="s">
        <v>355</v>
      </c>
      <c r="AD85" s="110" t="s">
        <v>355</v>
      </c>
      <c r="AE85" s="110" t="s">
        <v>355</v>
      </c>
      <c r="AF85" s="84">
        <v>3.74</v>
      </c>
      <c r="AG85" s="84">
        <v>7.85</v>
      </c>
      <c r="AH85" s="84">
        <v>54.83</v>
      </c>
      <c r="AI85" s="86">
        <v>45.173294923773227</v>
      </c>
      <c r="AJ85" s="84">
        <v>5.73</v>
      </c>
      <c r="AK85" s="84">
        <v>0</v>
      </c>
      <c r="AL85" s="84">
        <v>0</v>
      </c>
      <c r="AM85" s="84">
        <v>20.09</v>
      </c>
      <c r="AN85" s="85">
        <v>18616</v>
      </c>
      <c r="AO85" s="85">
        <v>19339</v>
      </c>
      <c r="AP85" s="85">
        <v>1365</v>
      </c>
      <c r="AQ85" s="135">
        <v>699.64120963608411</v>
      </c>
      <c r="AR85" s="85">
        <v>1951</v>
      </c>
      <c r="AS85" s="85">
        <v>2795</v>
      </c>
      <c r="AT85" s="135">
        <v>3601.8041237113403</v>
      </c>
      <c r="AU85" s="85">
        <v>776</v>
      </c>
      <c r="AV85" s="85">
        <v>395</v>
      </c>
      <c r="AW85" s="135">
        <v>1431.159420289855</v>
      </c>
      <c r="AX85" s="85">
        <v>276</v>
      </c>
      <c r="AY85" s="135" t="s">
        <v>379</v>
      </c>
      <c r="AZ85" s="135" t="s">
        <v>379</v>
      </c>
      <c r="BA85" s="89">
        <v>0</v>
      </c>
      <c r="BB85" s="87">
        <v>140.74024193194293</v>
      </c>
      <c r="BC85" s="91">
        <v>30.343413634033826</v>
      </c>
      <c r="BD85" s="85">
        <v>3484</v>
      </c>
      <c r="BE85" s="92">
        <v>18.068665076236908</v>
      </c>
      <c r="BF85" s="85">
        <v>3703</v>
      </c>
      <c r="BG85" s="92">
        <v>19.204439373508972</v>
      </c>
      <c r="BH85" s="85">
        <v>1433</v>
      </c>
      <c r="BI85" s="92">
        <v>7.4318016803236171</v>
      </c>
      <c r="BJ85" s="85">
        <v>1327</v>
      </c>
      <c r="BK85" s="92">
        <v>6.882066175707914</v>
      </c>
      <c r="BL85" s="85">
        <v>2719</v>
      </c>
      <c r="BM85" s="92">
        <v>14.101234311793382</v>
      </c>
      <c r="BN85" s="85">
        <v>4958</v>
      </c>
      <c r="BO85" s="92">
        <v>25.713100300798676</v>
      </c>
      <c r="BP85" s="85">
        <v>1658</v>
      </c>
      <c r="BQ85" s="92">
        <v>8.598693081630536</v>
      </c>
      <c r="BR85" s="165">
        <v>587.42201989546447</v>
      </c>
      <c r="BS85" s="165">
        <v>241.61186983645254</v>
      </c>
      <c r="BT85" s="111">
        <v>521.16000674422526</v>
      </c>
      <c r="BU85" s="165">
        <v>223.73967290507503</v>
      </c>
      <c r="BV85" s="165">
        <v>401.11279716742541</v>
      </c>
      <c r="BW85" s="165">
        <v>103.1866464339909</v>
      </c>
      <c r="BX85" s="165">
        <v>279.54813690777274</v>
      </c>
      <c r="BY85" s="112">
        <v>57.325914685550501</v>
      </c>
      <c r="BZ85" s="165">
        <v>835.94672062046868</v>
      </c>
      <c r="CA85" s="110" t="s">
        <v>355</v>
      </c>
      <c r="CB85" s="112">
        <v>257.21784776902888</v>
      </c>
      <c r="CC85" s="110" t="s">
        <v>355</v>
      </c>
      <c r="CD85" s="110" t="s">
        <v>355</v>
      </c>
      <c r="CE85" s="110" t="s">
        <v>355</v>
      </c>
      <c r="CF85" s="110" t="s">
        <v>355</v>
      </c>
      <c r="CG85" s="110" t="s">
        <v>355</v>
      </c>
      <c r="CH85" s="110" t="s">
        <v>355</v>
      </c>
      <c r="CI85" s="110" t="s">
        <v>355</v>
      </c>
      <c r="CJ85" s="87">
        <v>4175</v>
      </c>
      <c r="CK85" s="92">
        <v>44.814371257485028</v>
      </c>
      <c r="CL85" s="139">
        <v>1555.6</v>
      </c>
      <c r="CM85" s="139">
        <v>262.28292024953635</v>
      </c>
      <c r="CN85" s="139">
        <v>14.4</v>
      </c>
      <c r="CO85" s="115">
        <v>2</v>
      </c>
      <c r="CP85" s="115">
        <v>2</v>
      </c>
      <c r="CQ85" s="110">
        <v>1</v>
      </c>
      <c r="CR85" s="86">
        <v>7.3765753654847925</v>
      </c>
      <c r="CS85" s="85">
        <v>2763</v>
      </c>
      <c r="CT85" s="85">
        <v>1246</v>
      </c>
      <c r="CU85" s="84">
        <v>221.75</v>
      </c>
      <c r="CV85" s="84">
        <v>110.51</v>
      </c>
      <c r="CW85" s="84">
        <v>0.84</v>
      </c>
      <c r="CX85" s="115" t="s">
        <v>339</v>
      </c>
      <c r="CY85" s="114">
        <v>28000</v>
      </c>
      <c r="CZ85" s="129">
        <v>129000</v>
      </c>
      <c r="DA85" s="129">
        <v>0</v>
      </c>
      <c r="DB85" s="129">
        <v>16000</v>
      </c>
      <c r="DC85" s="129">
        <v>4000</v>
      </c>
      <c r="DD85" s="129">
        <v>227028</v>
      </c>
      <c r="DE85" s="87">
        <v>0</v>
      </c>
      <c r="DF85" s="87">
        <v>0</v>
      </c>
      <c r="DG85" s="114">
        <v>0</v>
      </c>
      <c r="DH85" s="162">
        <v>9</v>
      </c>
      <c r="DI85" s="114">
        <v>659</v>
      </c>
      <c r="DJ85" s="114">
        <v>56</v>
      </c>
      <c r="DK85" s="114">
        <v>44</v>
      </c>
      <c r="DL85" s="114">
        <v>0</v>
      </c>
      <c r="DM85" s="114">
        <v>0</v>
      </c>
      <c r="DN85" s="114">
        <v>0</v>
      </c>
      <c r="DO85" s="114">
        <v>62</v>
      </c>
      <c r="DP85" s="114">
        <v>38</v>
      </c>
      <c r="DQ85" s="88">
        <v>110</v>
      </c>
      <c r="DR85" s="147">
        <v>53.918181818181822</v>
      </c>
      <c r="DT85" s="55"/>
      <c r="DU85" s="55"/>
    </row>
    <row r="86" spans="1:125" s="32" customFormat="1" ht="15" customHeight="1" thickBot="1">
      <c r="A86" s="100" t="s">
        <v>305</v>
      </c>
      <c r="B86" s="184">
        <v>2017</v>
      </c>
      <c r="C86" s="109">
        <v>10</v>
      </c>
      <c r="D86" s="83" t="s">
        <v>350</v>
      </c>
      <c r="E86" s="83" t="s">
        <v>413</v>
      </c>
      <c r="F86" s="132">
        <v>5261.5</v>
      </c>
      <c r="G86" s="85">
        <v>6578</v>
      </c>
      <c r="H86" s="86">
        <v>-3.9708029197080275</v>
      </c>
      <c r="I86" s="132">
        <v>1.250213817352466</v>
      </c>
      <c r="J86" s="85">
        <v>3279</v>
      </c>
      <c r="K86" s="173">
        <v>49.847978108847677</v>
      </c>
      <c r="L86" s="85">
        <v>3299</v>
      </c>
      <c r="M86" s="173">
        <v>50.152021891152323</v>
      </c>
      <c r="N86" s="161">
        <v>28.215262997871694</v>
      </c>
      <c r="O86" s="161">
        <v>45.348130130738831</v>
      </c>
      <c r="P86" s="161">
        <v>26.436606871389479</v>
      </c>
      <c r="Q86" s="161">
        <v>38.431134083307995</v>
      </c>
      <c r="R86" s="159">
        <v>35.132259045302519</v>
      </c>
      <c r="S86" s="160">
        <v>26.436606871389479</v>
      </c>
      <c r="T86" s="84">
        <v>19.899999999999999</v>
      </c>
      <c r="U86" s="84">
        <v>1.2</v>
      </c>
      <c r="V86" s="89">
        <v>31</v>
      </c>
      <c r="W86" s="90">
        <v>2.6</v>
      </c>
      <c r="X86" s="148">
        <v>47603</v>
      </c>
      <c r="Y86" s="89">
        <v>2.5</v>
      </c>
      <c r="Z86" s="89" t="s">
        <v>342</v>
      </c>
      <c r="AA86" s="85">
        <v>954</v>
      </c>
      <c r="AB86" s="110" t="s">
        <v>355</v>
      </c>
      <c r="AC86" s="110" t="s">
        <v>355</v>
      </c>
      <c r="AD86" s="110" t="s">
        <v>355</v>
      </c>
      <c r="AE86" s="110" t="s">
        <v>355</v>
      </c>
      <c r="AF86" s="84">
        <v>-0.88</v>
      </c>
      <c r="AG86" s="84">
        <v>5.98</v>
      </c>
      <c r="AH86" s="84">
        <v>53.43</v>
      </c>
      <c r="AI86" s="86">
        <v>46.568520423561438</v>
      </c>
      <c r="AJ86" s="84">
        <v>11.61</v>
      </c>
      <c r="AK86" s="84">
        <v>12.68</v>
      </c>
      <c r="AL86" s="84">
        <v>2.2588968404654106</v>
      </c>
      <c r="AM86" s="84">
        <v>18.93</v>
      </c>
      <c r="AN86" s="85">
        <v>20721</v>
      </c>
      <c r="AO86" s="85">
        <v>20541</v>
      </c>
      <c r="AP86" s="85">
        <v>1454</v>
      </c>
      <c r="AQ86" s="135">
        <v>649.97764863656687</v>
      </c>
      <c r="AR86" s="85">
        <v>2237</v>
      </c>
      <c r="AS86" s="85">
        <v>3178</v>
      </c>
      <c r="AT86" s="135">
        <v>3842.8053204353082</v>
      </c>
      <c r="AU86" s="85">
        <v>827</v>
      </c>
      <c r="AV86" s="85">
        <v>561</v>
      </c>
      <c r="AW86" s="135">
        <v>1876.2541806020067</v>
      </c>
      <c r="AX86" s="85">
        <v>299</v>
      </c>
      <c r="AY86" s="85">
        <v>268</v>
      </c>
      <c r="AZ86" s="135">
        <v>134000</v>
      </c>
      <c r="BA86" s="89">
        <v>2</v>
      </c>
      <c r="BB86" s="87">
        <v>151.19005310382713</v>
      </c>
      <c r="BC86" s="91">
        <v>22.172552525704067</v>
      </c>
      <c r="BD86" s="85">
        <v>3650.404</v>
      </c>
      <c r="BE86" s="92">
        <v>17.616929684860768</v>
      </c>
      <c r="BF86" s="85">
        <v>3946.5830000000001</v>
      </c>
      <c r="BG86" s="92">
        <v>19.046296028183967</v>
      </c>
      <c r="BH86" s="85">
        <v>1648.49</v>
      </c>
      <c r="BI86" s="92">
        <v>7.9556488586458185</v>
      </c>
      <c r="BJ86" s="85">
        <v>1217.2840000000001</v>
      </c>
      <c r="BK86" s="92">
        <v>5.8746392548622177</v>
      </c>
      <c r="BL86" s="85">
        <v>2435.0720000000001</v>
      </c>
      <c r="BM86" s="92">
        <v>11.751710824767144</v>
      </c>
      <c r="BN86" s="85">
        <v>4191.8609999999999</v>
      </c>
      <c r="BO86" s="92">
        <v>20.230013030259155</v>
      </c>
      <c r="BP86" s="85">
        <v>3631.306</v>
      </c>
      <c r="BQ86" s="92">
        <v>17.524762318420926</v>
      </c>
      <c r="BR86" s="165">
        <v>554.94131955001524</v>
      </c>
      <c r="BS86" s="165">
        <v>250.60656734569778</v>
      </c>
      <c r="BT86" s="111">
        <v>470.09972636059592</v>
      </c>
      <c r="BU86" s="165">
        <v>185.05381574946793</v>
      </c>
      <c r="BV86" s="165">
        <v>296.11204013377926</v>
      </c>
      <c r="BW86" s="165">
        <v>129.86728488902401</v>
      </c>
      <c r="BX86" s="165">
        <v>552.03800547278809</v>
      </c>
      <c r="BY86" s="112">
        <v>74.072210398297358</v>
      </c>
      <c r="BZ86" s="165">
        <v>637.25463666768019</v>
      </c>
      <c r="CA86" s="110" t="s">
        <v>355</v>
      </c>
      <c r="CB86" s="112">
        <v>322.39876986160942</v>
      </c>
      <c r="CC86" s="110" t="s">
        <v>355</v>
      </c>
      <c r="CD86" s="110" t="s">
        <v>355</v>
      </c>
      <c r="CE86" s="110" t="s">
        <v>355</v>
      </c>
      <c r="CF86" s="110" t="s">
        <v>355</v>
      </c>
      <c r="CG86" s="110" t="s">
        <v>355</v>
      </c>
      <c r="CH86" s="110" t="s">
        <v>355</v>
      </c>
      <c r="CI86" s="110" t="s">
        <v>355</v>
      </c>
      <c r="CJ86" s="87">
        <v>5106</v>
      </c>
      <c r="CK86" s="92">
        <v>68.860164512338429</v>
      </c>
      <c r="CL86" s="139">
        <v>1571.7900000000002</v>
      </c>
      <c r="CM86" s="139">
        <v>238.94648829431441</v>
      </c>
      <c r="CN86" s="139">
        <v>60.1</v>
      </c>
      <c r="CO86" s="115">
        <v>2</v>
      </c>
      <c r="CP86" s="115">
        <v>5</v>
      </c>
      <c r="CQ86" s="110">
        <v>2</v>
      </c>
      <c r="CR86" s="86">
        <v>4.0402807445834608</v>
      </c>
      <c r="CS86" s="85">
        <v>6738</v>
      </c>
      <c r="CT86" s="85">
        <v>6881</v>
      </c>
      <c r="CU86" s="84">
        <v>97.92</v>
      </c>
      <c r="CV86" s="84">
        <v>124.57</v>
      </c>
      <c r="CW86" s="84">
        <v>7.23</v>
      </c>
      <c r="CX86" s="115" t="s">
        <v>339</v>
      </c>
      <c r="CY86" s="114">
        <v>37000</v>
      </c>
      <c r="CZ86" s="129">
        <v>127000</v>
      </c>
      <c r="DA86" s="129">
        <v>0</v>
      </c>
      <c r="DB86" s="129">
        <v>11000</v>
      </c>
      <c r="DC86" s="129">
        <v>0</v>
      </c>
      <c r="DD86" s="129">
        <v>240702</v>
      </c>
      <c r="DE86" s="87">
        <v>0</v>
      </c>
      <c r="DF86" s="87">
        <v>0</v>
      </c>
      <c r="DG86" s="114">
        <v>0</v>
      </c>
      <c r="DH86" s="162">
        <v>9</v>
      </c>
      <c r="DI86" s="114">
        <v>730.88888888888891</v>
      </c>
      <c r="DJ86" s="114">
        <v>25</v>
      </c>
      <c r="DK86" s="114">
        <v>75</v>
      </c>
      <c r="DL86" s="114">
        <v>0</v>
      </c>
      <c r="DM86" s="114">
        <v>0</v>
      </c>
      <c r="DN86" s="114">
        <v>0</v>
      </c>
      <c r="DO86" s="114">
        <v>38</v>
      </c>
      <c r="DP86" s="114">
        <v>62</v>
      </c>
      <c r="DQ86" s="88">
        <v>78</v>
      </c>
      <c r="DR86" s="147">
        <v>84.333333333333329</v>
      </c>
      <c r="DT86" s="55"/>
      <c r="DU86" s="55"/>
    </row>
    <row r="87" spans="1:125" s="32" customFormat="1" ht="15" customHeight="1" thickBot="1">
      <c r="A87" s="100" t="s">
        <v>306</v>
      </c>
      <c r="B87" s="184">
        <v>2017</v>
      </c>
      <c r="C87" s="109">
        <v>5</v>
      </c>
      <c r="D87" s="83" t="s">
        <v>347</v>
      </c>
      <c r="E87" s="83" t="s">
        <v>412</v>
      </c>
      <c r="F87" s="132">
        <v>186.8</v>
      </c>
      <c r="G87" s="85">
        <v>162358</v>
      </c>
      <c r="H87" s="86">
        <v>3.2332313874600116</v>
      </c>
      <c r="I87" s="132">
        <v>869.15417558886509</v>
      </c>
      <c r="J87" s="85">
        <v>80645</v>
      </c>
      <c r="K87" s="173">
        <v>49.671097204942164</v>
      </c>
      <c r="L87" s="85">
        <v>81713</v>
      </c>
      <c r="M87" s="173">
        <v>50.328902795057843</v>
      </c>
      <c r="N87" s="161">
        <v>22.841498417078309</v>
      </c>
      <c r="O87" s="161">
        <v>56.557730447529529</v>
      </c>
      <c r="P87" s="161">
        <v>20.600771135392158</v>
      </c>
      <c r="Q87" s="161">
        <v>40.576996513876736</v>
      </c>
      <c r="R87" s="159">
        <v>38.822232350731099</v>
      </c>
      <c r="S87" s="160">
        <v>20.600771135392158</v>
      </c>
      <c r="T87" s="84">
        <v>3.5</v>
      </c>
      <c r="U87" s="84">
        <v>9.9</v>
      </c>
      <c r="V87" s="89">
        <v>96</v>
      </c>
      <c r="W87" s="90">
        <v>5.9</v>
      </c>
      <c r="X87" s="148">
        <v>58859</v>
      </c>
      <c r="Y87" s="89">
        <v>2.4</v>
      </c>
      <c r="Z87" s="89" t="s">
        <v>340</v>
      </c>
      <c r="AA87" s="85">
        <v>13054</v>
      </c>
      <c r="AB87" s="110" t="s">
        <v>355</v>
      </c>
      <c r="AC87" s="110" t="s">
        <v>355</v>
      </c>
      <c r="AD87" s="110" t="s">
        <v>355</v>
      </c>
      <c r="AE87" s="110" t="s">
        <v>355</v>
      </c>
      <c r="AF87" s="84">
        <v>1.68</v>
      </c>
      <c r="AG87" s="84">
        <v>3</v>
      </c>
      <c r="AH87" s="84">
        <v>86.47</v>
      </c>
      <c r="AI87" s="86">
        <v>13.525292264115249</v>
      </c>
      <c r="AJ87" s="84">
        <v>2.74</v>
      </c>
      <c r="AK87" s="84">
        <v>7.32</v>
      </c>
      <c r="AL87" s="84">
        <v>2.3647034017430419</v>
      </c>
      <c r="AM87" s="84">
        <v>5.27</v>
      </c>
      <c r="AN87" s="85">
        <v>279485</v>
      </c>
      <c r="AO87" s="85">
        <v>284560</v>
      </c>
      <c r="AP87" s="85">
        <v>83107</v>
      </c>
      <c r="AQ87" s="135">
        <v>1300.0907327451348</v>
      </c>
      <c r="AR87" s="85">
        <v>63924</v>
      </c>
      <c r="AS87" s="85">
        <v>38</v>
      </c>
      <c r="AT87" s="135">
        <v>4222.2222222222226</v>
      </c>
      <c r="AU87" s="85">
        <v>9</v>
      </c>
      <c r="AV87" s="85">
        <v>50051</v>
      </c>
      <c r="AW87" s="135">
        <v>11026.878166997136</v>
      </c>
      <c r="AX87" s="85">
        <v>4539</v>
      </c>
      <c r="AY87" s="85" t="s">
        <v>379</v>
      </c>
      <c r="AZ87" s="135" t="s">
        <v>379</v>
      </c>
      <c r="BA87" s="89">
        <v>0</v>
      </c>
      <c r="BB87" s="87">
        <v>179.88120027628457</v>
      </c>
      <c r="BC87" s="91">
        <v>17.810212126900694</v>
      </c>
      <c r="BD87" s="85">
        <v>56946</v>
      </c>
      <c r="BE87" s="92">
        <v>19.930352611777057</v>
      </c>
      <c r="BF87" s="85">
        <v>8901</v>
      </c>
      <c r="BG87" s="92">
        <v>3.1152331787557963</v>
      </c>
      <c r="BH87" s="85">
        <v>64776</v>
      </c>
      <c r="BI87" s="92">
        <v>22.670749846880742</v>
      </c>
      <c r="BJ87" s="85">
        <v>9510</v>
      </c>
      <c r="BK87" s="92">
        <v>3.3283751859305273</v>
      </c>
      <c r="BL87" s="85">
        <v>40959</v>
      </c>
      <c r="BM87" s="92">
        <v>14.335112433283753</v>
      </c>
      <c r="BN87" s="85">
        <v>47960</v>
      </c>
      <c r="BO87" s="92">
        <v>16.785370548604426</v>
      </c>
      <c r="BP87" s="85">
        <v>56673</v>
      </c>
      <c r="BQ87" s="92">
        <v>19.834806194767694</v>
      </c>
      <c r="BR87" s="165">
        <v>350.74341886448468</v>
      </c>
      <c r="BS87" s="165">
        <v>398.97017701622343</v>
      </c>
      <c r="BT87" s="111">
        <v>0</v>
      </c>
      <c r="BU87" s="165">
        <v>58.574261816479634</v>
      </c>
      <c r="BV87" s="165">
        <v>201.40676776013501</v>
      </c>
      <c r="BW87" s="165">
        <v>54.823291738011065</v>
      </c>
      <c r="BX87" s="165">
        <v>349.06194951896424</v>
      </c>
      <c r="BY87" s="112">
        <v>50.869067123270796</v>
      </c>
      <c r="BZ87" s="165">
        <v>295.39659271486471</v>
      </c>
      <c r="CA87" s="110" t="s">
        <v>355</v>
      </c>
      <c r="CB87" s="112">
        <v>421.54671434957532</v>
      </c>
      <c r="CC87" s="110" t="s">
        <v>355</v>
      </c>
      <c r="CD87" s="110" t="s">
        <v>355</v>
      </c>
      <c r="CE87" s="110" t="s">
        <v>355</v>
      </c>
      <c r="CF87" s="110" t="s">
        <v>355</v>
      </c>
      <c r="CG87" s="110" t="s">
        <v>355</v>
      </c>
      <c r="CH87" s="110" t="s">
        <v>355</v>
      </c>
      <c r="CI87" s="110" t="s">
        <v>355</v>
      </c>
      <c r="CJ87" s="87">
        <v>71599</v>
      </c>
      <c r="CK87" s="92">
        <v>55.183731616363353</v>
      </c>
      <c r="CL87" s="139">
        <v>813.17000000000007</v>
      </c>
      <c r="CM87" s="139">
        <v>5.0084997351531806</v>
      </c>
      <c r="CN87" s="139">
        <v>10467.51</v>
      </c>
      <c r="CO87" s="115">
        <v>7</v>
      </c>
      <c r="CP87" s="115">
        <v>16</v>
      </c>
      <c r="CQ87" s="110">
        <v>9</v>
      </c>
      <c r="CR87" s="86">
        <v>7.6525603151157062</v>
      </c>
      <c r="CS87" s="85">
        <v>26362</v>
      </c>
      <c r="CT87" s="85">
        <v>27753</v>
      </c>
      <c r="CU87" s="84">
        <v>94.99</v>
      </c>
      <c r="CV87" s="84">
        <v>56.63</v>
      </c>
      <c r="CW87" s="84">
        <v>10.95</v>
      </c>
      <c r="CX87" s="115" t="s">
        <v>339</v>
      </c>
      <c r="CY87" s="114">
        <v>143000</v>
      </c>
      <c r="CZ87" s="129">
        <v>452000</v>
      </c>
      <c r="DA87" s="129">
        <v>9000</v>
      </c>
      <c r="DB87" s="129">
        <v>6000</v>
      </c>
      <c r="DC87" s="129">
        <v>3000</v>
      </c>
      <c r="DD87" s="129">
        <v>406912</v>
      </c>
      <c r="DE87" s="87">
        <v>4</v>
      </c>
      <c r="DF87" s="87">
        <v>6646</v>
      </c>
      <c r="DG87" s="114">
        <v>0</v>
      </c>
      <c r="DH87" s="162">
        <v>13</v>
      </c>
      <c r="DI87" s="114">
        <v>12489.076923076924</v>
      </c>
      <c r="DJ87" s="114">
        <v>38</v>
      </c>
      <c r="DK87" s="114">
        <v>62</v>
      </c>
      <c r="DL87" s="114">
        <v>0</v>
      </c>
      <c r="DM87" s="114">
        <v>0</v>
      </c>
      <c r="DN87" s="114">
        <v>8</v>
      </c>
      <c r="DO87" s="114">
        <v>92.307692307692307</v>
      </c>
      <c r="DP87" s="114">
        <v>0</v>
      </c>
      <c r="DQ87" s="88">
        <v>975</v>
      </c>
      <c r="DR87" s="147">
        <v>166.52102564102563</v>
      </c>
      <c r="DT87" s="55"/>
      <c r="DU87" s="55"/>
    </row>
    <row r="88" spans="1:125" s="32" customFormat="1" ht="15" customHeight="1" thickBot="1">
      <c r="A88" s="100" t="s">
        <v>21</v>
      </c>
      <c r="B88" s="184">
        <v>2017</v>
      </c>
      <c r="C88" s="109">
        <v>3</v>
      </c>
      <c r="D88" s="83" t="s">
        <v>349</v>
      </c>
      <c r="E88" s="83"/>
      <c r="F88" s="132">
        <v>10.5</v>
      </c>
      <c r="G88" s="85">
        <v>73032</v>
      </c>
      <c r="H88" s="86">
        <v>7.8408788872153856</v>
      </c>
      <c r="I88" s="132">
        <v>6955.4285714285716</v>
      </c>
      <c r="J88" s="85">
        <v>34843</v>
      </c>
      <c r="K88" s="173">
        <v>47.709223354146133</v>
      </c>
      <c r="L88" s="85">
        <v>38189</v>
      </c>
      <c r="M88" s="173">
        <v>52.290776645853875</v>
      </c>
      <c r="N88" s="161">
        <v>15.598641691313397</v>
      </c>
      <c r="O88" s="161">
        <v>65.105707087304197</v>
      </c>
      <c r="P88" s="161">
        <v>19.295651221382407</v>
      </c>
      <c r="Q88" s="161">
        <v>32.511775659984664</v>
      </c>
      <c r="R88" s="159">
        <v>48.192573118632929</v>
      </c>
      <c r="S88" s="160">
        <v>19.295651221382407</v>
      </c>
      <c r="T88" s="84">
        <v>0.3</v>
      </c>
      <c r="U88" s="84">
        <v>22.3</v>
      </c>
      <c r="V88" s="89">
        <v>127</v>
      </c>
      <c r="W88" s="90">
        <v>2.7</v>
      </c>
      <c r="X88" s="148">
        <v>100437</v>
      </c>
      <c r="Y88" s="89">
        <v>2</v>
      </c>
      <c r="Z88" s="89" t="s">
        <v>344</v>
      </c>
      <c r="AA88" s="85">
        <v>15768</v>
      </c>
      <c r="AB88" s="110" t="s">
        <v>355</v>
      </c>
      <c r="AC88" s="110" t="s">
        <v>355</v>
      </c>
      <c r="AD88" s="110" t="s">
        <v>355</v>
      </c>
      <c r="AE88" s="110" t="s">
        <v>355</v>
      </c>
      <c r="AF88" s="84">
        <v>7.08</v>
      </c>
      <c r="AG88" s="84">
        <v>2.2000000000000002</v>
      </c>
      <c r="AH88" s="84">
        <v>89.35</v>
      </c>
      <c r="AI88" s="86">
        <v>10.650877850822472</v>
      </c>
      <c r="AJ88" s="84">
        <v>1.29</v>
      </c>
      <c r="AK88" s="84">
        <v>91.17</v>
      </c>
      <c r="AL88" s="84">
        <v>0.2637278189185413</v>
      </c>
      <c r="AM88" s="84">
        <v>6.69</v>
      </c>
      <c r="AN88" s="85">
        <v>106407</v>
      </c>
      <c r="AO88" s="85">
        <v>114501</v>
      </c>
      <c r="AP88" s="85">
        <v>25937</v>
      </c>
      <c r="AQ88" s="135">
        <v>730.00281452293837</v>
      </c>
      <c r="AR88" s="85">
        <v>35530</v>
      </c>
      <c r="AS88" s="135" t="s">
        <v>379</v>
      </c>
      <c r="AT88" s="135" t="s">
        <v>379</v>
      </c>
      <c r="AU88" s="135" t="s">
        <v>379</v>
      </c>
      <c r="AV88" s="85">
        <v>16943</v>
      </c>
      <c r="AW88" s="135">
        <v>4577.9519048905704</v>
      </c>
      <c r="AX88" s="85">
        <v>3701</v>
      </c>
      <c r="AY88" s="135" t="s">
        <v>379</v>
      </c>
      <c r="AZ88" s="135" t="s">
        <v>379</v>
      </c>
      <c r="BA88" s="89">
        <v>0</v>
      </c>
      <c r="BB88" s="87">
        <v>503.6145676539179</v>
      </c>
      <c r="BC88" s="91">
        <v>4.3737686462144669</v>
      </c>
      <c r="BD88" s="85">
        <v>35352</v>
      </c>
      <c r="BE88" s="92">
        <v>32.943500666287704</v>
      </c>
      <c r="BF88" s="85">
        <v>8644</v>
      </c>
      <c r="BG88" s="92">
        <v>8.0550922086272614</v>
      </c>
      <c r="BH88" s="85">
        <v>20010</v>
      </c>
      <c r="BI88" s="92">
        <v>18.64673705398328</v>
      </c>
      <c r="BJ88" s="85">
        <v>9550</v>
      </c>
      <c r="BK88" s="92">
        <v>8.8993672596471942</v>
      </c>
      <c r="BL88" s="85">
        <v>19692</v>
      </c>
      <c r="BM88" s="92">
        <v>18.350402102300791</v>
      </c>
      <c r="BN88" s="85">
        <v>2746</v>
      </c>
      <c r="BO88" s="92">
        <v>2.5589175387425334</v>
      </c>
      <c r="BP88" s="85">
        <v>11317</v>
      </c>
      <c r="BQ88" s="92">
        <v>10.545983170411235</v>
      </c>
      <c r="BR88" s="165">
        <v>484.06178113703584</v>
      </c>
      <c r="BS88" s="165">
        <v>273.98948406178113</v>
      </c>
      <c r="BT88" s="111">
        <v>0</v>
      </c>
      <c r="BU88" s="165">
        <v>130.76459634132982</v>
      </c>
      <c r="BV88" s="165">
        <v>226.38021689122576</v>
      </c>
      <c r="BW88" s="165">
        <v>118.35907547376493</v>
      </c>
      <c r="BX88" s="165">
        <v>154.95946982144812</v>
      </c>
      <c r="BY88" s="112">
        <v>43.255011501807424</v>
      </c>
      <c r="BZ88" s="165">
        <v>37.599956183590756</v>
      </c>
      <c r="CA88" s="110" t="s">
        <v>355</v>
      </c>
      <c r="CB88" s="112">
        <v>330.48620236530883</v>
      </c>
      <c r="CC88" s="110" t="s">
        <v>355</v>
      </c>
      <c r="CD88" s="110" t="s">
        <v>355</v>
      </c>
      <c r="CE88" s="110" t="s">
        <v>355</v>
      </c>
      <c r="CF88" s="110" t="s">
        <v>355</v>
      </c>
      <c r="CG88" s="110" t="s">
        <v>355</v>
      </c>
      <c r="CH88" s="110" t="s">
        <v>355</v>
      </c>
      <c r="CI88" s="110" t="s">
        <v>355</v>
      </c>
      <c r="CJ88" s="87">
        <v>13672</v>
      </c>
      <c r="CK88" s="92">
        <v>67.056758338209477</v>
      </c>
      <c r="CL88" s="139">
        <v>152.5</v>
      </c>
      <c r="CM88" s="139">
        <v>2.0881257530945341</v>
      </c>
      <c r="CN88" s="139">
        <v>130.97</v>
      </c>
      <c r="CO88" s="115">
        <v>1</v>
      </c>
      <c r="CP88" s="115">
        <v>12</v>
      </c>
      <c r="CQ88" s="110">
        <v>1</v>
      </c>
      <c r="CR88" s="86">
        <v>7.8268538664696141</v>
      </c>
      <c r="CS88" s="85">
        <v>9183</v>
      </c>
      <c r="CT88" s="85">
        <v>8509</v>
      </c>
      <c r="CU88" s="84">
        <v>107.92</v>
      </c>
      <c r="CV88" s="84">
        <v>199.63</v>
      </c>
      <c r="CW88" s="84">
        <v>6.76</v>
      </c>
      <c r="CX88" s="115" t="s">
        <v>339</v>
      </c>
      <c r="CY88" s="114">
        <v>28000</v>
      </c>
      <c r="CZ88" s="129">
        <v>231000</v>
      </c>
      <c r="DA88" s="129">
        <v>0</v>
      </c>
      <c r="DB88" s="129">
        <v>7000</v>
      </c>
      <c r="DC88" s="129">
        <v>0</v>
      </c>
      <c r="DD88" s="129">
        <v>404490</v>
      </c>
      <c r="DE88" s="87">
        <v>0</v>
      </c>
      <c r="DF88" s="87">
        <v>0</v>
      </c>
      <c r="DG88" s="114">
        <v>0</v>
      </c>
      <c r="DH88" s="163">
        <v>10</v>
      </c>
      <c r="DI88" s="114">
        <v>7303.2</v>
      </c>
      <c r="DJ88" s="114">
        <v>60</v>
      </c>
      <c r="DK88" s="114">
        <v>40</v>
      </c>
      <c r="DL88" s="114">
        <v>0</v>
      </c>
      <c r="DM88" s="114">
        <v>0</v>
      </c>
      <c r="DN88" s="114">
        <v>10</v>
      </c>
      <c r="DO88" s="114">
        <v>70</v>
      </c>
      <c r="DP88" s="114">
        <v>20</v>
      </c>
      <c r="DQ88" s="88">
        <v>373</v>
      </c>
      <c r="DR88" s="147">
        <v>195.79624664879356</v>
      </c>
      <c r="DT88" s="55"/>
      <c r="DU88" s="55"/>
    </row>
    <row r="89" spans="1:125" s="32" customFormat="1" ht="15" customHeight="1" thickBot="1">
      <c r="A89" s="100" t="s">
        <v>307</v>
      </c>
      <c r="B89" s="184">
        <v>2017</v>
      </c>
      <c r="C89" s="109">
        <v>3</v>
      </c>
      <c r="D89" s="83" t="s">
        <v>349</v>
      </c>
      <c r="E89" s="83"/>
      <c r="F89" s="132">
        <v>254.2</v>
      </c>
      <c r="G89" s="85">
        <v>268666</v>
      </c>
      <c r="H89" s="86">
        <v>5.4224691677751791</v>
      </c>
      <c r="I89" s="132">
        <v>1056.9079464988199</v>
      </c>
      <c r="J89" s="85">
        <v>132173</v>
      </c>
      <c r="K89" s="173">
        <v>49.196027781706654</v>
      </c>
      <c r="L89" s="85">
        <v>136493</v>
      </c>
      <c r="M89" s="173">
        <v>50.803972218293346</v>
      </c>
      <c r="N89" s="161">
        <v>25.315447432872041</v>
      </c>
      <c r="O89" s="161">
        <v>53.128791882858273</v>
      </c>
      <c r="P89" s="161">
        <v>21.555760684269686</v>
      </c>
      <c r="Q89" s="161">
        <v>36.467956496169968</v>
      </c>
      <c r="R89" s="159">
        <v>41.976282819560346</v>
      </c>
      <c r="S89" s="160">
        <v>21.555760684269686</v>
      </c>
      <c r="T89" s="84">
        <v>0.6</v>
      </c>
      <c r="U89" s="84">
        <v>15.1</v>
      </c>
      <c r="V89" s="89">
        <v>121</v>
      </c>
      <c r="W89" s="90">
        <v>3.2</v>
      </c>
      <c r="X89" s="148">
        <v>79756</v>
      </c>
      <c r="Y89" s="89">
        <v>2.7</v>
      </c>
      <c r="Z89" s="89" t="s">
        <v>344</v>
      </c>
      <c r="AA89" s="85">
        <v>31943</v>
      </c>
      <c r="AB89" s="110" t="s">
        <v>355</v>
      </c>
      <c r="AC89" s="110" t="s">
        <v>355</v>
      </c>
      <c r="AD89" s="110" t="s">
        <v>355</v>
      </c>
      <c r="AE89" s="110" t="s">
        <v>355</v>
      </c>
      <c r="AF89" s="84">
        <v>8</v>
      </c>
      <c r="AG89" s="84">
        <v>3.09</v>
      </c>
      <c r="AH89" s="84">
        <v>82.23</v>
      </c>
      <c r="AI89" s="86">
        <v>17.772402614138155</v>
      </c>
      <c r="AJ89" s="84">
        <v>3.87</v>
      </c>
      <c r="AK89" s="84">
        <v>4.57</v>
      </c>
      <c r="AL89" s="84">
        <v>3.7246430920760214</v>
      </c>
      <c r="AM89" s="84">
        <v>8.59</v>
      </c>
      <c r="AN89" s="85">
        <v>310568</v>
      </c>
      <c r="AO89" s="85">
        <v>337513</v>
      </c>
      <c r="AP89" s="85">
        <v>129691</v>
      </c>
      <c r="AQ89" s="135">
        <v>1373.001757394821</v>
      </c>
      <c r="AR89" s="85">
        <v>94458</v>
      </c>
      <c r="AS89" s="85">
        <v>14</v>
      </c>
      <c r="AT89" s="135">
        <v>2000</v>
      </c>
      <c r="AU89" s="85">
        <v>7</v>
      </c>
      <c r="AV89" s="85">
        <v>27131</v>
      </c>
      <c r="AW89" s="135">
        <v>3698.3369683751362</v>
      </c>
      <c r="AX89" s="85">
        <v>7336</v>
      </c>
      <c r="AY89" s="135" t="s">
        <v>379</v>
      </c>
      <c r="AZ89" s="135" t="s">
        <v>379</v>
      </c>
      <c r="BA89" s="89">
        <v>0</v>
      </c>
      <c r="BB89" s="87">
        <v>537.6576759289959</v>
      </c>
      <c r="BC89" s="91">
        <v>10.749751212178959</v>
      </c>
      <c r="BD89" s="85">
        <v>88899</v>
      </c>
      <c r="BE89" s="92">
        <v>28.435941643289652</v>
      </c>
      <c r="BF89" s="85">
        <v>20979</v>
      </c>
      <c r="BG89" s="92">
        <v>6.7105099015126557</v>
      </c>
      <c r="BH89" s="85">
        <v>95361</v>
      </c>
      <c r="BI89" s="92">
        <v>30.502928391160129</v>
      </c>
      <c r="BJ89" s="85">
        <v>32447</v>
      </c>
      <c r="BK89" s="92">
        <v>10.378755649667818</v>
      </c>
      <c r="BL89" s="85">
        <v>51237</v>
      </c>
      <c r="BM89" s="92">
        <v>16.389074590009244</v>
      </c>
      <c r="BN89" s="85">
        <v>15678</v>
      </c>
      <c r="BO89" s="92">
        <v>5.014889853468488</v>
      </c>
      <c r="BP89" s="85">
        <v>8028</v>
      </c>
      <c r="BQ89" s="92">
        <v>2.5678999708920158</v>
      </c>
      <c r="BR89" s="165">
        <v>330.89039923175989</v>
      </c>
      <c r="BS89" s="165">
        <v>354.94256809570248</v>
      </c>
      <c r="BT89" s="111">
        <v>0</v>
      </c>
      <c r="BU89" s="165">
        <v>120.77077114335272</v>
      </c>
      <c r="BV89" s="165">
        <v>159.25721900054342</v>
      </c>
      <c r="BW89" s="165">
        <v>78.08580170174119</v>
      </c>
      <c r="BX89" s="165">
        <v>29.880967446569347</v>
      </c>
      <c r="BY89" s="112">
        <v>31.451690947123939</v>
      </c>
      <c r="BZ89" s="165">
        <v>58.35498351112534</v>
      </c>
      <c r="CA89" s="110" t="s">
        <v>355</v>
      </c>
      <c r="CB89" s="112">
        <v>360.28708133971293</v>
      </c>
      <c r="CC89" s="110" t="s">
        <v>355</v>
      </c>
      <c r="CD89" s="110" t="s">
        <v>355</v>
      </c>
      <c r="CE89" s="110" t="s">
        <v>355</v>
      </c>
      <c r="CF89" s="110" t="s">
        <v>355</v>
      </c>
      <c r="CG89" s="110" t="s">
        <v>355</v>
      </c>
      <c r="CH89" s="110" t="s">
        <v>355</v>
      </c>
      <c r="CI89" s="110" t="s">
        <v>355</v>
      </c>
      <c r="CJ89" s="87">
        <v>82786</v>
      </c>
      <c r="CK89" s="92">
        <v>65.547314763365776</v>
      </c>
      <c r="CL89" s="139">
        <v>843.67700000000002</v>
      </c>
      <c r="CM89" s="139">
        <v>3.1402447648753471</v>
      </c>
      <c r="CN89" s="139">
        <v>2397.0500000000002</v>
      </c>
      <c r="CO89" s="115">
        <v>26</v>
      </c>
      <c r="CP89" s="115">
        <v>41</v>
      </c>
      <c r="CQ89" s="110">
        <v>6</v>
      </c>
      <c r="CR89" s="86">
        <v>5.5457609752838017</v>
      </c>
      <c r="CS89" s="85">
        <v>37670</v>
      </c>
      <c r="CT89" s="85">
        <v>32202</v>
      </c>
      <c r="CU89" s="84">
        <v>116.98</v>
      </c>
      <c r="CV89" s="84">
        <v>100</v>
      </c>
      <c r="CW89" s="84">
        <v>0.51</v>
      </c>
      <c r="CX89" s="115" t="s">
        <v>339</v>
      </c>
      <c r="CY89" s="114">
        <v>138000</v>
      </c>
      <c r="CZ89" s="129">
        <v>389000</v>
      </c>
      <c r="DA89" s="129">
        <v>0</v>
      </c>
      <c r="DB89" s="129">
        <v>15000</v>
      </c>
      <c r="DC89" s="129">
        <v>1000</v>
      </c>
      <c r="DD89" s="129">
        <v>1146521</v>
      </c>
      <c r="DE89" s="87">
        <v>6</v>
      </c>
      <c r="DF89" s="87">
        <v>37418</v>
      </c>
      <c r="DG89" s="114">
        <v>2</v>
      </c>
      <c r="DH89" s="162">
        <v>15</v>
      </c>
      <c r="DI89" s="114">
        <v>17911.066666666666</v>
      </c>
      <c r="DJ89" s="114">
        <v>46</v>
      </c>
      <c r="DK89" s="114">
        <v>54</v>
      </c>
      <c r="DL89" s="114">
        <v>0</v>
      </c>
      <c r="DM89" s="114">
        <v>0</v>
      </c>
      <c r="DN89" s="114">
        <v>7</v>
      </c>
      <c r="DO89" s="114">
        <v>60</v>
      </c>
      <c r="DP89" s="114">
        <v>33</v>
      </c>
      <c r="DQ89" s="88">
        <v>1136</v>
      </c>
      <c r="DR89" s="147">
        <v>236.50176056338029</v>
      </c>
      <c r="DT89" s="55"/>
      <c r="DU89" s="55"/>
    </row>
    <row r="90" spans="1:125" s="32" customFormat="1" ht="15" customHeight="1" thickBot="1">
      <c r="A90" s="100" t="s">
        <v>22</v>
      </c>
      <c r="B90" s="184">
        <v>2017</v>
      </c>
      <c r="C90" s="109">
        <v>10</v>
      </c>
      <c r="D90" s="83" t="s">
        <v>350</v>
      </c>
      <c r="E90" s="83" t="s">
        <v>408</v>
      </c>
      <c r="F90" s="132">
        <v>3625</v>
      </c>
      <c r="G90" s="85">
        <v>5382</v>
      </c>
      <c r="H90" s="86">
        <v>3.2</v>
      </c>
      <c r="I90" s="132">
        <v>1.4846896551724138</v>
      </c>
      <c r="J90" s="85">
        <v>2821</v>
      </c>
      <c r="K90" s="173">
        <v>52.415458937198068</v>
      </c>
      <c r="L90" s="85">
        <v>2561</v>
      </c>
      <c r="M90" s="173">
        <v>47.584541062801932</v>
      </c>
      <c r="N90" s="161">
        <v>24.674842066146415</v>
      </c>
      <c r="O90" s="161">
        <v>46.841322928279453</v>
      </c>
      <c r="P90" s="161">
        <v>28.483835005574136</v>
      </c>
      <c r="Q90" s="161">
        <v>35.897435897435898</v>
      </c>
      <c r="R90" s="159">
        <v>35.618729096989966</v>
      </c>
      <c r="S90" s="160">
        <v>28.483835005574136</v>
      </c>
      <c r="T90" s="84">
        <v>3.4</v>
      </c>
      <c r="U90" s="84">
        <v>3.4</v>
      </c>
      <c r="V90" s="89">
        <v>59</v>
      </c>
      <c r="W90" s="90">
        <v>3.5</v>
      </c>
      <c r="X90" s="148">
        <v>53634</v>
      </c>
      <c r="Y90" s="89">
        <v>2.4</v>
      </c>
      <c r="Z90" s="89" t="s">
        <v>342</v>
      </c>
      <c r="AA90" s="85">
        <v>667</v>
      </c>
      <c r="AB90" s="110" t="s">
        <v>355</v>
      </c>
      <c r="AC90" s="110" t="s">
        <v>355</v>
      </c>
      <c r="AD90" s="110" t="s">
        <v>355</v>
      </c>
      <c r="AE90" s="110" t="s">
        <v>355</v>
      </c>
      <c r="AF90" s="84">
        <v>21.77</v>
      </c>
      <c r="AG90" s="84">
        <v>6.69</v>
      </c>
      <c r="AH90" s="84">
        <v>64.06</v>
      </c>
      <c r="AI90" s="86">
        <v>35.942644947164538</v>
      </c>
      <c r="AJ90" s="84">
        <v>9.0399999999999991</v>
      </c>
      <c r="AK90" s="84">
        <v>12.36</v>
      </c>
      <c r="AL90" s="84">
        <v>3.2833575151808265</v>
      </c>
      <c r="AM90" s="84">
        <v>14.49</v>
      </c>
      <c r="AN90" s="85">
        <v>14558</v>
      </c>
      <c r="AO90" s="85">
        <v>18609</v>
      </c>
      <c r="AP90" s="85">
        <v>1712</v>
      </c>
      <c r="AQ90" s="135">
        <v>749.23413566739612</v>
      </c>
      <c r="AR90" s="85">
        <v>2285</v>
      </c>
      <c r="AS90" s="85">
        <v>1875</v>
      </c>
      <c r="AT90" s="135">
        <v>1651.9823788546255</v>
      </c>
      <c r="AU90" s="85">
        <v>1135</v>
      </c>
      <c r="AV90" s="85">
        <v>384</v>
      </c>
      <c r="AW90" s="135">
        <v>1714.2857142857142</v>
      </c>
      <c r="AX90" s="85">
        <v>224</v>
      </c>
      <c r="AY90" s="135" t="s">
        <v>379</v>
      </c>
      <c r="AZ90" s="135" t="s">
        <v>379</v>
      </c>
      <c r="BA90" s="89">
        <v>0</v>
      </c>
      <c r="BB90" s="87">
        <v>220.87433165449508</v>
      </c>
      <c r="BC90" s="91">
        <v>17.899343544857768</v>
      </c>
      <c r="BD90" s="85">
        <v>2233</v>
      </c>
      <c r="BE90" s="92">
        <v>15.21324431121406</v>
      </c>
      <c r="BF90" s="85">
        <v>2997</v>
      </c>
      <c r="BG90" s="92">
        <v>20.418313121678704</v>
      </c>
      <c r="BH90" s="85">
        <v>937</v>
      </c>
      <c r="BI90" s="92">
        <v>6.3837035018394879</v>
      </c>
      <c r="BJ90" s="85">
        <v>1161</v>
      </c>
      <c r="BK90" s="92">
        <v>7.9097969750647232</v>
      </c>
      <c r="BL90" s="85">
        <v>1080</v>
      </c>
      <c r="BM90" s="92">
        <v>7.3579506744788121</v>
      </c>
      <c r="BN90" s="85">
        <v>2187</v>
      </c>
      <c r="BO90" s="92">
        <v>14.899850115819593</v>
      </c>
      <c r="BP90" s="85">
        <v>4083</v>
      </c>
      <c r="BQ90" s="92">
        <v>27.81714129990462</v>
      </c>
      <c r="BR90" s="165">
        <v>414.90152359717575</v>
      </c>
      <c r="BS90" s="165">
        <v>174.09884801189148</v>
      </c>
      <c r="BT90" s="111">
        <v>415.64474173169828</v>
      </c>
      <c r="BU90" s="165">
        <v>215.7190635451505</v>
      </c>
      <c r="BV90" s="165">
        <v>167.59568933481978</v>
      </c>
      <c r="BW90" s="165">
        <v>141.21144555927165</v>
      </c>
      <c r="BX90" s="165">
        <v>758.6399108138238</v>
      </c>
      <c r="BY90" s="112">
        <v>33.073206986250462</v>
      </c>
      <c r="BZ90" s="165">
        <v>406.35451505016721</v>
      </c>
      <c r="CA90" s="110" t="s">
        <v>355</v>
      </c>
      <c r="CB90" s="112">
        <v>554.57451989243896</v>
      </c>
      <c r="CC90" s="110" t="s">
        <v>355</v>
      </c>
      <c r="CD90" s="110" t="s">
        <v>355</v>
      </c>
      <c r="CE90" s="110" t="s">
        <v>355</v>
      </c>
      <c r="CF90" s="110" t="s">
        <v>355</v>
      </c>
      <c r="CG90" s="110" t="s">
        <v>355</v>
      </c>
      <c r="CH90" s="110" t="s">
        <v>355</v>
      </c>
      <c r="CI90" s="110" t="s">
        <v>355</v>
      </c>
      <c r="CJ90" s="87">
        <v>5139</v>
      </c>
      <c r="CK90" s="92">
        <v>33.197120062268922</v>
      </c>
      <c r="CL90" s="139">
        <v>940.29</v>
      </c>
      <c r="CM90" s="139">
        <v>174.71014492753622</v>
      </c>
      <c r="CN90" s="139">
        <v>29.5</v>
      </c>
      <c r="CO90" s="115">
        <v>1</v>
      </c>
      <c r="CP90" s="115">
        <v>1</v>
      </c>
      <c r="CQ90" s="110">
        <v>1</v>
      </c>
      <c r="CR90" s="86">
        <v>1.8948434622467771</v>
      </c>
      <c r="CS90" s="85">
        <v>1763</v>
      </c>
      <c r="CT90" s="85">
        <v>2908</v>
      </c>
      <c r="CU90" s="84">
        <v>60.63</v>
      </c>
      <c r="CV90" s="84">
        <v>143.97</v>
      </c>
      <c r="CW90" s="84">
        <v>1.81</v>
      </c>
      <c r="CX90" s="115" t="s">
        <v>339</v>
      </c>
      <c r="CY90" s="114">
        <v>31000</v>
      </c>
      <c r="CZ90" s="129">
        <v>119000</v>
      </c>
      <c r="DA90" s="129">
        <v>0</v>
      </c>
      <c r="DB90" s="129">
        <v>0</v>
      </c>
      <c r="DC90" s="129">
        <v>0</v>
      </c>
      <c r="DD90" s="129">
        <v>215172</v>
      </c>
      <c r="DE90" s="87">
        <v>0</v>
      </c>
      <c r="DF90" s="87">
        <v>0</v>
      </c>
      <c r="DG90" s="114">
        <v>0</v>
      </c>
      <c r="DH90" s="162">
        <v>9</v>
      </c>
      <c r="DI90" s="114">
        <v>598</v>
      </c>
      <c r="DJ90" s="114">
        <v>33.333333333333329</v>
      </c>
      <c r="DK90" s="114">
        <v>66.666666666666657</v>
      </c>
      <c r="DL90" s="114">
        <v>11.111111111111111</v>
      </c>
      <c r="DM90" s="114">
        <v>0</v>
      </c>
      <c r="DN90" s="114">
        <v>0</v>
      </c>
      <c r="DO90" s="114">
        <v>22.222222222222221</v>
      </c>
      <c r="DP90" s="114">
        <v>77.777777777777786</v>
      </c>
      <c r="DQ90" s="88">
        <v>74</v>
      </c>
      <c r="DR90" s="147">
        <v>72.729729729729726</v>
      </c>
      <c r="DT90" s="55"/>
      <c r="DU90" s="55"/>
    </row>
    <row r="91" spans="1:125" s="32" customFormat="1" ht="15" customHeight="1" thickBot="1">
      <c r="A91" s="100" t="s">
        <v>308</v>
      </c>
      <c r="B91" s="184">
        <v>2017</v>
      </c>
      <c r="C91" s="109">
        <v>4</v>
      </c>
      <c r="D91" s="83" t="s">
        <v>347</v>
      </c>
      <c r="E91" s="83" t="s">
        <v>408</v>
      </c>
      <c r="F91" s="132">
        <v>284.2</v>
      </c>
      <c r="G91" s="85">
        <v>41468</v>
      </c>
      <c r="H91" s="86">
        <v>3.4</v>
      </c>
      <c r="I91" s="132">
        <v>145.9113300492611</v>
      </c>
      <c r="J91" s="85">
        <v>20203</v>
      </c>
      <c r="K91" s="173">
        <v>48.719494550014467</v>
      </c>
      <c r="L91" s="85">
        <v>21265</v>
      </c>
      <c r="M91" s="173">
        <v>51.280505449985533</v>
      </c>
      <c r="N91" s="161">
        <v>28.033664512395102</v>
      </c>
      <c r="O91" s="161">
        <v>50.279733770618307</v>
      </c>
      <c r="P91" s="161">
        <v>21.686601716986591</v>
      </c>
      <c r="Q91" s="161">
        <v>40.744670589370116</v>
      </c>
      <c r="R91" s="159">
        <v>37.568727693643289</v>
      </c>
      <c r="S91" s="160">
        <v>21.686601716986591</v>
      </c>
      <c r="T91" s="84">
        <v>6.3</v>
      </c>
      <c r="U91" s="84">
        <v>6</v>
      </c>
      <c r="V91" s="89">
        <v>77</v>
      </c>
      <c r="W91" s="90">
        <v>5.2</v>
      </c>
      <c r="X91" s="148">
        <v>56382</v>
      </c>
      <c r="Y91" s="89">
        <v>2.5</v>
      </c>
      <c r="Z91" s="89" t="s">
        <v>340</v>
      </c>
      <c r="AA91" s="85">
        <v>3385</v>
      </c>
      <c r="AB91" s="110" t="s">
        <v>355</v>
      </c>
      <c r="AC91" s="110" t="s">
        <v>355</v>
      </c>
      <c r="AD91" s="110" t="s">
        <v>355</v>
      </c>
      <c r="AE91" s="110" t="s">
        <v>355</v>
      </c>
      <c r="AF91" s="84">
        <v>14.01</v>
      </c>
      <c r="AG91" s="84">
        <v>2.75</v>
      </c>
      <c r="AH91" s="84">
        <v>72.739999999999995</v>
      </c>
      <c r="AI91" s="86">
        <v>27.276208644937089</v>
      </c>
      <c r="AJ91" s="84">
        <v>6.27</v>
      </c>
      <c r="AK91" s="84">
        <v>8.02</v>
      </c>
      <c r="AL91" s="84">
        <v>4.0356106361283235</v>
      </c>
      <c r="AM91" s="84">
        <v>16.829999999999998</v>
      </c>
      <c r="AN91" s="85">
        <v>87703</v>
      </c>
      <c r="AO91" s="85">
        <v>101936</v>
      </c>
      <c r="AP91" s="85">
        <v>21213</v>
      </c>
      <c r="AQ91" s="135">
        <v>1254.3906333155935</v>
      </c>
      <c r="AR91" s="85">
        <v>16911</v>
      </c>
      <c r="AS91" s="85">
        <v>675</v>
      </c>
      <c r="AT91" s="135">
        <v>1824.3243243243244</v>
      </c>
      <c r="AU91" s="85">
        <v>370</v>
      </c>
      <c r="AV91" s="85">
        <v>8237</v>
      </c>
      <c r="AW91" s="135">
        <v>6336.1538461538457</v>
      </c>
      <c r="AX91" s="85">
        <v>1300</v>
      </c>
      <c r="AY91" s="85" t="s">
        <v>379</v>
      </c>
      <c r="AZ91" s="135" t="s">
        <v>379</v>
      </c>
      <c r="BA91" s="89">
        <v>0</v>
      </c>
      <c r="BB91" s="87">
        <v>100.74236627385892</v>
      </c>
      <c r="BC91" s="91">
        <v>16.640056767784284</v>
      </c>
      <c r="BD91" s="85">
        <v>6159</v>
      </c>
      <c r="BE91" s="92">
        <v>7.0225647925384536</v>
      </c>
      <c r="BF91" s="85">
        <v>24789</v>
      </c>
      <c r="BG91" s="92">
        <v>28.2647115834122</v>
      </c>
      <c r="BH91" s="85">
        <v>11131</v>
      </c>
      <c r="BI91" s="92">
        <v>12.691698117510233</v>
      </c>
      <c r="BJ91" s="85">
        <v>14035</v>
      </c>
      <c r="BK91" s="92">
        <v>16.002873333865434</v>
      </c>
      <c r="BL91" s="85">
        <v>16447</v>
      </c>
      <c r="BM91" s="92">
        <v>18.753064319350536</v>
      </c>
      <c r="BN91" s="85">
        <v>4898</v>
      </c>
      <c r="BO91" s="92">
        <v>5.5847576479709931</v>
      </c>
      <c r="BP91" s="85">
        <v>10244</v>
      </c>
      <c r="BQ91" s="92">
        <v>11.680330205352154</v>
      </c>
      <c r="BR91" s="165">
        <v>148.52416321018617</v>
      </c>
      <c r="BS91" s="165">
        <v>268.42384489244716</v>
      </c>
      <c r="BT91" s="111">
        <v>521.36587247998455</v>
      </c>
      <c r="BU91" s="165">
        <v>338.45374746792709</v>
      </c>
      <c r="BV91" s="165">
        <v>347.30394521076494</v>
      </c>
      <c r="BW91" s="165">
        <v>76.420372335294687</v>
      </c>
      <c r="BX91" s="165">
        <v>247.03385743223691</v>
      </c>
      <c r="BY91" s="112">
        <v>49.315134561589659</v>
      </c>
      <c r="BZ91" s="165">
        <v>118.11517314555802</v>
      </c>
      <c r="CA91" s="110" t="s">
        <v>355</v>
      </c>
      <c r="CB91" s="112">
        <v>98.905908096280086</v>
      </c>
      <c r="CC91" s="110" t="s">
        <v>355</v>
      </c>
      <c r="CD91" s="110" t="s">
        <v>355</v>
      </c>
      <c r="CE91" s="110" t="s">
        <v>355</v>
      </c>
      <c r="CF91" s="110" t="s">
        <v>355</v>
      </c>
      <c r="CG91" s="110" t="s">
        <v>355</v>
      </c>
      <c r="CH91" s="110" t="s">
        <v>355</v>
      </c>
      <c r="CI91" s="110" t="s">
        <v>355</v>
      </c>
      <c r="CJ91" s="87">
        <v>27955</v>
      </c>
      <c r="CK91" s="92">
        <v>56.683956358433193</v>
      </c>
      <c r="CL91" s="139">
        <v>506.85</v>
      </c>
      <c r="CM91" s="139">
        <v>12.222677727404264</v>
      </c>
      <c r="CN91" s="139">
        <v>633.33000000000004</v>
      </c>
      <c r="CO91" s="115">
        <v>1</v>
      </c>
      <c r="CP91" s="115">
        <v>9</v>
      </c>
      <c r="CQ91" s="110">
        <v>1</v>
      </c>
      <c r="CR91" s="86">
        <v>4.3091555384763183</v>
      </c>
      <c r="CS91" s="85">
        <v>4550</v>
      </c>
      <c r="CT91" s="85">
        <v>40745</v>
      </c>
      <c r="CU91" s="84">
        <v>11.17</v>
      </c>
      <c r="CV91" s="84">
        <v>0</v>
      </c>
      <c r="CW91" s="84">
        <v>0.85</v>
      </c>
      <c r="CX91" s="115" t="s">
        <v>339</v>
      </c>
      <c r="CY91" s="114">
        <v>147000</v>
      </c>
      <c r="CZ91" s="129">
        <v>274000</v>
      </c>
      <c r="DA91" s="129">
        <v>0</v>
      </c>
      <c r="DB91" s="129">
        <v>26000</v>
      </c>
      <c r="DC91" s="129">
        <v>6000</v>
      </c>
      <c r="DD91" s="129">
        <v>328618</v>
      </c>
      <c r="DE91" s="87">
        <v>4</v>
      </c>
      <c r="DF91" s="87">
        <v>4758</v>
      </c>
      <c r="DG91" s="114">
        <v>0</v>
      </c>
      <c r="DH91" s="162">
        <v>12</v>
      </c>
      <c r="DI91" s="114">
        <v>3455.6666666666665</v>
      </c>
      <c r="DJ91" s="114">
        <v>8</v>
      </c>
      <c r="DK91" s="114">
        <v>92</v>
      </c>
      <c r="DL91" s="114">
        <v>0</v>
      </c>
      <c r="DM91" s="114">
        <v>0</v>
      </c>
      <c r="DN91" s="114">
        <v>0</v>
      </c>
      <c r="DO91" s="114">
        <v>75</v>
      </c>
      <c r="DP91" s="114">
        <v>25</v>
      </c>
      <c r="DQ91" s="88">
        <v>410</v>
      </c>
      <c r="DR91" s="147">
        <v>101.14146341463415</v>
      </c>
      <c r="DT91" s="55"/>
      <c r="DU91" s="55"/>
    </row>
    <row r="92" spans="1:125" s="32" customFormat="1" ht="15" customHeight="1" thickBot="1">
      <c r="A92" s="100" t="s">
        <v>309</v>
      </c>
      <c r="B92" s="184">
        <v>2017</v>
      </c>
      <c r="C92" s="109">
        <v>11</v>
      </c>
      <c r="D92" s="83" t="s">
        <v>350</v>
      </c>
      <c r="E92" s="83" t="s">
        <v>408</v>
      </c>
      <c r="F92" s="132">
        <v>5957.6</v>
      </c>
      <c r="G92" s="85">
        <v>14906</v>
      </c>
      <c r="H92" s="86">
        <v>-1.6365316088161497</v>
      </c>
      <c r="I92" s="132">
        <v>2.5020142339196991</v>
      </c>
      <c r="J92" s="85">
        <v>7355</v>
      </c>
      <c r="K92" s="173">
        <v>49.342546625519923</v>
      </c>
      <c r="L92" s="85">
        <v>7551</v>
      </c>
      <c r="M92" s="173">
        <v>50.657453374480077</v>
      </c>
      <c r="N92" s="161">
        <v>27.619750436066013</v>
      </c>
      <c r="O92" s="161">
        <v>46.726150543405339</v>
      </c>
      <c r="P92" s="161">
        <v>25.654099020528648</v>
      </c>
      <c r="Q92" s="161">
        <v>38.830001341741585</v>
      </c>
      <c r="R92" s="159">
        <v>35.515899637729774</v>
      </c>
      <c r="S92" s="160">
        <v>25.654099020528648</v>
      </c>
      <c r="T92" s="84">
        <v>10.1</v>
      </c>
      <c r="U92" s="84">
        <v>2.8</v>
      </c>
      <c r="V92" s="89">
        <v>28</v>
      </c>
      <c r="W92" s="90">
        <v>7.1</v>
      </c>
      <c r="X92" s="148">
        <v>50650</v>
      </c>
      <c r="Y92" s="89">
        <v>2.4</v>
      </c>
      <c r="Z92" s="89" t="s">
        <v>340</v>
      </c>
      <c r="AA92" s="85">
        <v>1422</v>
      </c>
      <c r="AB92" s="110" t="s">
        <v>355</v>
      </c>
      <c r="AC92" s="110" t="s">
        <v>355</v>
      </c>
      <c r="AD92" s="110" t="s">
        <v>355</v>
      </c>
      <c r="AE92" s="110" t="s">
        <v>355</v>
      </c>
      <c r="AF92" s="84">
        <v>-0.17</v>
      </c>
      <c r="AG92" s="84">
        <v>1.99</v>
      </c>
      <c r="AH92" s="84">
        <v>59.86</v>
      </c>
      <c r="AI92" s="86">
        <v>40.109744006553001</v>
      </c>
      <c r="AJ92" s="84">
        <v>5.37</v>
      </c>
      <c r="AK92" s="84">
        <v>7.48</v>
      </c>
      <c r="AL92" s="84">
        <v>3.6408818366276816</v>
      </c>
      <c r="AM92" s="84">
        <v>10.86</v>
      </c>
      <c r="AN92" s="85">
        <v>43939</v>
      </c>
      <c r="AO92" s="85">
        <v>43903</v>
      </c>
      <c r="AP92" s="85">
        <v>5429</v>
      </c>
      <c r="AQ92" s="135">
        <v>928.03418803418799</v>
      </c>
      <c r="AR92" s="85">
        <v>5850</v>
      </c>
      <c r="AS92" s="85">
        <v>3708</v>
      </c>
      <c r="AT92" s="135">
        <v>2602.1052631578946</v>
      </c>
      <c r="AU92" s="85">
        <v>1425</v>
      </c>
      <c r="AV92" s="85">
        <v>2702</v>
      </c>
      <c r="AW92" s="135">
        <v>4038.8639760837068</v>
      </c>
      <c r="AX92" s="85">
        <v>669</v>
      </c>
      <c r="AY92" s="85">
        <v>1352</v>
      </c>
      <c r="AZ92" s="135">
        <v>676000</v>
      </c>
      <c r="BA92" s="89">
        <v>2</v>
      </c>
      <c r="BB92" s="87">
        <v>69.825600788416338</v>
      </c>
      <c r="BC92" s="91">
        <v>23.111111111111111</v>
      </c>
      <c r="BD92" s="85">
        <v>6598</v>
      </c>
      <c r="BE92" s="92">
        <v>14.420597106263934</v>
      </c>
      <c r="BF92" s="85">
        <v>14134</v>
      </c>
      <c r="BG92" s="92">
        <v>30.891288193382</v>
      </c>
      <c r="BH92" s="85">
        <v>3731</v>
      </c>
      <c r="BI92" s="92">
        <v>8.1544782969794998</v>
      </c>
      <c r="BJ92" s="85">
        <v>2523</v>
      </c>
      <c r="BK92" s="92">
        <v>5.514271976220658</v>
      </c>
      <c r="BL92" s="85">
        <v>5493</v>
      </c>
      <c r="BM92" s="92">
        <v>12.005507715172444</v>
      </c>
      <c r="BN92" s="85">
        <v>8844</v>
      </c>
      <c r="BO92" s="92">
        <v>19.329457533767538</v>
      </c>
      <c r="BP92" s="85">
        <v>4431</v>
      </c>
      <c r="BQ92" s="92">
        <v>9.6843991782139263</v>
      </c>
      <c r="BR92" s="165">
        <v>442.64054743056488</v>
      </c>
      <c r="BS92" s="165">
        <v>250.30189185562861</v>
      </c>
      <c r="BT92" s="111">
        <v>786.86434992620423</v>
      </c>
      <c r="BU92" s="165">
        <v>169.26070038910507</v>
      </c>
      <c r="BV92" s="165">
        <v>316.65101301489335</v>
      </c>
      <c r="BW92" s="165">
        <v>161.34442506373273</v>
      </c>
      <c r="BX92" s="165">
        <v>297.26284717563396</v>
      </c>
      <c r="BY92" s="112">
        <v>51.85831208909164</v>
      </c>
      <c r="BZ92" s="165">
        <v>593.31812692875349</v>
      </c>
      <c r="CA92" s="110" t="s">
        <v>355</v>
      </c>
      <c r="CB92" s="112">
        <v>421.14599964520136</v>
      </c>
      <c r="CC92" s="110" t="s">
        <v>355</v>
      </c>
      <c r="CD92" s="110" t="s">
        <v>355</v>
      </c>
      <c r="CE92" s="110" t="s">
        <v>355</v>
      </c>
      <c r="CF92" s="110" t="s">
        <v>355</v>
      </c>
      <c r="CG92" s="110" t="s">
        <v>355</v>
      </c>
      <c r="CH92" s="110" t="s">
        <v>355</v>
      </c>
      <c r="CI92" s="110" t="s">
        <v>355</v>
      </c>
      <c r="CJ92" s="87">
        <v>9306</v>
      </c>
      <c r="CK92" s="92">
        <v>32.312486567805713</v>
      </c>
      <c r="CL92" s="139">
        <v>2172.5199999999995</v>
      </c>
      <c r="CM92" s="139">
        <v>145.74802093116864</v>
      </c>
      <c r="CN92" s="139">
        <v>209.25</v>
      </c>
      <c r="CO92" s="115">
        <v>4</v>
      </c>
      <c r="CP92" s="115">
        <v>14</v>
      </c>
      <c r="CQ92" s="110">
        <v>4</v>
      </c>
      <c r="CR92" s="86">
        <v>5.1054959785522787</v>
      </c>
      <c r="CS92" s="85">
        <v>6913</v>
      </c>
      <c r="CT92" s="85">
        <v>6020</v>
      </c>
      <c r="CU92" s="84">
        <v>114.83</v>
      </c>
      <c r="CV92" s="84">
        <v>184.68</v>
      </c>
      <c r="CW92" s="84">
        <v>1.1499999999999999</v>
      </c>
      <c r="CX92" s="115" t="s">
        <v>339</v>
      </c>
      <c r="CY92" s="114">
        <v>64000</v>
      </c>
      <c r="CZ92" s="129">
        <v>143000</v>
      </c>
      <c r="DA92" s="129">
        <v>0</v>
      </c>
      <c r="DB92" s="129">
        <v>46000</v>
      </c>
      <c r="DC92" s="129">
        <v>2000</v>
      </c>
      <c r="DD92" s="129">
        <v>236380</v>
      </c>
      <c r="DE92" s="87">
        <v>1</v>
      </c>
      <c r="DF92" s="87">
        <v>0</v>
      </c>
      <c r="DG92" s="114">
        <v>1</v>
      </c>
      <c r="DH92" s="162">
        <v>10</v>
      </c>
      <c r="DI92" s="114">
        <v>1490.6</v>
      </c>
      <c r="DJ92" s="114">
        <v>30</v>
      </c>
      <c r="DK92" s="114">
        <v>70</v>
      </c>
      <c r="DL92" s="114">
        <v>10</v>
      </c>
      <c r="DM92" s="114">
        <v>0</v>
      </c>
      <c r="DN92" s="114">
        <v>0</v>
      </c>
      <c r="DO92" s="114">
        <v>40</v>
      </c>
      <c r="DP92" s="114">
        <v>60</v>
      </c>
      <c r="DQ92" s="88">
        <v>185</v>
      </c>
      <c r="DR92" s="147">
        <v>80.572972972972977</v>
      </c>
      <c r="DT92" s="55"/>
      <c r="DU92" s="55"/>
    </row>
    <row r="93" spans="1:125" s="32" customFormat="1" ht="15" customHeight="1" thickBot="1">
      <c r="A93" s="100" t="s">
        <v>310</v>
      </c>
      <c r="B93" s="184">
        <v>2017</v>
      </c>
      <c r="C93" s="109">
        <v>3</v>
      </c>
      <c r="D93" s="83" t="s">
        <v>349</v>
      </c>
      <c r="E93" s="83"/>
      <c r="F93" s="132">
        <v>83.8</v>
      </c>
      <c r="G93" s="85">
        <v>243276</v>
      </c>
      <c r="H93" s="86" t="s">
        <v>380</v>
      </c>
      <c r="I93" s="132">
        <v>2903.0548926014321</v>
      </c>
      <c r="J93" s="85">
        <v>122790</v>
      </c>
      <c r="K93" s="173">
        <v>50.4735362304543</v>
      </c>
      <c r="L93" s="85">
        <v>120486</v>
      </c>
      <c r="M93" s="173">
        <v>49.5264637695457</v>
      </c>
      <c r="N93" s="161">
        <v>23.54527368092208</v>
      </c>
      <c r="O93" s="161">
        <v>60.037159440306489</v>
      </c>
      <c r="P93" s="161">
        <v>16.417566878771435</v>
      </c>
      <c r="Q93" s="161">
        <v>39.853499728703198</v>
      </c>
      <c r="R93" s="159">
        <v>43.728933392525363</v>
      </c>
      <c r="S93" s="160">
        <v>16.417566878771435</v>
      </c>
      <c r="T93" s="84">
        <v>0.7</v>
      </c>
      <c r="U93" s="84">
        <v>52</v>
      </c>
      <c r="V93" s="89">
        <v>112</v>
      </c>
      <c r="W93" s="90">
        <v>3.6</v>
      </c>
      <c r="X93" s="148">
        <v>60990</v>
      </c>
      <c r="Y93" s="89">
        <v>2.8</v>
      </c>
      <c r="Z93" s="89" t="s">
        <v>340</v>
      </c>
      <c r="AA93" s="85">
        <v>24519</v>
      </c>
      <c r="AB93" s="110" t="s">
        <v>355</v>
      </c>
      <c r="AC93" s="110" t="s">
        <v>355</v>
      </c>
      <c r="AD93" s="110" t="s">
        <v>355</v>
      </c>
      <c r="AE93" s="110" t="s">
        <v>355</v>
      </c>
      <c r="AF93" s="84">
        <v>-5.29</v>
      </c>
      <c r="AG93" s="84">
        <v>4.87</v>
      </c>
      <c r="AH93" s="84">
        <v>77.08</v>
      </c>
      <c r="AI93" s="86">
        <v>22.856237424488636</v>
      </c>
      <c r="AJ93" s="84">
        <v>4.51</v>
      </c>
      <c r="AK93" s="84">
        <v>2.14</v>
      </c>
      <c r="AL93" s="84">
        <v>5.467086003991132</v>
      </c>
      <c r="AM93" s="84">
        <v>10.91</v>
      </c>
      <c r="AN93" s="85">
        <v>262192</v>
      </c>
      <c r="AO93" s="85">
        <v>249992.23142</v>
      </c>
      <c r="AP93" s="85">
        <v>83205</v>
      </c>
      <c r="AQ93" s="135">
        <v>958.06418183702374</v>
      </c>
      <c r="AR93" s="85">
        <v>86847</v>
      </c>
      <c r="AS93" s="135" t="s">
        <v>379</v>
      </c>
      <c r="AT93" s="135" t="s">
        <v>379</v>
      </c>
      <c r="AU93" s="135" t="s">
        <v>379</v>
      </c>
      <c r="AV93" s="85">
        <v>53377</v>
      </c>
      <c r="AW93" s="135">
        <v>8255.0262913702445</v>
      </c>
      <c r="AX93" s="85">
        <v>6466</v>
      </c>
      <c r="AY93" s="135" t="s">
        <v>379</v>
      </c>
      <c r="AZ93" s="135" t="s">
        <v>379</v>
      </c>
      <c r="BA93" s="89">
        <v>0</v>
      </c>
      <c r="BB93" s="87">
        <v>343.66715756834719</v>
      </c>
      <c r="BC93" s="91">
        <v>9.4177116077699861</v>
      </c>
      <c r="BD93" s="85">
        <v>105938</v>
      </c>
      <c r="BE93" s="92">
        <v>40.387643298017942</v>
      </c>
      <c r="BF93" s="85">
        <v>9160</v>
      </c>
      <c r="BG93" s="92">
        <v>3.4921445808854648</v>
      </c>
      <c r="BH93" s="85">
        <v>43999</v>
      </c>
      <c r="BI93" s="92">
        <v>16.774112381482485</v>
      </c>
      <c r="BJ93" s="85">
        <v>19891</v>
      </c>
      <c r="BK93" s="92">
        <v>7.5832148317022678</v>
      </c>
      <c r="BL93" s="85">
        <v>36517</v>
      </c>
      <c r="BM93" s="92">
        <v>13.921685989104205</v>
      </c>
      <c r="BN93" s="85">
        <v>26827</v>
      </c>
      <c r="BO93" s="92">
        <v>10.227485007796327</v>
      </c>
      <c r="BP93" s="85">
        <v>19971</v>
      </c>
      <c r="BQ93" s="92">
        <v>7.6137139110113123</v>
      </c>
      <c r="BR93" s="165">
        <v>435.46424637037768</v>
      </c>
      <c r="BS93" s="165">
        <v>180.86042190762754</v>
      </c>
      <c r="BT93" s="111">
        <v>0</v>
      </c>
      <c r="BU93" s="165">
        <v>81.763100346931054</v>
      </c>
      <c r="BV93" s="165">
        <v>115.55188345747217</v>
      </c>
      <c r="BW93" s="165">
        <v>37.652707213206398</v>
      </c>
      <c r="BX93" s="165">
        <v>82.091944951413211</v>
      </c>
      <c r="BY93" s="112">
        <v>34.553346815962115</v>
      </c>
      <c r="BZ93" s="165">
        <v>110.27392755553363</v>
      </c>
      <c r="CA93" s="110" t="s">
        <v>355</v>
      </c>
      <c r="CB93" s="112">
        <v>341.02564102564105</v>
      </c>
      <c r="CC93" s="110" t="s">
        <v>355</v>
      </c>
      <c r="CD93" s="110" t="s">
        <v>355</v>
      </c>
      <c r="CE93" s="110" t="s">
        <v>355</v>
      </c>
      <c r="CF93" s="110" t="s">
        <v>355</v>
      </c>
      <c r="CG93" s="110" t="s">
        <v>355</v>
      </c>
      <c r="CH93" s="110" t="s">
        <v>355</v>
      </c>
      <c r="CI93" s="110" t="s">
        <v>355</v>
      </c>
      <c r="CJ93" s="87">
        <v>45147</v>
      </c>
      <c r="CK93" s="92">
        <v>52.889450018827389</v>
      </c>
      <c r="CL93" s="139">
        <v>660.45299999999997</v>
      </c>
      <c r="CM93" s="139">
        <v>2.7148300695506338</v>
      </c>
      <c r="CN93" s="139">
        <v>868.73</v>
      </c>
      <c r="CO93" s="115">
        <v>3</v>
      </c>
      <c r="CP93" s="115">
        <v>21</v>
      </c>
      <c r="CQ93" s="110">
        <v>7</v>
      </c>
      <c r="CR93" s="86">
        <v>4.7062686885946174</v>
      </c>
      <c r="CS93" s="85">
        <v>48795</v>
      </c>
      <c r="CT93" s="85">
        <v>50936</v>
      </c>
      <c r="CU93" s="84">
        <v>95.8</v>
      </c>
      <c r="CV93" s="84">
        <v>111.19</v>
      </c>
      <c r="CW93" s="84">
        <v>1.93</v>
      </c>
      <c r="CX93" s="115" t="s">
        <v>339</v>
      </c>
      <c r="CY93" s="114">
        <v>220000</v>
      </c>
      <c r="CZ93" s="129">
        <v>464000</v>
      </c>
      <c r="DA93" s="129">
        <v>0</v>
      </c>
      <c r="DB93" s="129">
        <v>0</v>
      </c>
      <c r="DC93" s="129">
        <v>0</v>
      </c>
      <c r="DD93" s="129">
        <v>728235</v>
      </c>
      <c r="DE93" s="87">
        <v>7</v>
      </c>
      <c r="DF93" s="87">
        <v>23394</v>
      </c>
      <c r="DG93" s="114">
        <v>0</v>
      </c>
      <c r="DH93" s="162">
        <v>15</v>
      </c>
      <c r="DI93" s="114">
        <v>16218.4</v>
      </c>
      <c r="DJ93" s="114">
        <v>26</v>
      </c>
      <c r="DK93" s="114">
        <v>74</v>
      </c>
      <c r="DL93" s="114">
        <v>6</v>
      </c>
      <c r="DM93" s="114">
        <v>26</v>
      </c>
      <c r="DN93" s="114">
        <v>0</v>
      </c>
      <c r="DO93" s="114">
        <v>73</v>
      </c>
      <c r="DP93" s="114">
        <v>27</v>
      </c>
      <c r="DQ93" s="88">
        <v>934</v>
      </c>
      <c r="DR93" s="147">
        <v>260.46680942184156</v>
      </c>
      <c r="DT93" s="55"/>
      <c r="DU93" s="55"/>
    </row>
    <row r="94" spans="1:125" s="32" customFormat="1" ht="15" customHeight="1" thickBot="1">
      <c r="A94" s="100" t="s">
        <v>311</v>
      </c>
      <c r="B94" s="184">
        <v>2017</v>
      </c>
      <c r="C94" s="109">
        <v>7</v>
      </c>
      <c r="D94" s="83" t="s">
        <v>351</v>
      </c>
      <c r="E94" s="83"/>
      <c r="F94" s="132">
        <v>404.7</v>
      </c>
      <c r="G94" s="85">
        <v>205043</v>
      </c>
      <c r="H94" s="86">
        <v>9.6850292610384248</v>
      </c>
      <c r="I94" s="132">
        <v>506.65431183592784</v>
      </c>
      <c r="J94" s="85">
        <v>102048</v>
      </c>
      <c r="K94" s="173">
        <v>49.769072828626193</v>
      </c>
      <c r="L94" s="85">
        <v>102995</v>
      </c>
      <c r="M94" s="173">
        <v>50.230927171373807</v>
      </c>
      <c r="N94" s="161">
        <v>27.793194598206227</v>
      </c>
      <c r="O94" s="161">
        <v>55.648815126583209</v>
      </c>
      <c r="P94" s="161">
        <v>16.557990275210564</v>
      </c>
      <c r="Q94" s="161">
        <v>43.390898494462135</v>
      </c>
      <c r="R94" s="159">
        <v>40.051111230327294</v>
      </c>
      <c r="S94" s="160">
        <v>16.557990275210564</v>
      </c>
      <c r="T94" s="84">
        <v>3.9</v>
      </c>
      <c r="U94" s="84">
        <v>16.899999999999999</v>
      </c>
      <c r="V94" s="89">
        <v>93</v>
      </c>
      <c r="W94" s="90">
        <v>3.6</v>
      </c>
      <c r="X94" s="148">
        <v>57287</v>
      </c>
      <c r="Y94" s="89">
        <v>2.9</v>
      </c>
      <c r="Z94" s="89" t="s">
        <v>352</v>
      </c>
      <c r="AA94" s="85">
        <v>13532</v>
      </c>
      <c r="AB94" s="110" t="s">
        <v>355</v>
      </c>
      <c r="AC94" s="110" t="s">
        <v>355</v>
      </c>
      <c r="AD94" s="110" t="s">
        <v>355</v>
      </c>
      <c r="AE94" s="110" t="s">
        <v>355</v>
      </c>
      <c r="AF94" s="84">
        <v>7.13</v>
      </c>
      <c r="AG94" s="84">
        <v>3.01</v>
      </c>
      <c r="AH94" s="84">
        <v>74.11</v>
      </c>
      <c r="AI94" s="86">
        <v>25.885078841053392</v>
      </c>
      <c r="AJ94" s="84">
        <v>2.92</v>
      </c>
      <c r="AK94" s="84">
        <v>3.38</v>
      </c>
      <c r="AL94" s="84">
        <v>5.9916274201988484</v>
      </c>
      <c r="AM94" s="84">
        <v>7.58</v>
      </c>
      <c r="AN94" s="85">
        <v>205864</v>
      </c>
      <c r="AO94" s="85">
        <v>221676</v>
      </c>
      <c r="AP94" s="85">
        <v>87049</v>
      </c>
      <c r="AQ94" s="135">
        <v>1239.9789179795448</v>
      </c>
      <c r="AR94" s="85">
        <v>70202</v>
      </c>
      <c r="AS94" s="85">
        <v>1889</v>
      </c>
      <c r="AT94" s="135">
        <v>4382.8306264501161</v>
      </c>
      <c r="AU94" s="85">
        <v>431</v>
      </c>
      <c r="AV94" s="85">
        <v>21608</v>
      </c>
      <c r="AW94" s="135">
        <v>6364.6539027982326</v>
      </c>
      <c r="AX94" s="85">
        <v>3395</v>
      </c>
      <c r="AY94" s="135" t="s">
        <v>379</v>
      </c>
      <c r="AZ94" s="135" t="s">
        <v>379</v>
      </c>
      <c r="BA94" s="89">
        <v>0</v>
      </c>
      <c r="BB94" s="87">
        <v>250.51545017458795</v>
      </c>
      <c r="BC94" s="91">
        <v>14.176234295319221</v>
      </c>
      <c r="BD94" s="85">
        <v>40076</v>
      </c>
      <c r="BE94" s="92">
        <v>19.44776046974329</v>
      </c>
      <c r="BF94" s="85">
        <v>7000</v>
      </c>
      <c r="BG94" s="92">
        <v>3.396903964672199</v>
      </c>
      <c r="BH94" s="85">
        <v>35579</v>
      </c>
      <c r="BI94" s="92">
        <v>17.26549230843888</v>
      </c>
      <c r="BJ94" s="85">
        <v>35832</v>
      </c>
      <c r="BK94" s="92">
        <v>17.388266123162033</v>
      </c>
      <c r="BL94" s="85">
        <v>37410</v>
      </c>
      <c r="BM94" s="92">
        <v>18.154025331198138</v>
      </c>
      <c r="BN94" s="85">
        <v>33235</v>
      </c>
      <c r="BO94" s="92">
        <v>16.128014752268648</v>
      </c>
      <c r="BP94" s="85">
        <v>16938</v>
      </c>
      <c r="BQ94" s="92">
        <v>8.2195370505168146</v>
      </c>
      <c r="BR94" s="165">
        <v>195.4516857439659</v>
      </c>
      <c r="BS94" s="165">
        <v>173.51970074569724</v>
      </c>
      <c r="BT94" s="111">
        <v>0</v>
      </c>
      <c r="BU94" s="165">
        <v>174.75358827172838</v>
      </c>
      <c r="BV94" s="165">
        <v>148.58346785796149</v>
      </c>
      <c r="BW94" s="165">
        <v>34.139180562125993</v>
      </c>
      <c r="BX94" s="165">
        <v>82.607062908755722</v>
      </c>
      <c r="BY94" s="112">
        <v>33.866067117628987</v>
      </c>
      <c r="BZ94" s="165">
        <v>162.08795228317962</v>
      </c>
      <c r="CA94" s="110" t="s">
        <v>355</v>
      </c>
      <c r="CB94" s="112">
        <v>361.83172706023237</v>
      </c>
      <c r="CC94" s="110" t="s">
        <v>355</v>
      </c>
      <c r="CD94" s="110" t="s">
        <v>355</v>
      </c>
      <c r="CE94" s="110" t="s">
        <v>355</v>
      </c>
      <c r="CF94" s="110" t="s">
        <v>355</v>
      </c>
      <c r="CG94" s="110" t="s">
        <v>355</v>
      </c>
      <c r="CH94" s="110" t="s">
        <v>355</v>
      </c>
      <c r="CI94" s="110" t="s">
        <v>355</v>
      </c>
      <c r="CJ94" s="87">
        <v>95866</v>
      </c>
      <c r="CK94" s="92">
        <v>48.565706298374813</v>
      </c>
      <c r="CL94" s="139">
        <v>1096.8400000000001</v>
      </c>
      <c r="CM94" s="139">
        <v>5.3493169725374692</v>
      </c>
      <c r="CN94" s="139">
        <v>881</v>
      </c>
      <c r="CO94" s="115">
        <v>2</v>
      </c>
      <c r="CP94" s="115">
        <v>40</v>
      </c>
      <c r="CQ94" s="110">
        <v>3</v>
      </c>
      <c r="CR94" s="86">
        <v>2.4783406987816492</v>
      </c>
      <c r="CS94" s="85">
        <v>19518</v>
      </c>
      <c r="CT94" s="85">
        <v>19663</v>
      </c>
      <c r="CU94" s="84">
        <v>99.3</v>
      </c>
      <c r="CV94" s="84">
        <v>46.83</v>
      </c>
      <c r="CW94" s="84">
        <v>1.1599999999999999</v>
      </c>
      <c r="CX94" s="115" t="s">
        <v>339</v>
      </c>
      <c r="CY94" s="114">
        <v>130000</v>
      </c>
      <c r="CZ94" s="129">
        <v>505000</v>
      </c>
      <c r="DA94" s="129">
        <v>0</v>
      </c>
      <c r="DB94" s="129">
        <v>24763</v>
      </c>
      <c r="DC94" s="129">
        <v>28605</v>
      </c>
      <c r="DD94" s="129">
        <v>434558</v>
      </c>
      <c r="DE94" s="87">
        <v>0</v>
      </c>
      <c r="DF94" s="87">
        <v>6345</v>
      </c>
      <c r="DG94" s="114">
        <v>0</v>
      </c>
      <c r="DH94" s="162">
        <v>15</v>
      </c>
      <c r="DI94" s="114">
        <v>13669.533333333333</v>
      </c>
      <c r="DJ94" s="114">
        <v>20</v>
      </c>
      <c r="DK94" s="114">
        <v>80</v>
      </c>
      <c r="DL94" s="114">
        <v>0</v>
      </c>
      <c r="DM94" s="114">
        <v>0</v>
      </c>
      <c r="DN94" s="114">
        <v>14</v>
      </c>
      <c r="DO94" s="114">
        <v>60</v>
      </c>
      <c r="DP94" s="114">
        <v>26</v>
      </c>
      <c r="DQ94" s="88">
        <v>1031</v>
      </c>
      <c r="DR94" s="147">
        <v>198.87778855480116</v>
      </c>
      <c r="DT94" s="55"/>
      <c r="DU94" s="55"/>
    </row>
    <row r="95" spans="1:125" s="32" customFormat="1" ht="15" customHeight="1" thickBot="1">
      <c r="A95" s="100" t="s">
        <v>56</v>
      </c>
      <c r="B95" s="184">
        <v>2017</v>
      </c>
      <c r="C95" s="109">
        <v>5</v>
      </c>
      <c r="D95" s="83" t="s">
        <v>347</v>
      </c>
      <c r="E95" s="83" t="s">
        <v>410</v>
      </c>
      <c r="F95" s="132">
        <v>3683</v>
      </c>
      <c r="G95" s="85">
        <v>81404</v>
      </c>
      <c r="H95" s="86">
        <v>7.0865727403080836</v>
      </c>
      <c r="I95" s="132">
        <v>22.102633722508823</v>
      </c>
      <c r="J95" s="85">
        <v>39240</v>
      </c>
      <c r="K95" s="173">
        <v>48.204019458503268</v>
      </c>
      <c r="L95" s="85">
        <v>42164</v>
      </c>
      <c r="M95" s="173">
        <v>51.795980541496732</v>
      </c>
      <c r="N95" s="161">
        <v>23.001326716131885</v>
      </c>
      <c r="O95" s="161">
        <v>42.979460468773034</v>
      </c>
      <c r="P95" s="161">
        <v>34.019212815095081</v>
      </c>
      <c r="Q95" s="161">
        <v>31.663063240135621</v>
      </c>
      <c r="R95" s="159">
        <v>34.317723944769298</v>
      </c>
      <c r="S95" s="160">
        <v>34.019212815095081</v>
      </c>
      <c r="T95" s="84">
        <v>4</v>
      </c>
      <c r="U95" s="84">
        <v>3.1</v>
      </c>
      <c r="V95" s="89">
        <v>68</v>
      </c>
      <c r="W95" s="90">
        <v>3.3</v>
      </c>
      <c r="X95" s="148">
        <v>49336</v>
      </c>
      <c r="Y95" s="89">
        <v>2.2999999999999998</v>
      </c>
      <c r="Z95" s="89" t="s">
        <v>340</v>
      </c>
      <c r="AA95" s="85">
        <v>6340</v>
      </c>
      <c r="AB95" s="110" t="s">
        <v>355</v>
      </c>
      <c r="AC95" s="110" t="s">
        <v>355</v>
      </c>
      <c r="AD95" s="110" t="s">
        <v>355</v>
      </c>
      <c r="AE95" s="110" t="s">
        <v>355</v>
      </c>
      <c r="AF95" s="84">
        <v>4.66</v>
      </c>
      <c r="AG95" s="84">
        <v>2.16</v>
      </c>
      <c r="AH95" s="84">
        <v>66.14</v>
      </c>
      <c r="AI95" s="86">
        <v>33.857697711161912</v>
      </c>
      <c r="AJ95" s="84">
        <v>4.88</v>
      </c>
      <c r="AK95" s="84">
        <v>3.98</v>
      </c>
      <c r="AL95" s="84">
        <v>8.7690598185073139</v>
      </c>
      <c r="AM95" s="84">
        <v>26.14</v>
      </c>
      <c r="AN95" s="85">
        <v>154446</v>
      </c>
      <c r="AO95" s="85">
        <v>161990</v>
      </c>
      <c r="AP95" s="85">
        <v>36833</v>
      </c>
      <c r="AQ95" s="135">
        <v>1099.328458439039</v>
      </c>
      <c r="AR95" s="85">
        <v>33505</v>
      </c>
      <c r="AS95" s="85">
        <v>2264</v>
      </c>
      <c r="AT95" s="135">
        <v>1900.9235936188077</v>
      </c>
      <c r="AU95" s="85">
        <v>1191</v>
      </c>
      <c r="AV95" s="85">
        <v>7354</v>
      </c>
      <c r="AW95" s="135">
        <v>3498.5727878211228</v>
      </c>
      <c r="AX95" s="85">
        <v>2102</v>
      </c>
      <c r="AY95" s="135" t="s">
        <v>379</v>
      </c>
      <c r="AZ95" s="135" t="s">
        <v>379</v>
      </c>
      <c r="BA95" s="89">
        <v>0</v>
      </c>
      <c r="BB95" s="87">
        <v>187.65170870379541</v>
      </c>
      <c r="BC95" s="91">
        <v>29.100134308312192</v>
      </c>
      <c r="BD95" s="85">
        <v>5284</v>
      </c>
      <c r="BE95" s="92">
        <v>3.317803368035062</v>
      </c>
      <c r="BF95" s="85">
        <v>50547</v>
      </c>
      <c r="BG95" s="92">
        <v>31.738267760043197</v>
      </c>
      <c r="BH95" s="85">
        <v>30310</v>
      </c>
      <c r="BI95" s="92">
        <v>19.031532945712097</v>
      </c>
      <c r="BJ95" s="85">
        <v>9781</v>
      </c>
      <c r="BK95" s="92">
        <v>6.1414524494229639</v>
      </c>
      <c r="BL95" s="85">
        <v>17663</v>
      </c>
      <c r="BM95" s="92">
        <v>11.090530069947633</v>
      </c>
      <c r="BN95" s="85">
        <v>27730</v>
      </c>
      <c r="BO95" s="92">
        <v>17.411560824302093</v>
      </c>
      <c r="BP95" s="85">
        <v>17947</v>
      </c>
      <c r="BQ95" s="92">
        <v>11.268852582536953</v>
      </c>
      <c r="BR95" s="165">
        <v>64.910815193356598</v>
      </c>
      <c r="BS95" s="165">
        <v>372.34042553191489</v>
      </c>
      <c r="BT95" s="111">
        <v>566.34809100289908</v>
      </c>
      <c r="BU95" s="165">
        <v>120.15380079602969</v>
      </c>
      <c r="BV95" s="165">
        <v>184.48724878384354</v>
      </c>
      <c r="BW95" s="165">
        <v>54.591911945358952</v>
      </c>
      <c r="BX95" s="165">
        <v>220.46828165692102</v>
      </c>
      <c r="BY95" s="112">
        <v>32.492260822563999</v>
      </c>
      <c r="BZ95" s="165">
        <v>340.64665127020783</v>
      </c>
      <c r="CA95" s="110" t="s">
        <v>355</v>
      </c>
      <c r="CB95" s="112">
        <v>442.16688983219854</v>
      </c>
      <c r="CC95" s="110" t="s">
        <v>355</v>
      </c>
      <c r="CD95" s="110" t="s">
        <v>355</v>
      </c>
      <c r="CE95" s="110" t="s">
        <v>355</v>
      </c>
      <c r="CF95" s="110" t="s">
        <v>355</v>
      </c>
      <c r="CG95" s="110" t="s">
        <v>355</v>
      </c>
      <c r="CH95" s="110" t="s">
        <v>355</v>
      </c>
      <c r="CI95" s="110" t="s">
        <v>355</v>
      </c>
      <c r="CJ95" s="87">
        <v>39390</v>
      </c>
      <c r="CK95" s="92">
        <v>87.628839807057631</v>
      </c>
      <c r="CL95" s="139">
        <v>1343.7730000000001</v>
      </c>
      <c r="CM95" s="139">
        <v>16.507456636037546</v>
      </c>
      <c r="CN95" s="139">
        <v>675.1</v>
      </c>
      <c r="CO95" s="115">
        <v>6</v>
      </c>
      <c r="CP95" s="115">
        <v>19</v>
      </c>
      <c r="CQ95" s="110">
        <v>3</v>
      </c>
      <c r="CR95" s="86">
        <v>8.8822812246003799</v>
      </c>
      <c r="CS95" s="85">
        <v>20282</v>
      </c>
      <c r="CT95" s="85">
        <v>22182</v>
      </c>
      <c r="CU95" s="84">
        <v>91.43</v>
      </c>
      <c r="CV95" s="84">
        <v>37.21</v>
      </c>
      <c r="CW95" s="84">
        <v>5.63</v>
      </c>
      <c r="CX95" s="115" t="s">
        <v>339</v>
      </c>
      <c r="CY95" s="114">
        <v>52000</v>
      </c>
      <c r="CZ95" s="129">
        <v>213000</v>
      </c>
      <c r="DA95" s="129">
        <v>2000</v>
      </c>
      <c r="DB95" s="129">
        <v>11000</v>
      </c>
      <c r="DC95" s="129">
        <v>0</v>
      </c>
      <c r="DD95" s="129">
        <v>319238</v>
      </c>
      <c r="DE95" s="87">
        <v>2</v>
      </c>
      <c r="DF95" s="87">
        <v>29130</v>
      </c>
      <c r="DG95" s="114">
        <v>2</v>
      </c>
      <c r="DH95" s="162">
        <v>9</v>
      </c>
      <c r="DI95" s="114">
        <v>9044.8888888888887</v>
      </c>
      <c r="DJ95" s="114">
        <v>33</v>
      </c>
      <c r="DK95" s="114">
        <v>67</v>
      </c>
      <c r="DL95" s="114">
        <v>0</v>
      </c>
      <c r="DM95" s="114">
        <v>0</v>
      </c>
      <c r="DN95" s="114">
        <v>0</v>
      </c>
      <c r="DO95" s="114">
        <v>77.777777777777786</v>
      </c>
      <c r="DP95" s="114">
        <v>22.222222222222221</v>
      </c>
      <c r="DQ95" s="88">
        <v>535</v>
      </c>
      <c r="DR95" s="147">
        <v>152.15700934579439</v>
      </c>
      <c r="DT95" s="55"/>
      <c r="DU95" s="55"/>
    </row>
    <row r="96" spans="1:125" s="32" customFormat="1" ht="15" customHeight="1" thickBot="1">
      <c r="A96" s="100" t="s">
        <v>57</v>
      </c>
      <c r="B96" s="184">
        <v>2017</v>
      </c>
      <c r="C96" s="109">
        <v>5</v>
      </c>
      <c r="D96" s="83" t="s">
        <v>347</v>
      </c>
      <c r="E96" s="83" t="s">
        <v>412</v>
      </c>
      <c r="F96" s="132">
        <v>858.4</v>
      </c>
      <c r="G96" s="85">
        <v>71736</v>
      </c>
      <c r="H96" s="86">
        <v>5.5903912390709243</v>
      </c>
      <c r="I96" s="132">
        <v>83.569431500465981</v>
      </c>
      <c r="J96" s="85">
        <v>35517</v>
      </c>
      <c r="K96" s="173">
        <v>49.510705921712947</v>
      </c>
      <c r="L96" s="85">
        <v>36219</v>
      </c>
      <c r="M96" s="173">
        <v>50.489294078287053</v>
      </c>
      <c r="N96" s="161">
        <v>24.169175867068137</v>
      </c>
      <c r="O96" s="161">
        <v>46.390933422549345</v>
      </c>
      <c r="P96" s="161">
        <v>29.439890710382517</v>
      </c>
      <c r="Q96" s="161">
        <v>34.544719527155124</v>
      </c>
      <c r="R96" s="159">
        <v>36.015389762462362</v>
      </c>
      <c r="S96" s="160">
        <v>29.439890710382517</v>
      </c>
      <c r="T96" s="84">
        <v>4.8</v>
      </c>
      <c r="U96" s="84">
        <v>3.4</v>
      </c>
      <c r="V96" s="89">
        <v>70</v>
      </c>
      <c r="W96" s="90">
        <v>5.5</v>
      </c>
      <c r="X96" s="148">
        <v>53643</v>
      </c>
      <c r="Y96" s="89">
        <v>2.5</v>
      </c>
      <c r="Z96" s="89" t="s">
        <v>340</v>
      </c>
      <c r="AA96" s="85">
        <v>4653</v>
      </c>
      <c r="AB96" s="110" t="s">
        <v>355</v>
      </c>
      <c r="AC96" s="110" t="s">
        <v>355</v>
      </c>
      <c r="AD96" s="110" t="s">
        <v>355</v>
      </c>
      <c r="AE96" s="110" t="s">
        <v>355</v>
      </c>
      <c r="AF96" s="84">
        <v>-0.08</v>
      </c>
      <c r="AG96" s="84">
        <v>2.0499999999999998</v>
      </c>
      <c r="AH96" s="84">
        <v>78.08</v>
      </c>
      <c r="AI96" s="86">
        <v>21.918161984730908</v>
      </c>
      <c r="AJ96" s="84">
        <v>2.84</v>
      </c>
      <c r="AK96" s="84">
        <v>2.36</v>
      </c>
      <c r="AL96" s="84">
        <v>5.4335748064052094</v>
      </c>
      <c r="AM96" s="84">
        <v>5.53</v>
      </c>
      <c r="AN96" s="85">
        <v>116186</v>
      </c>
      <c r="AO96" s="85">
        <v>116093</v>
      </c>
      <c r="AP96" s="85">
        <v>31259</v>
      </c>
      <c r="AQ96" s="135">
        <v>989.05236513209934</v>
      </c>
      <c r="AR96" s="85">
        <v>31605</v>
      </c>
      <c r="AS96" s="85">
        <v>795</v>
      </c>
      <c r="AT96" s="135">
        <v>1609.3117408906883</v>
      </c>
      <c r="AU96" s="85">
        <v>494</v>
      </c>
      <c r="AV96" s="85">
        <v>7589</v>
      </c>
      <c r="AW96" s="135">
        <v>4142.4672489082968</v>
      </c>
      <c r="AX96" s="85">
        <v>1832</v>
      </c>
      <c r="AY96" s="135" t="s">
        <v>379</v>
      </c>
      <c r="AZ96" s="135" t="s">
        <v>379</v>
      </c>
      <c r="BA96" s="89">
        <v>0</v>
      </c>
      <c r="BB96" s="87">
        <v>199.85741664354362</v>
      </c>
      <c r="BC96" s="91">
        <v>18.183831672203766</v>
      </c>
      <c r="BD96" s="85">
        <v>27076</v>
      </c>
      <c r="BE96" s="92">
        <v>23.189647050762684</v>
      </c>
      <c r="BF96" s="85">
        <v>5318</v>
      </c>
      <c r="BG96" s="92">
        <v>4.5546810096009729</v>
      </c>
      <c r="BH96" s="85">
        <v>22237</v>
      </c>
      <c r="BI96" s="92">
        <v>19.045212788735771</v>
      </c>
      <c r="BJ96" s="85">
        <v>7608</v>
      </c>
      <c r="BK96" s="92">
        <v>6.5159859197149688</v>
      </c>
      <c r="BL96" s="85">
        <v>8829</v>
      </c>
      <c r="BM96" s="92">
        <v>7.5617297167670152</v>
      </c>
      <c r="BN96" s="85">
        <v>10674</v>
      </c>
      <c r="BO96" s="92">
        <v>9.1419076901994707</v>
      </c>
      <c r="BP96" s="85">
        <v>35017</v>
      </c>
      <c r="BQ96" s="92">
        <v>29.990835824219118</v>
      </c>
      <c r="BR96" s="165">
        <v>377.43950039032006</v>
      </c>
      <c r="BS96" s="165">
        <v>309.98382959741275</v>
      </c>
      <c r="BT96" s="111">
        <v>0</v>
      </c>
      <c r="BU96" s="165">
        <v>106.05553696888592</v>
      </c>
      <c r="BV96" s="165">
        <v>97.705475632876102</v>
      </c>
      <c r="BW96" s="165">
        <v>74.1329318612691</v>
      </c>
      <c r="BX96" s="165">
        <v>488.13705810192931</v>
      </c>
      <c r="BY96" s="112">
        <v>25.370804059328648</v>
      </c>
      <c r="BZ96" s="165">
        <v>148.79558380729341</v>
      </c>
      <c r="CA96" s="110" t="s">
        <v>355</v>
      </c>
      <c r="CB96" s="112">
        <v>368.33308461423667</v>
      </c>
      <c r="CC96" s="110" t="s">
        <v>355</v>
      </c>
      <c r="CD96" s="110" t="s">
        <v>355</v>
      </c>
      <c r="CE96" s="110" t="s">
        <v>355</v>
      </c>
      <c r="CF96" s="110" t="s">
        <v>355</v>
      </c>
      <c r="CG96" s="110" t="s">
        <v>355</v>
      </c>
      <c r="CH96" s="110" t="s">
        <v>355</v>
      </c>
      <c r="CI96" s="110" t="s">
        <v>355</v>
      </c>
      <c r="CJ96" s="87">
        <v>41763</v>
      </c>
      <c r="CK96" s="92">
        <v>55.221128750329243</v>
      </c>
      <c r="CL96" s="139">
        <v>732.55000000000007</v>
      </c>
      <c r="CM96" s="139">
        <v>10.211748633879782</v>
      </c>
      <c r="CN96" s="139">
        <v>956</v>
      </c>
      <c r="CO96" s="115">
        <v>5</v>
      </c>
      <c r="CP96" s="115">
        <v>23</v>
      </c>
      <c r="CQ96" s="110">
        <v>4</v>
      </c>
      <c r="CR96" s="86">
        <v>4.4527441575101792</v>
      </c>
      <c r="CS96" s="85">
        <v>12537</v>
      </c>
      <c r="CT96" s="85">
        <v>12043</v>
      </c>
      <c r="CU96" s="84">
        <v>123.1</v>
      </c>
      <c r="CV96" s="84">
        <v>123.1</v>
      </c>
      <c r="CW96" s="84">
        <v>1.83</v>
      </c>
      <c r="CX96" s="115" t="s">
        <v>339</v>
      </c>
      <c r="CY96" s="114">
        <v>109000</v>
      </c>
      <c r="CZ96" s="129">
        <v>234000</v>
      </c>
      <c r="DA96" s="129">
        <v>0</v>
      </c>
      <c r="DB96" s="129">
        <v>33652</v>
      </c>
      <c r="DC96" s="129">
        <v>0</v>
      </c>
      <c r="DD96" s="129">
        <v>306767</v>
      </c>
      <c r="DE96" s="87">
        <v>7</v>
      </c>
      <c r="DF96" s="87">
        <v>2400</v>
      </c>
      <c r="DG96" s="114">
        <v>0</v>
      </c>
      <c r="DH96" s="162">
        <v>10</v>
      </c>
      <c r="DI96" s="114">
        <v>7173.6</v>
      </c>
      <c r="DJ96" s="114">
        <v>20</v>
      </c>
      <c r="DK96" s="114">
        <v>80</v>
      </c>
      <c r="DL96" s="114">
        <v>0</v>
      </c>
      <c r="DM96" s="114">
        <v>0</v>
      </c>
      <c r="DN96" s="114">
        <v>10</v>
      </c>
      <c r="DO96" s="114">
        <v>70</v>
      </c>
      <c r="DP96" s="114">
        <v>20</v>
      </c>
      <c r="DQ96" s="88">
        <v>485</v>
      </c>
      <c r="DR96" s="147">
        <v>147.90927835051545</v>
      </c>
      <c r="DT96" s="55"/>
      <c r="DU96" s="55"/>
    </row>
    <row r="97" spans="1:125" s="32" customFormat="1" ht="15" thickBot="1">
      <c r="A97" s="100" t="s">
        <v>312</v>
      </c>
      <c r="B97" s="184">
        <v>2017</v>
      </c>
      <c r="C97" s="109">
        <v>4</v>
      </c>
      <c r="D97" s="83" t="s">
        <v>347</v>
      </c>
      <c r="E97" s="83" t="s">
        <v>409</v>
      </c>
      <c r="F97" s="132">
        <v>5318.9</v>
      </c>
      <c r="G97" s="85">
        <v>58771</v>
      </c>
      <c r="H97" s="86">
        <v>6.2920494827461537</v>
      </c>
      <c r="I97" s="132">
        <v>11.049465114967381</v>
      </c>
      <c r="J97" s="85">
        <v>29641</v>
      </c>
      <c r="K97" s="173">
        <v>50.434738221231555</v>
      </c>
      <c r="L97" s="85">
        <v>29130</v>
      </c>
      <c r="M97" s="173">
        <v>49.565261778768438</v>
      </c>
      <c r="N97" s="161">
        <v>26.050262884756087</v>
      </c>
      <c r="O97" s="161">
        <v>56.55850674652465</v>
      </c>
      <c r="P97" s="161">
        <v>17.391230368719267</v>
      </c>
      <c r="Q97" s="161">
        <v>38.93586973167038</v>
      </c>
      <c r="R97" s="159">
        <v>43.67289989961035</v>
      </c>
      <c r="S97" s="160">
        <v>17.391230368719267</v>
      </c>
      <c r="T97" s="84">
        <v>3.1</v>
      </c>
      <c r="U97" s="84">
        <v>12.1</v>
      </c>
      <c r="V97" s="89">
        <v>110</v>
      </c>
      <c r="W97" s="90">
        <v>2.4</v>
      </c>
      <c r="X97" s="148">
        <v>67996</v>
      </c>
      <c r="Y97" s="89">
        <v>2.6</v>
      </c>
      <c r="Z97" s="89" t="s">
        <v>346</v>
      </c>
      <c r="AA97" s="85">
        <v>4574</v>
      </c>
      <c r="AB97" s="110" t="s">
        <v>355</v>
      </c>
      <c r="AC97" s="110" t="s">
        <v>355</v>
      </c>
      <c r="AD97" s="110" t="s">
        <v>355</v>
      </c>
      <c r="AE97" s="110" t="s">
        <v>355</v>
      </c>
      <c r="AF97" s="84">
        <v>0.39</v>
      </c>
      <c r="AG97" s="84">
        <v>2.0499999999999998</v>
      </c>
      <c r="AH97" s="84">
        <v>62.37</v>
      </c>
      <c r="AI97" s="86">
        <v>37.373776023893512</v>
      </c>
      <c r="AJ97" s="84">
        <v>5.05</v>
      </c>
      <c r="AK97" s="84">
        <v>6.64</v>
      </c>
      <c r="AL97" s="84">
        <v>2.8953599797261442</v>
      </c>
      <c r="AM97" s="84">
        <v>9.41</v>
      </c>
      <c r="AN97" s="85">
        <v>125781</v>
      </c>
      <c r="AO97" s="85">
        <v>127462</v>
      </c>
      <c r="AP97" s="85">
        <v>26087</v>
      </c>
      <c r="AQ97" s="135">
        <v>1069.139344262295</v>
      </c>
      <c r="AR97" s="85">
        <v>24400</v>
      </c>
      <c r="AS97" s="85">
        <v>2364</v>
      </c>
      <c r="AT97" s="135">
        <v>2299.6108949416343</v>
      </c>
      <c r="AU97" s="85">
        <v>1028</v>
      </c>
      <c r="AV97" s="85">
        <v>5801</v>
      </c>
      <c r="AW97" s="135">
        <v>4381.4199395770393</v>
      </c>
      <c r="AX97" s="85">
        <v>1324</v>
      </c>
      <c r="AY97" s="85">
        <v>24</v>
      </c>
      <c r="AZ97" s="135">
        <v>12000</v>
      </c>
      <c r="BA97" s="89">
        <v>2</v>
      </c>
      <c r="BB97" s="87">
        <v>213.27701099894969</v>
      </c>
      <c r="BC97" s="91">
        <v>10.122950819672132</v>
      </c>
      <c r="BD97" s="85">
        <v>28518</v>
      </c>
      <c r="BE97" s="92">
        <v>21.670706779029917</v>
      </c>
      <c r="BF97" s="85">
        <v>31483</v>
      </c>
      <c r="BG97" s="92">
        <v>23.923797654961739</v>
      </c>
      <c r="BH97" s="85">
        <v>17257</v>
      </c>
      <c r="BI97" s="92">
        <v>13.113520824942817</v>
      </c>
      <c r="BJ97" s="85">
        <v>9906</v>
      </c>
      <c r="BK97" s="92">
        <v>7.5275272232649684</v>
      </c>
      <c r="BL97" s="85">
        <v>17446</v>
      </c>
      <c r="BM97" s="92">
        <v>13.257141120238302</v>
      </c>
      <c r="BN97" s="85">
        <v>10979</v>
      </c>
      <c r="BO97" s="92">
        <v>8.3428953547573279</v>
      </c>
      <c r="BP97" s="85">
        <v>16008</v>
      </c>
      <c r="BQ97" s="92">
        <v>12.164411042804927</v>
      </c>
      <c r="BR97" s="165">
        <v>485.23931871160949</v>
      </c>
      <c r="BS97" s="165">
        <v>293.63121267291689</v>
      </c>
      <c r="BT97" s="111">
        <v>483.99720950809075</v>
      </c>
      <c r="BU97" s="165">
        <v>168.55251739803646</v>
      </c>
      <c r="BV97" s="165">
        <v>256.38495176192339</v>
      </c>
      <c r="BW97" s="165">
        <v>51.692161099862176</v>
      </c>
      <c r="BX97" s="165">
        <v>272.37923465654831</v>
      </c>
      <c r="BY97" s="112">
        <v>40.462132684487244</v>
      </c>
      <c r="BZ97" s="165">
        <v>186.80982117030507</v>
      </c>
      <c r="CA97" s="110" t="s">
        <v>355</v>
      </c>
      <c r="CB97" s="112">
        <v>410.09333966144595</v>
      </c>
      <c r="CC97" s="110" t="s">
        <v>355</v>
      </c>
      <c r="CD97" s="110" t="s">
        <v>355</v>
      </c>
      <c r="CE97" s="110" t="s">
        <v>355</v>
      </c>
      <c r="CF97" s="110" t="s">
        <v>355</v>
      </c>
      <c r="CG97" s="110" t="s">
        <v>355</v>
      </c>
      <c r="CH97" s="110" t="s">
        <v>355</v>
      </c>
      <c r="CI97" s="110" t="s">
        <v>355</v>
      </c>
      <c r="CJ97" s="87">
        <v>31128</v>
      </c>
      <c r="CK97" s="92">
        <v>55.329606784888206</v>
      </c>
      <c r="CL97" s="139">
        <v>1660.2200000000003</v>
      </c>
      <c r="CM97" s="139">
        <v>28.248966326929953</v>
      </c>
      <c r="CN97" s="139">
        <v>760.8</v>
      </c>
      <c r="CO97" s="115">
        <v>4</v>
      </c>
      <c r="CP97" s="115">
        <v>13</v>
      </c>
      <c r="CQ97" s="110">
        <v>3</v>
      </c>
      <c r="CR97" s="86">
        <v>4.0259571158008658</v>
      </c>
      <c r="CS97" s="85">
        <v>13464</v>
      </c>
      <c r="CT97" s="85">
        <v>14632</v>
      </c>
      <c r="CU97" s="84">
        <v>92.02</v>
      </c>
      <c r="CV97" s="84">
        <v>46.7</v>
      </c>
      <c r="CW97" s="84">
        <v>2.6</v>
      </c>
      <c r="CX97" s="115" t="s">
        <v>339</v>
      </c>
      <c r="CY97" s="114">
        <v>33000</v>
      </c>
      <c r="CZ97" s="129">
        <v>245000</v>
      </c>
      <c r="DA97" s="129">
        <v>0</v>
      </c>
      <c r="DB97" s="129">
        <v>18000</v>
      </c>
      <c r="DC97" s="129">
        <v>0</v>
      </c>
      <c r="DD97" s="129">
        <v>337222</v>
      </c>
      <c r="DE97" s="87">
        <v>5</v>
      </c>
      <c r="DF97" s="87">
        <v>60000</v>
      </c>
      <c r="DG97" s="114">
        <v>1</v>
      </c>
      <c r="DH97" s="162">
        <v>11</v>
      </c>
      <c r="DI97" s="114">
        <v>5342.818181818182</v>
      </c>
      <c r="DJ97" s="114">
        <v>18</v>
      </c>
      <c r="DK97" s="114">
        <v>82</v>
      </c>
      <c r="DL97" s="114">
        <v>0</v>
      </c>
      <c r="DM97" s="114">
        <v>9</v>
      </c>
      <c r="DN97" s="114">
        <v>0</v>
      </c>
      <c r="DO97" s="114">
        <v>64</v>
      </c>
      <c r="DP97" s="114">
        <v>36</v>
      </c>
      <c r="DQ97" s="88">
        <v>406</v>
      </c>
      <c r="DR97" s="147">
        <v>144.75615763546799</v>
      </c>
      <c r="DT97" s="55"/>
      <c r="DU97" s="55"/>
    </row>
    <row r="98" spans="1:125" s="32" customFormat="1" ht="15" customHeight="1" thickBot="1">
      <c r="A98" s="100" t="s">
        <v>313</v>
      </c>
      <c r="B98" s="184">
        <v>2017</v>
      </c>
      <c r="C98" s="109">
        <v>3</v>
      </c>
      <c r="D98" s="83" t="s">
        <v>349</v>
      </c>
      <c r="E98" s="83"/>
      <c r="F98" s="132">
        <v>36.299999999999997</v>
      </c>
      <c r="G98" s="85">
        <v>151996</v>
      </c>
      <c r="H98" s="86">
        <v>9.0632511749721978</v>
      </c>
      <c r="I98" s="132">
        <v>4187.2176308539947</v>
      </c>
      <c r="J98" s="85">
        <v>75485</v>
      </c>
      <c r="K98" s="173">
        <v>49.662491118187319</v>
      </c>
      <c r="L98" s="85">
        <v>76511</v>
      </c>
      <c r="M98" s="173">
        <v>50.337508881812674</v>
      </c>
      <c r="N98" s="161">
        <v>20.353825100660544</v>
      </c>
      <c r="O98" s="161">
        <v>62.239795784099584</v>
      </c>
      <c r="P98" s="161">
        <v>17.406379115239876</v>
      </c>
      <c r="Q98" s="161">
        <v>42.458354167214928</v>
      </c>
      <c r="R98" s="159">
        <v>40.1352667175452</v>
      </c>
      <c r="S98" s="160">
        <v>17.406379115239876</v>
      </c>
      <c r="T98" s="84">
        <v>1.5</v>
      </c>
      <c r="U98" s="84">
        <v>32.1</v>
      </c>
      <c r="V98" s="89">
        <v>117</v>
      </c>
      <c r="W98" s="90">
        <v>3.9</v>
      </c>
      <c r="X98" s="148">
        <v>74742</v>
      </c>
      <c r="Y98" s="89">
        <v>2.5</v>
      </c>
      <c r="Z98" s="89" t="s">
        <v>340</v>
      </c>
      <c r="AA98" s="85">
        <v>12718</v>
      </c>
      <c r="AB98" s="110" t="s">
        <v>355</v>
      </c>
      <c r="AC98" s="110" t="s">
        <v>355</v>
      </c>
      <c r="AD98" s="110" t="s">
        <v>355</v>
      </c>
      <c r="AE98" s="110" t="s">
        <v>355</v>
      </c>
      <c r="AF98" s="84">
        <v>6.2</v>
      </c>
      <c r="AG98" s="84">
        <v>3.63</v>
      </c>
      <c r="AH98" s="84">
        <v>91.15</v>
      </c>
      <c r="AI98" s="86">
        <v>8.8537306133746565</v>
      </c>
      <c r="AJ98" s="84">
        <v>2.41</v>
      </c>
      <c r="AK98" s="84">
        <v>0</v>
      </c>
      <c r="AL98" s="84">
        <v>0</v>
      </c>
      <c r="AM98" s="84">
        <v>3.03</v>
      </c>
      <c r="AN98" s="85">
        <v>144868</v>
      </c>
      <c r="AO98" s="85">
        <v>154427</v>
      </c>
      <c r="AP98" s="85">
        <v>61174</v>
      </c>
      <c r="AQ98" s="135">
        <v>1220.5263262903773</v>
      </c>
      <c r="AR98" s="85">
        <v>50121</v>
      </c>
      <c r="AS98" s="135" t="s">
        <v>379</v>
      </c>
      <c r="AT98" s="135" t="s">
        <v>379</v>
      </c>
      <c r="AU98" s="135" t="s">
        <v>379</v>
      </c>
      <c r="AV98" s="85">
        <v>14637</v>
      </c>
      <c r="AW98" s="135">
        <v>7112.2448979591836</v>
      </c>
      <c r="AX98" s="85">
        <v>2058</v>
      </c>
      <c r="AY98" s="135" t="s">
        <v>379</v>
      </c>
      <c r="AZ98" s="135" t="s">
        <v>379</v>
      </c>
      <c r="BA98" s="89">
        <v>0</v>
      </c>
      <c r="BB98" s="87">
        <v>531.558676695994</v>
      </c>
      <c r="BC98" s="91">
        <v>8.8565671075996075</v>
      </c>
      <c r="BD98" s="85">
        <v>11601</v>
      </c>
      <c r="BE98" s="92">
        <v>7.6569203352914004</v>
      </c>
      <c r="BF98" s="85">
        <v>8587</v>
      </c>
      <c r="BG98" s="92">
        <v>5.6676126988317606</v>
      </c>
      <c r="BH98" s="85">
        <v>47310</v>
      </c>
      <c r="BI98" s="92">
        <v>31.225661672496862</v>
      </c>
      <c r="BJ98" s="85">
        <v>24964</v>
      </c>
      <c r="BK98" s="92">
        <v>16.476800211207181</v>
      </c>
      <c r="BL98" s="85">
        <v>34374</v>
      </c>
      <c r="BM98" s="92">
        <v>22.68761137878688</v>
      </c>
      <c r="BN98" s="85">
        <v>16757</v>
      </c>
      <c r="BO98" s="92">
        <v>11.059996039865355</v>
      </c>
      <c r="BP98" s="85">
        <v>7917</v>
      </c>
      <c r="BQ98" s="92">
        <v>5.2253976635205595</v>
      </c>
      <c r="BR98" s="165">
        <v>76.324376957288351</v>
      </c>
      <c r="BS98" s="165">
        <v>311.25819100502645</v>
      </c>
      <c r="BT98" s="111">
        <v>0</v>
      </c>
      <c r="BU98" s="165">
        <v>164.24116424116423</v>
      </c>
      <c r="BV98" s="165">
        <v>171.05055396194638</v>
      </c>
      <c r="BW98" s="165">
        <v>56.494907760730548</v>
      </c>
      <c r="BX98" s="165">
        <v>52.086897023605886</v>
      </c>
      <c r="BY98" s="112">
        <v>55.100134214058265</v>
      </c>
      <c r="BZ98" s="165">
        <v>110.24632227163873</v>
      </c>
      <c r="CA98" s="110" t="s">
        <v>355</v>
      </c>
      <c r="CB98" s="112">
        <v>254.38524590163934</v>
      </c>
      <c r="CC98" s="110" t="s">
        <v>355</v>
      </c>
      <c r="CD98" s="110" t="s">
        <v>355</v>
      </c>
      <c r="CE98" s="110" t="s">
        <v>355</v>
      </c>
      <c r="CF98" s="110" t="s">
        <v>355</v>
      </c>
      <c r="CG98" s="110" t="s">
        <v>355</v>
      </c>
      <c r="CH98" s="110" t="s">
        <v>355</v>
      </c>
      <c r="CI98" s="110" t="s">
        <v>355</v>
      </c>
      <c r="CJ98" s="87">
        <v>30209</v>
      </c>
      <c r="CK98" s="92">
        <v>63.368532556522894</v>
      </c>
      <c r="CL98" s="139">
        <v>302.58999999999997</v>
      </c>
      <c r="CM98" s="139">
        <v>1.9907760730545541</v>
      </c>
      <c r="CN98" s="139">
        <v>785</v>
      </c>
      <c r="CO98" s="115">
        <v>9</v>
      </c>
      <c r="CP98" s="115">
        <v>13</v>
      </c>
      <c r="CQ98" s="110">
        <v>3</v>
      </c>
      <c r="CR98" s="86">
        <v>5.8609935983893999</v>
      </c>
      <c r="CS98" s="85">
        <v>11818</v>
      </c>
      <c r="CT98" s="85">
        <v>7389</v>
      </c>
      <c r="CU98" s="84">
        <v>159.94</v>
      </c>
      <c r="CV98" s="84">
        <v>119.7</v>
      </c>
      <c r="CW98" s="84">
        <v>0.65</v>
      </c>
      <c r="CX98" s="115" t="s">
        <v>339</v>
      </c>
      <c r="CY98" s="114">
        <v>180000</v>
      </c>
      <c r="CZ98" s="129">
        <v>433000</v>
      </c>
      <c r="DA98" s="129">
        <v>0</v>
      </c>
      <c r="DB98" s="129">
        <v>30000</v>
      </c>
      <c r="DC98" s="129">
        <v>25000</v>
      </c>
      <c r="DD98" s="129">
        <v>472787</v>
      </c>
      <c r="DE98" s="87">
        <v>1</v>
      </c>
      <c r="DF98" s="87">
        <v>2000</v>
      </c>
      <c r="DG98" s="114">
        <v>0</v>
      </c>
      <c r="DH98" s="162">
        <v>15</v>
      </c>
      <c r="DI98" s="114">
        <v>10133.066666666668</v>
      </c>
      <c r="DJ98" s="114">
        <v>33</v>
      </c>
      <c r="DK98" s="114">
        <v>67</v>
      </c>
      <c r="DL98" s="114">
        <v>0</v>
      </c>
      <c r="DM98" s="114">
        <v>0</v>
      </c>
      <c r="DN98" s="114">
        <v>7</v>
      </c>
      <c r="DO98" s="114">
        <v>80</v>
      </c>
      <c r="DP98" s="114">
        <v>13.333333333333334</v>
      </c>
      <c r="DQ98" s="88">
        <v>507</v>
      </c>
      <c r="DR98" s="147">
        <v>299.79487179487177</v>
      </c>
      <c r="DT98" s="55"/>
      <c r="DU98" s="55"/>
    </row>
    <row r="99" spans="1:125" s="32" customFormat="1" ht="15" customHeight="1" thickBot="1">
      <c r="A99" s="100" t="s">
        <v>59</v>
      </c>
      <c r="B99" s="184">
        <v>2017</v>
      </c>
      <c r="C99" s="109">
        <v>4</v>
      </c>
      <c r="D99" s="83" t="s">
        <v>347</v>
      </c>
      <c r="E99" s="83" t="s">
        <v>407</v>
      </c>
      <c r="F99" s="132">
        <v>3047.4</v>
      </c>
      <c r="G99" s="85">
        <v>23317</v>
      </c>
      <c r="H99" s="86">
        <v>2.7090124218130507</v>
      </c>
      <c r="I99" s="132">
        <v>7.6514405722911336</v>
      </c>
      <c r="J99" s="85">
        <v>11607</v>
      </c>
      <c r="K99" s="173">
        <v>49.779131106059957</v>
      </c>
      <c r="L99" s="85">
        <v>11710</v>
      </c>
      <c r="M99" s="173">
        <v>50.220868893940043</v>
      </c>
      <c r="N99" s="161">
        <v>26.246944289574131</v>
      </c>
      <c r="O99" s="161">
        <v>44.555474546468247</v>
      </c>
      <c r="P99" s="161">
        <v>29.197581163957626</v>
      </c>
      <c r="Q99" s="161">
        <v>36.196766307844065</v>
      </c>
      <c r="R99" s="159">
        <v>34.605652528198313</v>
      </c>
      <c r="S99" s="160">
        <v>29.197581163957626</v>
      </c>
      <c r="T99" s="84">
        <v>7.2</v>
      </c>
      <c r="U99" s="84">
        <v>1.7</v>
      </c>
      <c r="V99" s="89">
        <v>6</v>
      </c>
      <c r="W99" s="90">
        <v>6.9</v>
      </c>
      <c r="X99" s="148">
        <v>43918</v>
      </c>
      <c r="Y99" s="89">
        <v>2.4</v>
      </c>
      <c r="Z99" s="89" t="s">
        <v>343</v>
      </c>
      <c r="AA99" s="85">
        <v>1661</v>
      </c>
      <c r="AB99" s="110" t="s">
        <v>355</v>
      </c>
      <c r="AC99" s="110" t="s">
        <v>355</v>
      </c>
      <c r="AD99" s="110" t="s">
        <v>355</v>
      </c>
      <c r="AE99" s="110" t="s">
        <v>355</v>
      </c>
      <c r="AF99" s="84">
        <v>-7.31</v>
      </c>
      <c r="AG99" s="84">
        <v>3.08</v>
      </c>
      <c r="AH99" s="84">
        <v>64.040000000000006</v>
      </c>
      <c r="AI99" s="86">
        <v>35.768556269762151</v>
      </c>
      <c r="AJ99" s="84">
        <v>13.29</v>
      </c>
      <c r="AK99" s="84">
        <v>0.93</v>
      </c>
      <c r="AL99" s="84">
        <v>28.277309178543238</v>
      </c>
      <c r="AM99" s="84">
        <v>7.81</v>
      </c>
      <c r="AN99" s="85">
        <v>51651</v>
      </c>
      <c r="AO99" s="85">
        <v>48451</v>
      </c>
      <c r="AP99" s="85">
        <v>7208</v>
      </c>
      <c r="AQ99" s="135">
        <v>857.17683434415505</v>
      </c>
      <c r="AR99" s="85">
        <v>8409</v>
      </c>
      <c r="AS99" s="85">
        <v>2248</v>
      </c>
      <c r="AT99" s="135">
        <v>1462.5894599869875</v>
      </c>
      <c r="AU99" s="85">
        <v>1537</v>
      </c>
      <c r="AV99" s="85">
        <v>1521</v>
      </c>
      <c r="AW99" s="135">
        <v>2280.3598200899551</v>
      </c>
      <c r="AX99" s="85">
        <v>667</v>
      </c>
      <c r="AY99" s="135" t="s">
        <v>379</v>
      </c>
      <c r="AZ99" s="135" t="s">
        <v>379</v>
      </c>
      <c r="BA99" s="89">
        <v>0</v>
      </c>
      <c r="BB99" s="87">
        <v>151.72490571194317</v>
      </c>
      <c r="BC99" s="91">
        <v>25.686764181234388</v>
      </c>
      <c r="BD99" s="85">
        <v>2720</v>
      </c>
      <c r="BE99" s="92">
        <v>4.9841496710827702</v>
      </c>
      <c r="BF99" s="85">
        <v>17792</v>
      </c>
      <c r="BG99" s="92">
        <v>32.60220255437671</v>
      </c>
      <c r="BH99" s="85">
        <v>7059</v>
      </c>
      <c r="BI99" s="92">
        <v>12.934967841240175</v>
      </c>
      <c r="BJ99" s="85">
        <v>3347</v>
      </c>
      <c r="BK99" s="92">
        <v>6.1330694665860408</v>
      </c>
      <c r="BL99" s="85">
        <v>4408</v>
      </c>
      <c r="BM99" s="92">
        <v>8.0772543199017832</v>
      </c>
      <c r="BN99" s="85">
        <v>11879</v>
      </c>
      <c r="BO99" s="92">
        <v>21.767174243673612</v>
      </c>
      <c r="BP99" s="85">
        <v>7368</v>
      </c>
      <c r="BQ99" s="92">
        <v>13.501181903138914</v>
      </c>
      <c r="BR99" s="165">
        <v>116.65308573144058</v>
      </c>
      <c r="BS99" s="165">
        <v>302.74048977141143</v>
      </c>
      <c r="BT99" s="111">
        <v>633.01453874855258</v>
      </c>
      <c r="BU99" s="165">
        <v>143.54333747909251</v>
      </c>
      <c r="BV99" s="165">
        <v>133.76506411630999</v>
      </c>
      <c r="BW99" s="165">
        <v>130.03388085945878</v>
      </c>
      <c r="BX99" s="165">
        <v>315.99262340781405</v>
      </c>
      <c r="BY99" s="112">
        <v>55.281554230818713</v>
      </c>
      <c r="BZ99" s="165">
        <v>509.45661963374363</v>
      </c>
      <c r="CA99" s="110" t="s">
        <v>355</v>
      </c>
      <c r="CB99" s="112">
        <v>643.36306139143278</v>
      </c>
      <c r="CC99" s="110" t="s">
        <v>355</v>
      </c>
      <c r="CD99" s="110" t="s">
        <v>355</v>
      </c>
      <c r="CE99" s="110" t="s">
        <v>355</v>
      </c>
      <c r="CF99" s="110" t="s">
        <v>355</v>
      </c>
      <c r="CG99" s="110" t="s">
        <v>355</v>
      </c>
      <c r="CH99" s="110" t="s">
        <v>355</v>
      </c>
      <c r="CI99" s="110" t="s">
        <v>355</v>
      </c>
      <c r="CJ99" s="87">
        <v>12418</v>
      </c>
      <c r="CK99" s="92">
        <v>67.104203575454974</v>
      </c>
      <c r="CL99" s="139">
        <v>1077.48</v>
      </c>
      <c r="CM99" s="139">
        <v>46.210061328644336</v>
      </c>
      <c r="CN99" s="139">
        <v>463.9</v>
      </c>
      <c r="CO99" s="115">
        <v>4</v>
      </c>
      <c r="CP99" s="115">
        <v>17</v>
      </c>
      <c r="CQ99" s="110">
        <v>2</v>
      </c>
      <c r="CR99" s="86">
        <v>5.2266005604656174</v>
      </c>
      <c r="CS99" s="85">
        <v>5363</v>
      </c>
      <c r="CT99" s="85">
        <v>4501</v>
      </c>
      <c r="CU99" s="84">
        <v>119.15</v>
      </c>
      <c r="CV99" s="84">
        <v>83.65</v>
      </c>
      <c r="CW99" s="84">
        <v>1.92</v>
      </c>
      <c r="CX99" s="115" t="s">
        <v>339</v>
      </c>
      <c r="CY99" s="114">
        <v>21000</v>
      </c>
      <c r="CZ99" s="129">
        <v>176000</v>
      </c>
      <c r="DA99" s="129">
        <v>0</v>
      </c>
      <c r="DB99" s="129">
        <v>5000</v>
      </c>
      <c r="DC99" s="129">
        <v>2000</v>
      </c>
      <c r="DD99" s="129">
        <v>276161</v>
      </c>
      <c r="DE99" s="87">
        <v>0</v>
      </c>
      <c r="DF99" s="87">
        <v>0</v>
      </c>
      <c r="DG99" s="114">
        <v>0</v>
      </c>
      <c r="DH99" s="163">
        <v>7</v>
      </c>
      <c r="DI99" s="114">
        <v>3331</v>
      </c>
      <c r="DJ99" s="114">
        <v>29</v>
      </c>
      <c r="DK99" s="114">
        <v>71</v>
      </c>
      <c r="DL99" s="114">
        <v>0</v>
      </c>
      <c r="DM99" s="114">
        <v>0</v>
      </c>
      <c r="DN99" s="114">
        <v>14</v>
      </c>
      <c r="DO99" s="114">
        <v>72</v>
      </c>
      <c r="DP99" s="114">
        <v>14</v>
      </c>
      <c r="DQ99" s="88">
        <v>276</v>
      </c>
      <c r="DR99" s="147">
        <v>84.481884057971016</v>
      </c>
      <c r="DT99" s="55"/>
      <c r="DU99" s="55"/>
    </row>
    <row r="100" spans="1:125" s="32" customFormat="1" ht="15" customHeight="1" thickBot="1">
      <c r="A100" s="100" t="s">
        <v>314</v>
      </c>
      <c r="B100" s="184">
        <v>2017</v>
      </c>
      <c r="C100" s="109">
        <v>3</v>
      </c>
      <c r="D100" s="83" t="s">
        <v>349</v>
      </c>
      <c r="E100" s="83"/>
      <c r="F100" s="132">
        <v>40.5</v>
      </c>
      <c r="G100" s="85">
        <v>124497</v>
      </c>
      <c r="H100" s="86">
        <v>12.371040969031789</v>
      </c>
      <c r="I100" s="132">
        <v>3074</v>
      </c>
      <c r="J100" s="85">
        <v>60917</v>
      </c>
      <c r="K100" s="173">
        <v>48.930496317180335</v>
      </c>
      <c r="L100" s="85">
        <v>63580</v>
      </c>
      <c r="M100" s="173">
        <v>51.069503682819658</v>
      </c>
      <c r="N100" s="161">
        <v>21.473609805858775</v>
      </c>
      <c r="O100" s="161">
        <v>59.795818373133493</v>
      </c>
      <c r="P100" s="161">
        <v>18.730571821007736</v>
      </c>
      <c r="Q100" s="161">
        <v>39.830678650891187</v>
      </c>
      <c r="R100" s="159">
        <v>41.438749528101077</v>
      </c>
      <c r="S100" s="160">
        <v>18.730571821007736</v>
      </c>
      <c r="T100" s="84">
        <v>0.4</v>
      </c>
      <c r="U100" s="84">
        <v>48.1</v>
      </c>
      <c r="V100" s="89">
        <v>115</v>
      </c>
      <c r="W100" s="90">
        <v>3.9</v>
      </c>
      <c r="X100" s="148">
        <v>66383</v>
      </c>
      <c r="Y100" s="89">
        <v>2.7</v>
      </c>
      <c r="Z100" s="89" t="s">
        <v>344</v>
      </c>
      <c r="AA100" s="85">
        <v>11920</v>
      </c>
      <c r="AB100" s="110" t="s">
        <v>355</v>
      </c>
      <c r="AC100" s="110" t="s">
        <v>355</v>
      </c>
      <c r="AD100" s="110" t="s">
        <v>355</v>
      </c>
      <c r="AE100" s="110" t="s">
        <v>355</v>
      </c>
      <c r="AF100" s="84">
        <v>12.99</v>
      </c>
      <c r="AG100" s="84">
        <v>3.06</v>
      </c>
      <c r="AH100" s="84">
        <v>76.92</v>
      </c>
      <c r="AI100" s="86">
        <v>23.07921054136354</v>
      </c>
      <c r="AJ100" s="84">
        <v>3.89</v>
      </c>
      <c r="AK100" s="84">
        <v>33.200000000000003</v>
      </c>
      <c r="AL100" s="84">
        <v>0.79238046940619011</v>
      </c>
      <c r="AM100" s="84">
        <v>17.5</v>
      </c>
      <c r="AN100" s="85">
        <v>109812</v>
      </c>
      <c r="AO100" s="85">
        <v>126202</v>
      </c>
      <c r="AP100" s="85">
        <v>39688.436889999997</v>
      </c>
      <c r="AQ100" s="135">
        <v>867.08985602551775</v>
      </c>
      <c r="AR100" s="85">
        <v>45772</v>
      </c>
      <c r="AS100" s="135" t="s">
        <v>379</v>
      </c>
      <c r="AT100" s="135" t="s">
        <v>379</v>
      </c>
      <c r="AU100" s="135" t="s">
        <v>379</v>
      </c>
      <c r="AV100" s="85">
        <v>22827.563107000002</v>
      </c>
      <c r="AW100" s="135">
        <v>12174.700323733334</v>
      </c>
      <c r="AX100" s="85">
        <v>1875</v>
      </c>
      <c r="AY100" s="135" t="s">
        <v>379</v>
      </c>
      <c r="AZ100" s="135" t="s">
        <v>379</v>
      </c>
      <c r="BA100" s="89">
        <v>0</v>
      </c>
      <c r="BB100" s="87">
        <v>486.2178656663894</v>
      </c>
      <c r="BC100" s="91">
        <v>9.6587433365376221</v>
      </c>
      <c r="BD100" s="85">
        <v>24596</v>
      </c>
      <c r="BE100" s="92">
        <v>19.828607821481263</v>
      </c>
      <c r="BF100" s="85">
        <v>6415</v>
      </c>
      <c r="BG100" s="92">
        <v>5.1715937215320498</v>
      </c>
      <c r="BH100" s="85">
        <v>23187</v>
      </c>
      <c r="BI100" s="92">
        <v>18.69271139846666</v>
      </c>
      <c r="BJ100" s="85">
        <v>14590</v>
      </c>
      <c r="BK100" s="92">
        <v>11.7620502567658</v>
      </c>
      <c r="BL100" s="85">
        <v>24423</v>
      </c>
      <c r="BM100" s="92">
        <v>19.689140056270809</v>
      </c>
      <c r="BN100" s="85">
        <v>28475</v>
      </c>
      <c r="BO100" s="92">
        <v>22.955749215997677</v>
      </c>
      <c r="BP100" s="85">
        <v>2357</v>
      </c>
      <c r="BQ100" s="92">
        <v>1.9001475294857426</v>
      </c>
      <c r="BR100" s="165">
        <v>197.56299348578682</v>
      </c>
      <c r="BS100" s="165">
        <v>186.24545169763127</v>
      </c>
      <c r="BT100" s="111">
        <v>0</v>
      </c>
      <c r="BU100" s="165">
        <v>117.19157891354811</v>
      </c>
      <c r="BV100" s="165">
        <v>148.63008747198728</v>
      </c>
      <c r="BW100" s="165">
        <v>51.527346040466838</v>
      </c>
      <c r="BX100" s="165">
        <v>18.93218310481377</v>
      </c>
      <c r="BY100" s="112">
        <v>47.543314296730038</v>
      </c>
      <c r="BZ100" s="165">
        <v>228.72037077198647</v>
      </c>
      <c r="CA100" s="110" t="s">
        <v>355</v>
      </c>
      <c r="CB100" s="112">
        <v>385.65822333214413</v>
      </c>
      <c r="CC100" s="110" t="s">
        <v>355</v>
      </c>
      <c r="CD100" s="110" t="s">
        <v>355</v>
      </c>
      <c r="CE100" s="110" t="s">
        <v>355</v>
      </c>
      <c r="CF100" s="110" t="s">
        <v>355</v>
      </c>
      <c r="CG100" s="110" t="s">
        <v>355</v>
      </c>
      <c r="CH100" s="110" t="s">
        <v>355</v>
      </c>
      <c r="CI100" s="110" t="s">
        <v>355</v>
      </c>
      <c r="CJ100" s="87">
        <v>23902</v>
      </c>
      <c r="CK100" s="92">
        <v>60.271107020333027</v>
      </c>
      <c r="CL100" s="139">
        <v>318.49</v>
      </c>
      <c r="CM100" s="139">
        <v>2.5582142541587349</v>
      </c>
      <c r="CN100" s="139">
        <v>764.04</v>
      </c>
      <c r="CO100" s="115">
        <v>1</v>
      </c>
      <c r="CP100" s="115">
        <v>13</v>
      </c>
      <c r="CQ100" s="110">
        <v>5</v>
      </c>
      <c r="CR100" s="86">
        <v>6.7903812561098738</v>
      </c>
      <c r="CS100" s="85">
        <v>19192</v>
      </c>
      <c r="CT100" s="85">
        <v>20637</v>
      </c>
      <c r="CU100" s="84">
        <v>93</v>
      </c>
      <c r="CV100" s="84">
        <v>180.78</v>
      </c>
      <c r="CW100" s="84">
        <v>1.78</v>
      </c>
      <c r="CX100" s="115" t="s">
        <v>339</v>
      </c>
      <c r="CY100" s="114">
        <v>89000</v>
      </c>
      <c r="CZ100" s="129">
        <v>364000</v>
      </c>
      <c r="DA100" s="129">
        <v>0</v>
      </c>
      <c r="DB100" s="129">
        <v>18000</v>
      </c>
      <c r="DC100" s="129">
        <v>0</v>
      </c>
      <c r="DD100" s="129">
        <v>360394</v>
      </c>
      <c r="DE100" s="87">
        <v>6</v>
      </c>
      <c r="DF100" s="87">
        <v>46766</v>
      </c>
      <c r="DG100" s="114">
        <v>0</v>
      </c>
      <c r="DH100" s="162">
        <v>12</v>
      </c>
      <c r="DI100" s="114">
        <v>10374.75</v>
      </c>
      <c r="DJ100" s="114">
        <v>17</v>
      </c>
      <c r="DK100" s="114">
        <v>83</v>
      </c>
      <c r="DL100" s="114">
        <v>0</v>
      </c>
      <c r="DM100" s="114">
        <v>0</v>
      </c>
      <c r="DN100" s="114">
        <v>16.666666666666664</v>
      </c>
      <c r="DO100" s="114">
        <v>66</v>
      </c>
      <c r="DP100" s="114">
        <v>16.666666666666664</v>
      </c>
      <c r="DQ100" s="88">
        <v>474</v>
      </c>
      <c r="DR100" s="147">
        <v>262.65189873417722</v>
      </c>
      <c r="DT100" s="55"/>
      <c r="DU100" s="55"/>
    </row>
    <row r="101" spans="1:125" s="32" customFormat="1" ht="15" customHeight="1" thickBot="1">
      <c r="A101" s="100" t="s">
        <v>315</v>
      </c>
      <c r="B101" s="184">
        <v>2017</v>
      </c>
      <c r="C101" s="109">
        <v>5</v>
      </c>
      <c r="D101" s="83" t="s">
        <v>347</v>
      </c>
      <c r="E101" s="83" t="s">
        <v>415</v>
      </c>
      <c r="F101" s="132">
        <v>147.4</v>
      </c>
      <c r="G101" s="85">
        <v>70994</v>
      </c>
      <c r="H101" s="86">
        <v>6.284807473501397</v>
      </c>
      <c r="I101" s="132">
        <v>481.64179104477608</v>
      </c>
      <c r="J101" s="85">
        <v>34871</v>
      </c>
      <c r="K101" s="173">
        <v>49.11823534383187</v>
      </c>
      <c r="L101" s="85">
        <v>36123</v>
      </c>
      <c r="M101" s="173">
        <v>50.88176465616813</v>
      </c>
      <c r="N101" s="161">
        <v>26.850156351240951</v>
      </c>
      <c r="O101" s="161">
        <v>50.952193143082511</v>
      </c>
      <c r="P101" s="161">
        <v>22.197650505676535</v>
      </c>
      <c r="Q101" s="161">
        <v>39.325858523255484</v>
      </c>
      <c r="R101" s="159">
        <v>38.476490971067975</v>
      </c>
      <c r="S101" s="160">
        <v>22.197650505676535</v>
      </c>
      <c r="T101" s="84">
        <v>3.8</v>
      </c>
      <c r="U101" s="84">
        <v>10.4</v>
      </c>
      <c r="V101" s="89">
        <v>66</v>
      </c>
      <c r="W101" s="90">
        <v>4.9000000000000004</v>
      </c>
      <c r="X101" s="148">
        <v>56694</v>
      </c>
      <c r="Y101" s="89">
        <v>2.7</v>
      </c>
      <c r="Z101" s="89" t="s">
        <v>340</v>
      </c>
      <c r="AA101" s="85">
        <v>3208</v>
      </c>
      <c r="AB101" s="110" t="s">
        <v>355</v>
      </c>
      <c r="AC101" s="110" t="s">
        <v>355</v>
      </c>
      <c r="AD101" s="110" t="s">
        <v>355</v>
      </c>
      <c r="AE101" s="110" t="s">
        <v>355</v>
      </c>
      <c r="AF101" s="84">
        <v>9.02</v>
      </c>
      <c r="AG101" s="84">
        <v>2.09</v>
      </c>
      <c r="AH101" s="84">
        <v>77.05</v>
      </c>
      <c r="AI101" s="86">
        <v>22.947172852688443</v>
      </c>
      <c r="AJ101" s="84">
        <v>4.76</v>
      </c>
      <c r="AK101" s="84">
        <v>12.61</v>
      </c>
      <c r="AL101" s="84">
        <v>1.4041889091970559</v>
      </c>
      <c r="AM101" s="84">
        <v>7.66</v>
      </c>
      <c r="AN101" s="85">
        <v>119217</v>
      </c>
      <c r="AO101" s="166">
        <v>131083</v>
      </c>
      <c r="AP101" s="85">
        <v>37332</v>
      </c>
      <c r="AQ101" s="135">
        <v>1411.8981884195</v>
      </c>
      <c r="AR101" s="85">
        <v>26441</v>
      </c>
      <c r="AS101" s="85">
        <v>303</v>
      </c>
      <c r="AT101" s="135">
        <v>4094.5945945945946</v>
      </c>
      <c r="AU101" s="85">
        <v>74</v>
      </c>
      <c r="AV101" s="85">
        <v>5688</v>
      </c>
      <c r="AW101" s="135">
        <v>4816.2574089754444</v>
      </c>
      <c r="AX101" s="85">
        <v>1181</v>
      </c>
      <c r="AY101" s="135" t="s">
        <v>379</v>
      </c>
      <c r="AZ101" s="135" t="s">
        <v>379</v>
      </c>
      <c r="BA101" s="89">
        <v>0</v>
      </c>
      <c r="BB101" s="87">
        <v>192.06947374373888</v>
      </c>
      <c r="BC101" s="91">
        <v>22.041526417306457</v>
      </c>
      <c r="BD101" s="85">
        <v>26565</v>
      </c>
      <c r="BE101" s="92">
        <v>29.937454217614246</v>
      </c>
      <c r="BF101" s="85">
        <v>3737</v>
      </c>
      <c r="BG101" s="92">
        <v>4.2114160139741932</v>
      </c>
      <c r="BH101" s="85">
        <v>23404</v>
      </c>
      <c r="BI101" s="92">
        <v>26.375161999211134</v>
      </c>
      <c r="BJ101" s="85">
        <v>6388</v>
      </c>
      <c r="BK101" s="92">
        <v>7.1989632050487407</v>
      </c>
      <c r="BL101" s="85">
        <v>18180</v>
      </c>
      <c r="BM101" s="92">
        <v>20.487969797712289</v>
      </c>
      <c r="BN101" s="85">
        <v>4587</v>
      </c>
      <c r="BO101" s="92">
        <v>5.1693243928551302</v>
      </c>
      <c r="BP101" s="85">
        <v>5874</v>
      </c>
      <c r="BQ101" s="92">
        <v>6.6197103735842671</v>
      </c>
      <c r="BR101" s="165">
        <v>374.18655097613885</v>
      </c>
      <c r="BS101" s="165">
        <v>329.66166154886326</v>
      </c>
      <c r="BT101" s="111">
        <v>0</v>
      </c>
      <c r="BU101" s="165">
        <v>89.979434881820993</v>
      </c>
      <c r="BV101" s="165">
        <v>217.75079584190215</v>
      </c>
      <c r="BW101" s="165">
        <v>52.638251119812942</v>
      </c>
      <c r="BX101" s="165">
        <v>82.739386427021998</v>
      </c>
      <c r="BY101" s="112">
        <v>38.327182578809477</v>
      </c>
      <c r="BZ101" s="165">
        <v>64.611093895258747</v>
      </c>
      <c r="CA101" s="110" t="s">
        <v>355</v>
      </c>
      <c r="CB101" s="112">
        <v>436.00891374639519</v>
      </c>
      <c r="CC101" s="110" t="s">
        <v>355</v>
      </c>
      <c r="CD101" s="110" t="s">
        <v>355</v>
      </c>
      <c r="CE101" s="110" t="s">
        <v>355</v>
      </c>
      <c r="CF101" s="110" t="s">
        <v>355</v>
      </c>
      <c r="CG101" s="110" t="s">
        <v>355</v>
      </c>
      <c r="CH101" s="110" t="s">
        <v>355</v>
      </c>
      <c r="CI101" s="110" t="s">
        <v>355</v>
      </c>
      <c r="CJ101" s="87">
        <v>34179</v>
      </c>
      <c r="CK101" s="92">
        <v>55.314666900728518</v>
      </c>
      <c r="CL101" s="139">
        <v>408.25</v>
      </c>
      <c r="CM101" s="139">
        <v>5.7504859565597091</v>
      </c>
      <c r="CN101" s="139">
        <v>737.94</v>
      </c>
      <c r="CO101" s="115">
        <v>4</v>
      </c>
      <c r="CP101" s="115">
        <v>25</v>
      </c>
      <c r="CQ101" s="110">
        <v>5</v>
      </c>
      <c r="CR101" s="86">
        <v>5.0665822784810128</v>
      </c>
      <c r="CS101" s="85">
        <v>12914</v>
      </c>
      <c r="CT101" s="85">
        <v>11884</v>
      </c>
      <c r="CU101" s="84">
        <v>108.67</v>
      </c>
      <c r="CV101" s="84">
        <v>265.33999999999997</v>
      </c>
      <c r="CW101" s="84">
        <v>1.98</v>
      </c>
      <c r="CX101" s="115" t="s">
        <v>339</v>
      </c>
      <c r="CY101" s="114">
        <v>116000</v>
      </c>
      <c r="CZ101" s="129">
        <v>172000</v>
      </c>
      <c r="DA101" s="129">
        <v>0</v>
      </c>
      <c r="DB101" s="129">
        <v>18912</v>
      </c>
      <c r="DC101" s="129">
        <v>5181</v>
      </c>
      <c r="DD101" s="129">
        <v>306894</v>
      </c>
      <c r="DE101" s="87">
        <v>0</v>
      </c>
      <c r="DF101" s="87">
        <v>0</v>
      </c>
      <c r="DG101" s="114">
        <v>0</v>
      </c>
      <c r="DH101" s="162">
        <v>7</v>
      </c>
      <c r="DI101" s="114">
        <v>10142</v>
      </c>
      <c r="DJ101" s="114">
        <v>43</v>
      </c>
      <c r="DK101" s="114">
        <v>57</v>
      </c>
      <c r="DL101" s="114">
        <v>14</v>
      </c>
      <c r="DM101" s="114">
        <v>0</v>
      </c>
      <c r="DN101" s="114">
        <v>0</v>
      </c>
      <c r="DO101" s="114">
        <v>71</v>
      </c>
      <c r="DP101" s="114">
        <v>29</v>
      </c>
      <c r="DQ101" s="88">
        <v>372</v>
      </c>
      <c r="DR101" s="147">
        <v>190.84408602150538</v>
      </c>
      <c r="DT101" s="55"/>
      <c r="DU101" s="55"/>
    </row>
    <row r="102" spans="1:125" s="32" customFormat="1" ht="15" customHeight="1" thickBot="1">
      <c r="A102" s="100" t="s">
        <v>316</v>
      </c>
      <c r="B102" s="184">
        <v>2017</v>
      </c>
      <c r="C102" s="109">
        <v>5</v>
      </c>
      <c r="D102" s="83" t="s">
        <v>347</v>
      </c>
      <c r="E102" s="83" t="s">
        <v>415</v>
      </c>
      <c r="F102" s="132">
        <v>4566.7</v>
      </c>
      <c r="G102" s="85">
        <v>103012</v>
      </c>
      <c r="H102" s="86">
        <v>6.2779204968687718</v>
      </c>
      <c r="I102" s="132">
        <v>22.557207611623273</v>
      </c>
      <c r="J102" s="85">
        <v>51138</v>
      </c>
      <c r="K102" s="173">
        <v>49.642760066788334</v>
      </c>
      <c r="L102" s="85">
        <v>51874</v>
      </c>
      <c r="M102" s="173">
        <v>50.357239933211659</v>
      </c>
      <c r="N102" s="161">
        <v>22.169261833572786</v>
      </c>
      <c r="O102" s="161">
        <v>44.289985632741818</v>
      </c>
      <c r="P102" s="161">
        <v>33.540752533685399</v>
      </c>
      <c r="Q102" s="161">
        <v>31.968120219003609</v>
      </c>
      <c r="R102" s="159">
        <v>34.491127247310992</v>
      </c>
      <c r="S102" s="160">
        <v>33.540752533685399</v>
      </c>
      <c r="T102" s="84">
        <v>5.5</v>
      </c>
      <c r="U102" s="84">
        <v>4</v>
      </c>
      <c r="V102" s="89">
        <v>50</v>
      </c>
      <c r="W102" s="90">
        <v>9.4</v>
      </c>
      <c r="X102" s="148">
        <v>47246</v>
      </c>
      <c r="Y102" s="89">
        <v>2.2999999999999998</v>
      </c>
      <c r="Z102" s="89" t="s">
        <v>340</v>
      </c>
      <c r="AA102" s="85">
        <v>6934</v>
      </c>
      <c r="AB102" s="110" t="s">
        <v>355</v>
      </c>
      <c r="AC102" s="110" t="s">
        <v>355</v>
      </c>
      <c r="AD102" s="110" t="s">
        <v>355</v>
      </c>
      <c r="AE102" s="110" t="s">
        <v>355</v>
      </c>
      <c r="AF102" s="84">
        <v>7.42</v>
      </c>
      <c r="AG102" s="84">
        <v>1.76</v>
      </c>
      <c r="AH102" s="84">
        <v>80.819999999999993</v>
      </c>
      <c r="AI102" s="86">
        <v>19.180025898996135</v>
      </c>
      <c r="AJ102" s="84">
        <v>8.16</v>
      </c>
      <c r="AK102" s="84">
        <v>5.55</v>
      </c>
      <c r="AL102" s="84">
        <v>6.1047115200943471</v>
      </c>
      <c r="AM102" s="84">
        <v>9.36</v>
      </c>
      <c r="AN102" s="85">
        <v>222949</v>
      </c>
      <c r="AO102" s="85">
        <v>240824</v>
      </c>
      <c r="AP102" s="85">
        <v>60197</v>
      </c>
      <c r="AQ102" s="135">
        <v>1106.1151740105104</v>
      </c>
      <c r="AR102" s="85">
        <v>54422</v>
      </c>
      <c r="AS102" s="85">
        <v>2060</v>
      </c>
      <c r="AT102" s="135">
        <v>2415.0058616647129</v>
      </c>
      <c r="AU102" s="85">
        <v>853</v>
      </c>
      <c r="AV102" s="85">
        <v>4684</v>
      </c>
      <c r="AW102" s="135">
        <v>2074.4021257750223</v>
      </c>
      <c r="AX102" s="85">
        <v>2258</v>
      </c>
      <c r="AY102" s="135" t="s">
        <v>379</v>
      </c>
      <c r="AZ102" s="135" t="s">
        <v>379</v>
      </c>
      <c r="BA102" s="89">
        <v>0</v>
      </c>
      <c r="BB102" s="87">
        <v>241.14708576208901</v>
      </c>
      <c r="BC102" s="91">
        <v>23.281026055639266</v>
      </c>
      <c r="BD102" s="85">
        <v>14729</v>
      </c>
      <c r="BE102" s="92">
        <v>6.6012916642390076</v>
      </c>
      <c r="BF102" s="85">
        <v>61889</v>
      </c>
      <c r="BG102" s="92">
        <v>27.737615575265661</v>
      </c>
      <c r="BH102" s="85">
        <v>41015</v>
      </c>
      <c r="BI102" s="92">
        <v>18.38223759988885</v>
      </c>
      <c r="BJ102" s="85">
        <v>10830</v>
      </c>
      <c r="BK102" s="92">
        <v>4.8538250202802935</v>
      </c>
      <c r="BL102" s="85">
        <v>31236</v>
      </c>
      <c r="BM102" s="92">
        <v>13.999453216387373</v>
      </c>
      <c r="BN102" s="85">
        <v>29296</v>
      </c>
      <c r="BO102" s="92">
        <v>13.129977635653878</v>
      </c>
      <c r="BP102" s="85">
        <v>34128</v>
      </c>
      <c r="BQ102" s="92">
        <v>15.295599288284937</v>
      </c>
      <c r="BR102" s="165">
        <v>142.98334174659263</v>
      </c>
      <c r="BS102" s="165">
        <v>398.1574962140333</v>
      </c>
      <c r="BT102" s="111">
        <v>535.19978254960586</v>
      </c>
      <c r="BU102" s="165">
        <v>105.13338251854152</v>
      </c>
      <c r="BV102" s="165">
        <v>278.28796645051062</v>
      </c>
      <c r="BW102" s="165">
        <v>65.59429969323962</v>
      </c>
      <c r="BX102" s="165">
        <v>331.30120762629599</v>
      </c>
      <c r="BY102" s="112">
        <v>24.938842076651262</v>
      </c>
      <c r="BZ102" s="165">
        <v>284.3940511785035</v>
      </c>
      <c r="CA102" s="110" t="s">
        <v>355</v>
      </c>
      <c r="CB102" s="112">
        <v>493.51386104912825</v>
      </c>
      <c r="CC102" s="110" t="s">
        <v>355</v>
      </c>
      <c r="CD102" s="110" t="s">
        <v>355</v>
      </c>
      <c r="CE102" s="110" t="s">
        <v>355</v>
      </c>
      <c r="CF102" s="110" t="s">
        <v>355</v>
      </c>
      <c r="CG102" s="110" t="s">
        <v>355</v>
      </c>
      <c r="CH102" s="110" t="s">
        <v>355</v>
      </c>
      <c r="CI102" s="110" t="s">
        <v>355</v>
      </c>
      <c r="CJ102" s="87">
        <v>56774</v>
      </c>
      <c r="CK102" s="92">
        <v>87.090921900870129</v>
      </c>
      <c r="CL102" s="139">
        <v>1774.86</v>
      </c>
      <c r="CM102" s="139">
        <v>17.229643148371064</v>
      </c>
      <c r="CN102" s="139">
        <v>2172.98</v>
      </c>
      <c r="CO102" s="115">
        <v>12</v>
      </c>
      <c r="CP102" s="115">
        <v>32</v>
      </c>
      <c r="CQ102" s="110">
        <v>5</v>
      </c>
      <c r="CR102" s="86">
        <v>4.6312165040705757</v>
      </c>
      <c r="CS102" s="85">
        <v>49823</v>
      </c>
      <c r="CT102" s="85">
        <v>56500</v>
      </c>
      <c r="CU102" s="84">
        <v>88.18</v>
      </c>
      <c r="CV102" s="84">
        <v>37.33</v>
      </c>
      <c r="CW102" s="84">
        <v>3.23</v>
      </c>
      <c r="CX102" s="115" t="s">
        <v>339</v>
      </c>
      <c r="CY102" s="114">
        <v>223000</v>
      </c>
      <c r="CZ102" s="129">
        <v>294000</v>
      </c>
      <c r="DA102" s="129">
        <v>0</v>
      </c>
      <c r="DB102" s="129">
        <v>71000</v>
      </c>
      <c r="DC102" s="129">
        <v>7000</v>
      </c>
      <c r="DD102" s="129">
        <v>340780</v>
      </c>
      <c r="DE102" s="87">
        <v>6</v>
      </c>
      <c r="DF102" s="87">
        <v>5400</v>
      </c>
      <c r="DG102" s="114">
        <v>0</v>
      </c>
      <c r="DH102" s="162">
        <v>13</v>
      </c>
      <c r="DI102" s="114">
        <v>7924</v>
      </c>
      <c r="DJ102" s="114">
        <v>46.153846153846153</v>
      </c>
      <c r="DK102" s="114">
        <v>53.846153846153847</v>
      </c>
      <c r="DL102" s="114">
        <v>0</v>
      </c>
      <c r="DM102" s="114">
        <v>8</v>
      </c>
      <c r="DN102" s="114">
        <v>7.6923076923076925</v>
      </c>
      <c r="DO102" s="114">
        <v>38.461538461538467</v>
      </c>
      <c r="DP102" s="114">
        <v>53.846153846153847</v>
      </c>
      <c r="DQ102" s="88">
        <v>842</v>
      </c>
      <c r="DR102" s="147">
        <v>122.34204275534442</v>
      </c>
      <c r="DT102" s="55"/>
      <c r="DU102" s="55"/>
    </row>
    <row r="103" spans="1:125" s="32" customFormat="1" ht="15" customHeight="1" thickBot="1">
      <c r="A103" s="100" t="s">
        <v>30</v>
      </c>
      <c r="B103" s="184">
        <v>2017</v>
      </c>
      <c r="C103" s="109">
        <v>4</v>
      </c>
      <c r="D103" s="83" t="s">
        <v>347</v>
      </c>
      <c r="E103" s="83" t="s">
        <v>412</v>
      </c>
      <c r="F103" s="132">
        <v>4892.7</v>
      </c>
      <c r="G103" s="85">
        <v>23482</v>
      </c>
      <c r="H103" s="86">
        <v>-1.273912129493382</v>
      </c>
      <c r="I103" s="132">
        <v>4.7993950170662414</v>
      </c>
      <c r="J103" s="85">
        <v>11869</v>
      </c>
      <c r="K103" s="173">
        <v>50.545098373222039</v>
      </c>
      <c r="L103" s="85">
        <v>11613</v>
      </c>
      <c r="M103" s="173">
        <v>49.454901626777961</v>
      </c>
      <c r="N103" s="161">
        <v>28.62192317519802</v>
      </c>
      <c r="O103" s="161">
        <v>53.206711523720294</v>
      </c>
      <c r="P103" s="161">
        <v>18.171365301081678</v>
      </c>
      <c r="Q103" s="161">
        <v>41.423217783834424</v>
      </c>
      <c r="R103" s="159">
        <v>40.40541691508389</v>
      </c>
      <c r="S103" s="160">
        <v>18.171365301081678</v>
      </c>
      <c r="T103" s="84">
        <v>5.7</v>
      </c>
      <c r="U103" s="84">
        <v>3.1</v>
      </c>
      <c r="V103" s="89">
        <v>85</v>
      </c>
      <c r="W103" s="90">
        <v>4.2</v>
      </c>
      <c r="X103" s="148">
        <v>72769</v>
      </c>
      <c r="Y103" s="89">
        <v>2.7</v>
      </c>
      <c r="Z103" s="89" t="s">
        <v>345</v>
      </c>
      <c r="AA103" s="85">
        <v>1979</v>
      </c>
      <c r="AB103" s="110" t="s">
        <v>355</v>
      </c>
      <c r="AC103" s="110" t="s">
        <v>355</v>
      </c>
      <c r="AD103" s="110" t="s">
        <v>355</v>
      </c>
      <c r="AE103" s="110" t="s">
        <v>355</v>
      </c>
      <c r="AF103" s="84">
        <v>2.31</v>
      </c>
      <c r="AG103" s="84">
        <v>3.18</v>
      </c>
      <c r="AH103" s="84">
        <v>69.2</v>
      </c>
      <c r="AI103" s="86">
        <v>30.845564736766569</v>
      </c>
      <c r="AJ103" s="84">
        <v>2.77</v>
      </c>
      <c r="AK103" s="84">
        <v>7.93</v>
      </c>
      <c r="AL103" s="84">
        <v>2.9666730274803585</v>
      </c>
      <c r="AM103" s="84">
        <v>15.09</v>
      </c>
      <c r="AN103" s="85">
        <v>54693</v>
      </c>
      <c r="AO103" s="85">
        <v>55891.644</v>
      </c>
      <c r="AP103" s="85">
        <v>8151</v>
      </c>
      <c r="AQ103" s="135">
        <v>897.29194187582561</v>
      </c>
      <c r="AR103" s="85">
        <v>9084</v>
      </c>
      <c r="AS103" s="85">
        <v>1471</v>
      </c>
      <c r="AT103" s="135">
        <v>1890.745501285347</v>
      </c>
      <c r="AU103" s="85">
        <v>778</v>
      </c>
      <c r="AV103" s="85">
        <v>1786</v>
      </c>
      <c r="AW103" s="135">
        <v>1986.6518353726362</v>
      </c>
      <c r="AX103" s="85">
        <v>899</v>
      </c>
      <c r="AY103" s="85">
        <v>6324</v>
      </c>
      <c r="AZ103" s="135">
        <v>137478.26086956522</v>
      </c>
      <c r="BA103" s="89">
        <v>46</v>
      </c>
      <c r="BB103" s="87">
        <v>141.63437891946762</v>
      </c>
      <c r="BC103" s="91">
        <v>12.329370321444298</v>
      </c>
      <c r="BD103" s="85">
        <v>7480</v>
      </c>
      <c r="BE103" s="92">
        <v>13.676338836779845</v>
      </c>
      <c r="BF103" s="85">
        <v>11630</v>
      </c>
      <c r="BG103" s="92">
        <v>21.264147148629622</v>
      </c>
      <c r="BH103" s="85">
        <v>7093</v>
      </c>
      <c r="BI103" s="92">
        <v>12.96875285685554</v>
      </c>
      <c r="BJ103" s="85">
        <v>6954</v>
      </c>
      <c r="BK103" s="92">
        <v>12.714606988097197</v>
      </c>
      <c r="BL103" s="85">
        <v>7894</v>
      </c>
      <c r="BM103" s="92">
        <v>14.433291280419796</v>
      </c>
      <c r="BN103" s="85">
        <v>9692</v>
      </c>
      <c r="BO103" s="92">
        <v>17.72073208637303</v>
      </c>
      <c r="BP103" s="85">
        <v>3950</v>
      </c>
      <c r="BQ103" s="92">
        <v>7.2221308028449709</v>
      </c>
      <c r="BR103" s="165">
        <v>318.54186185163104</v>
      </c>
      <c r="BS103" s="165">
        <v>302.06115322374586</v>
      </c>
      <c r="BT103" s="111">
        <v>422.96226897197852</v>
      </c>
      <c r="BU103" s="165">
        <v>296.14172557703773</v>
      </c>
      <c r="BV103" s="165">
        <v>262.7970360275956</v>
      </c>
      <c r="BW103" s="165">
        <v>72.310706072736565</v>
      </c>
      <c r="BX103" s="165">
        <v>168.21395111148965</v>
      </c>
      <c r="BY103" s="112">
        <v>73.375351332935864</v>
      </c>
      <c r="BZ103" s="165">
        <v>412.74167447406523</v>
      </c>
      <c r="CA103" s="110" t="s">
        <v>355</v>
      </c>
      <c r="CB103" s="112">
        <v>357.02473264488629</v>
      </c>
      <c r="CC103" s="110" t="s">
        <v>355</v>
      </c>
      <c r="CD103" s="110" t="s">
        <v>355</v>
      </c>
      <c r="CE103" s="110" t="s">
        <v>355</v>
      </c>
      <c r="CF103" s="110" t="s">
        <v>355</v>
      </c>
      <c r="CG103" s="110" t="s">
        <v>355</v>
      </c>
      <c r="CH103" s="110" t="s">
        <v>355</v>
      </c>
      <c r="CI103" s="110" t="s">
        <v>355</v>
      </c>
      <c r="CJ103" s="87">
        <v>17348</v>
      </c>
      <c r="CK103" s="92">
        <v>54.726769656444553</v>
      </c>
      <c r="CL103" s="139">
        <v>871.78399999999999</v>
      </c>
      <c r="CM103" s="139">
        <v>37.125628140703519</v>
      </c>
      <c r="CN103" s="139">
        <v>245.3</v>
      </c>
      <c r="CO103" s="115">
        <v>1</v>
      </c>
      <c r="CP103" s="115">
        <v>5</v>
      </c>
      <c r="CQ103" s="110">
        <v>1</v>
      </c>
      <c r="CR103" s="86">
        <v>4.7030558392917943</v>
      </c>
      <c r="CS103" s="85">
        <v>10862</v>
      </c>
      <c r="CT103" s="85">
        <v>13473</v>
      </c>
      <c r="CU103" s="84">
        <v>80.62</v>
      </c>
      <c r="CV103" s="84">
        <v>37.58</v>
      </c>
      <c r="CW103" s="84">
        <v>2.46</v>
      </c>
      <c r="CX103" s="115" t="s">
        <v>339</v>
      </c>
      <c r="CY103" s="114">
        <v>85000</v>
      </c>
      <c r="CZ103" s="129">
        <v>235000</v>
      </c>
      <c r="DA103" s="129">
        <v>0</v>
      </c>
      <c r="DB103" s="129">
        <v>9000</v>
      </c>
      <c r="DC103" s="129">
        <v>2000</v>
      </c>
      <c r="DD103" s="129">
        <v>324155</v>
      </c>
      <c r="DE103" s="87">
        <v>0</v>
      </c>
      <c r="DF103" s="87">
        <v>0</v>
      </c>
      <c r="DG103" s="114">
        <v>0</v>
      </c>
      <c r="DH103" s="162">
        <v>10</v>
      </c>
      <c r="DI103" s="114">
        <v>2348.1999999999998</v>
      </c>
      <c r="DJ103" s="114">
        <v>50</v>
      </c>
      <c r="DK103" s="114">
        <v>50</v>
      </c>
      <c r="DL103" s="114">
        <v>0</v>
      </c>
      <c r="DM103" s="114">
        <v>0</v>
      </c>
      <c r="DN103" s="114">
        <v>0</v>
      </c>
      <c r="DO103" s="114">
        <v>40</v>
      </c>
      <c r="DP103" s="114">
        <v>60</v>
      </c>
      <c r="DQ103" s="88">
        <v>208</v>
      </c>
      <c r="DR103" s="147">
        <v>112.89423076923077</v>
      </c>
      <c r="DT103" s="55"/>
      <c r="DU103" s="55"/>
    </row>
    <row r="104" spans="1:125" s="32" customFormat="1" ht="15" customHeight="1" thickBot="1">
      <c r="A104" s="100" t="s">
        <v>317</v>
      </c>
      <c r="B104" s="184">
        <v>2017</v>
      </c>
      <c r="C104" s="109">
        <v>4</v>
      </c>
      <c r="D104" s="83" t="s">
        <v>347</v>
      </c>
      <c r="E104" s="83" t="s">
        <v>409</v>
      </c>
      <c r="F104" s="132">
        <v>15163.5</v>
      </c>
      <c r="G104" s="85">
        <v>20655</v>
      </c>
      <c r="H104" s="86">
        <v>0.73152889539136456</v>
      </c>
      <c r="I104" s="132">
        <v>1.3621525373429617</v>
      </c>
      <c r="J104" s="85">
        <v>10782</v>
      </c>
      <c r="K104" s="173">
        <v>52.200435729847491</v>
      </c>
      <c r="L104" s="85">
        <v>9873</v>
      </c>
      <c r="M104" s="173">
        <v>47.799564270152509</v>
      </c>
      <c r="N104" s="161">
        <v>23.030743161462116</v>
      </c>
      <c r="O104" s="161">
        <v>51.77438876785282</v>
      </c>
      <c r="P104" s="161">
        <v>25.194868070685061</v>
      </c>
      <c r="Q104" s="161">
        <v>34.737351730815789</v>
      </c>
      <c r="R104" s="159">
        <v>40.06778019849915</v>
      </c>
      <c r="S104" s="160">
        <v>25.194868070685061</v>
      </c>
      <c r="T104" s="84">
        <v>2.2000000000000002</v>
      </c>
      <c r="U104" s="84">
        <v>5.3</v>
      </c>
      <c r="V104" s="89">
        <v>90</v>
      </c>
      <c r="W104" s="90">
        <v>4</v>
      </c>
      <c r="X104" s="148">
        <v>47790</v>
      </c>
      <c r="Y104" s="89">
        <v>2.2999999999999998</v>
      </c>
      <c r="Z104" s="89" t="s">
        <v>353</v>
      </c>
      <c r="AA104" s="85">
        <v>2462</v>
      </c>
      <c r="AB104" s="110" t="s">
        <v>355</v>
      </c>
      <c r="AC104" s="110" t="s">
        <v>355</v>
      </c>
      <c r="AD104" s="110" t="s">
        <v>355</v>
      </c>
      <c r="AE104" s="110" t="s">
        <v>355</v>
      </c>
      <c r="AF104" s="84">
        <v>-3.67</v>
      </c>
      <c r="AG104" s="84">
        <v>4.13</v>
      </c>
      <c r="AH104" s="84">
        <v>66.36</v>
      </c>
      <c r="AI104" s="86">
        <v>33.639921431811459</v>
      </c>
      <c r="AJ104" s="84">
        <v>10.64</v>
      </c>
      <c r="AK104" s="84">
        <v>14.76</v>
      </c>
      <c r="AL104" s="84">
        <v>1.4595722781335772</v>
      </c>
      <c r="AM104" s="84">
        <v>19.72</v>
      </c>
      <c r="AN104" s="85">
        <v>72520</v>
      </c>
      <c r="AO104" s="85">
        <v>69952</v>
      </c>
      <c r="AP104" s="85">
        <v>8004</v>
      </c>
      <c r="AQ104" s="135">
        <v>792.47524752475249</v>
      </c>
      <c r="AR104" s="85">
        <v>10100</v>
      </c>
      <c r="AS104" s="85">
        <v>4842</v>
      </c>
      <c r="AT104" s="135">
        <v>1703.1304959549771</v>
      </c>
      <c r="AU104" s="85">
        <v>2843</v>
      </c>
      <c r="AV104" s="85">
        <v>2361</v>
      </c>
      <c r="AW104" s="135">
        <v>2212.746016869728</v>
      </c>
      <c r="AX104" s="85">
        <v>1067</v>
      </c>
      <c r="AY104" s="135" t="s">
        <v>379</v>
      </c>
      <c r="AZ104" s="135" t="s">
        <v>379</v>
      </c>
      <c r="BA104" s="89">
        <v>0</v>
      </c>
      <c r="BB104" s="87">
        <v>130.36411731439469</v>
      </c>
      <c r="BC104" s="91">
        <v>15.792079207920793</v>
      </c>
      <c r="BD104" s="85">
        <v>12818</v>
      </c>
      <c r="BE104" s="92">
        <v>17.675124103695534</v>
      </c>
      <c r="BF104" s="85">
        <v>16140</v>
      </c>
      <c r="BG104" s="92">
        <v>22.255929398786542</v>
      </c>
      <c r="BH104" s="85">
        <v>8108</v>
      </c>
      <c r="BI104" s="92">
        <v>11.180364037506894</v>
      </c>
      <c r="BJ104" s="85">
        <v>9712</v>
      </c>
      <c r="BK104" s="92">
        <v>13.392167677881964</v>
      </c>
      <c r="BL104" s="85">
        <v>5387</v>
      </c>
      <c r="BM104" s="92">
        <v>7.4282956425813564</v>
      </c>
      <c r="BN104" s="85">
        <v>12476</v>
      </c>
      <c r="BO104" s="92">
        <v>17.203530060672918</v>
      </c>
      <c r="BP104" s="85">
        <v>7879</v>
      </c>
      <c r="BQ104" s="92">
        <v>10.864589078874793</v>
      </c>
      <c r="BR104" s="165">
        <v>620.57613168724276</v>
      </c>
      <c r="BS104" s="165">
        <v>392.54417816509317</v>
      </c>
      <c r="BT104" s="111">
        <v>677.41466957153227</v>
      </c>
      <c r="BU104" s="165">
        <v>470.20091987412246</v>
      </c>
      <c r="BV104" s="165">
        <v>227.06366497216172</v>
      </c>
      <c r="BW104" s="165">
        <v>103.99419026870007</v>
      </c>
      <c r="BX104" s="165">
        <v>381.4572742677318</v>
      </c>
      <c r="BY104" s="112">
        <v>33.744855967078188</v>
      </c>
      <c r="BZ104" s="165">
        <v>604.01839748244981</v>
      </c>
      <c r="CA104" s="110" t="s">
        <v>355</v>
      </c>
      <c r="CB104" s="112">
        <v>436.70189343901365</v>
      </c>
      <c r="CC104" s="110" t="s">
        <v>355</v>
      </c>
      <c r="CD104" s="110" t="s">
        <v>355</v>
      </c>
      <c r="CE104" s="110" t="s">
        <v>355</v>
      </c>
      <c r="CF104" s="110" t="s">
        <v>355</v>
      </c>
      <c r="CG104" s="110" t="s">
        <v>355</v>
      </c>
      <c r="CH104" s="110" t="s">
        <v>355</v>
      </c>
      <c r="CI104" s="110" t="s">
        <v>355</v>
      </c>
      <c r="CJ104" s="87">
        <v>12053</v>
      </c>
      <c r="CK104" s="92">
        <v>57.869410105367955</v>
      </c>
      <c r="CL104" s="139">
        <v>2684.7599999999998</v>
      </c>
      <c r="CM104" s="139">
        <v>129.98111837327522</v>
      </c>
      <c r="CN104" s="139">
        <v>559.13</v>
      </c>
      <c r="CO104" s="115">
        <v>5</v>
      </c>
      <c r="CP104" s="115">
        <v>27</v>
      </c>
      <c r="CQ104" s="110">
        <v>2</v>
      </c>
      <c r="CR104" s="86">
        <v>4.7096509438516874</v>
      </c>
      <c r="CS104" s="85">
        <v>8423</v>
      </c>
      <c r="CT104" s="85">
        <v>11823.912859999999</v>
      </c>
      <c r="CU104" s="84">
        <v>71.239999999999995</v>
      </c>
      <c r="CV104" s="84">
        <v>18.27</v>
      </c>
      <c r="CW104" s="84">
        <v>6.45</v>
      </c>
      <c r="CX104" s="115" t="s">
        <v>339</v>
      </c>
      <c r="CY104" s="114">
        <v>59000</v>
      </c>
      <c r="CZ104" s="129">
        <v>244000</v>
      </c>
      <c r="DA104" s="129">
        <v>0</v>
      </c>
      <c r="DB104" s="129">
        <v>1000</v>
      </c>
      <c r="DC104" s="129">
        <v>22000</v>
      </c>
      <c r="DD104" s="129">
        <v>250000</v>
      </c>
      <c r="DE104" s="87">
        <v>3</v>
      </c>
      <c r="DF104" s="87">
        <v>1500</v>
      </c>
      <c r="DG104" s="114">
        <v>0</v>
      </c>
      <c r="DH104" s="162">
        <v>11</v>
      </c>
      <c r="DI104" s="114">
        <v>1877.7272727272727</v>
      </c>
      <c r="DJ104" s="114">
        <v>18</v>
      </c>
      <c r="DK104" s="114">
        <v>82</v>
      </c>
      <c r="DL104" s="114">
        <v>0</v>
      </c>
      <c r="DM104" s="114">
        <v>0</v>
      </c>
      <c r="DN104" s="114">
        <v>9</v>
      </c>
      <c r="DO104" s="114">
        <v>27</v>
      </c>
      <c r="DP104" s="114">
        <v>64</v>
      </c>
      <c r="DQ104" s="88">
        <v>340</v>
      </c>
      <c r="DR104" s="147">
        <v>60.75</v>
      </c>
      <c r="DT104" s="55"/>
      <c r="DU104" s="55"/>
    </row>
    <row r="105" spans="1:125" s="32" customFormat="1" ht="15" customHeight="1" thickBot="1">
      <c r="A105" s="100" t="s">
        <v>318</v>
      </c>
      <c r="B105" s="184">
        <v>2017</v>
      </c>
      <c r="C105" s="109">
        <v>11</v>
      </c>
      <c r="D105" s="83" t="s">
        <v>350</v>
      </c>
      <c r="E105" s="83" t="s">
        <v>409</v>
      </c>
      <c r="F105" s="132">
        <v>8959</v>
      </c>
      <c r="G105" s="85">
        <v>14552</v>
      </c>
      <c r="H105" s="86">
        <v>-1.7221584385763489</v>
      </c>
      <c r="I105" s="132">
        <v>1.6242884250474383</v>
      </c>
      <c r="J105" s="85">
        <v>7365</v>
      </c>
      <c r="K105" s="173">
        <v>50.611599780098956</v>
      </c>
      <c r="L105" s="85">
        <v>7187</v>
      </c>
      <c r="M105" s="173">
        <v>49.388400219901044</v>
      </c>
      <c r="N105" s="161">
        <v>24.340296866410117</v>
      </c>
      <c r="O105" s="161">
        <v>46.866410115448048</v>
      </c>
      <c r="P105" s="161">
        <v>28.793293018141835</v>
      </c>
      <c r="Q105" s="161">
        <v>33.562396921385378</v>
      </c>
      <c r="R105" s="159">
        <v>37.644310060472783</v>
      </c>
      <c r="S105" s="160">
        <v>28.793293018141835</v>
      </c>
      <c r="T105" s="84">
        <v>4.4000000000000004</v>
      </c>
      <c r="U105" s="84">
        <v>3.5</v>
      </c>
      <c r="V105" s="89">
        <v>34</v>
      </c>
      <c r="W105" s="90">
        <v>5.6</v>
      </c>
      <c r="X105" s="148">
        <v>50491</v>
      </c>
      <c r="Y105" s="89">
        <v>2.2999999999999998</v>
      </c>
      <c r="Z105" s="89" t="s">
        <v>342</v>
      </c>
      <c r="AA105" s="85">
        <v>1465</v>
      </c>
      <c r="AB105" s="110" t="s">
        <v>355</v>
      </c>
      <c r="AC105" s="110" t="s">
        <v>355</v>
      </c>
      <c r="AD105" s="110" t="s">
        <v>355</v>
      </c>
      <c r="AE105" s="110" t="s">
        <v>355</v>
      </c>
      <c r="AF105" s="84">
        <v>-7.95</v>
      </c>
      <c r="AG105" s="84">
        <v>5.75</v>
      </c>
      <c r="AH105" s="84">
        <v>66.81</v>
      </c>
      <c r="AI105" s="86">
        <v>33.193982744839943</v>
      </c>
      <c r="AJ105" s="84">
        <v>3.18</v>
      </c>
      <c r="AK105" s="84">
        <v>4.12</v>
      </c>
      <c r="AL105" s="84">
        <v>4.0318511856450296</v>
      </c>
      <c r="AM105" s="84">
        <v>11.3</v>
      </c>
      <c r="AN105" s="85">
        <v>49210</v>
      </c>
      <c r="AO105" s="85">
        <v>45587</v>
      </c>
      <c r="AP105" s="85">
        <v>3589</v>
      </c>
      <c r="AQ105" s="135">
        <v>590.7818930041152</v>
      </c>
      <c r="AR105" s="85">
        <v>6075</v>
      </c>
      <c r="AS105" s="85">
        <v>3840</v>
      </c>
      <c r="AT105" s="135">
        <v>1819.9052132701422</v>
      </c>
      <c r="AU105" s="85">
        <v>2110</v>
      </c>
      <c r="AV105" s="85">
        <v>948</v>
      </c>
      <c r="AW105" s="135">
        <v>1559.2105263157894</v>
      </c>
      <c r="AX105" s="85">
        <v>608</v>
      </c>
      <c r="AY105" s="135" t="s">
        <v>379</v>
      </c>
      <c r="AZ105" s="135" t="s">
        <v>379</v>
      </c>
      <c r="BA105" s="89">
        <v>0</v>
      </c>
      <c r="BB105" s="87">
        <v>151.35989554733197</v>
      </c>
      <c r="BC105" s="91">
        <v>28.016460905349795</v>
      </c>
      <c r="BD105" s="85">
        <v>10898</v>
      </c>
      <c r="BE105" s="92">
        <v>20.055207949944791</v>
      </c>
      <c r="BF105" s="85">
        <v>13012</v>
      </c>
      <c r="BG105" s="92">
        <v>23.945528156054472</v>
      </c>
      <c r="BH105" s="85">
        <v>3235</v>
      </c>
      <c r="BI105" s="92">
        <v>5.9532572690467429</v>
      </c>
      <c r="BJ105" s="85">
        <v>3499</v>
      </c>
      <c r="BK105" s="92">
        <v>6.4390872285609122</v>
      </c>
      <c r="BL105" s="85">
        <v>4454</v>
      </c>
      <c r="BM105" s="92">
        <v>8.1965403018034593</v>
      </c>
      <c r="BN105" s="85">
        <v>9952</v>
      </c>
      <c r="BO105" s="92">
        <v>18.314317261685684</v>
      </c>
      <c r="BP105" s="85">
        <v>9290</v>
      </c>
      <c r="BQ105" s="92">
        <v>17.096061832903938</v>
      </c>
      <c r="BR105" s="165">
        <v>748.90049477735022</v>
      </c>
      <c r="BS105" s="165">
        <v>222.30621220450797</v>
      </c>
      <c r="BT105" s="111">
        <v>717.15228147333698</v>
      </c>
      <c r="BU105" s="165">
        <v>240.4480483782298</v>
      </c>
      <c r="BV105" s="165">
        <v>254.8103353490929</v>
      </c>
      <c r="BW105" s="165">
        <v>177.02034084661904</v>
      </c>
      <c r="BX105" s="165">
        <v>638.40021990104458</v>
      </c>
      <c r="BY105" s="112">
        <v>51.264431006047282</v>
      </c>
      <c r="BZ105" s="165">
        <v>683.89224848818037</v>
      </c>
      <c r="CA105" s="110" t="s">
        <v>355</v>
      </c>
      <c r="CB105" s="112">
        <v>236.03960396039605</v>
      </c>
      <c r="CC105" s="110" t="s">
        <v>355</v>
      </c>
      <c r="CD105" s="110" t="s">
        <v>355</v>
      </c>
      <c r="CE105" s="110" t="s">
        <v>355</v>
      </c>
      <c r="CF105" s="110" t="s">
        <v>355</v>
      </c>
      <c r="CG105" s="110" t="s">
        <v>355</v>
      </c>
      <c r="CH105" s="110" t="s">
        <v>355</v>
      </c>
      <c r="CI105" s="110" t="s">
        <v>355</v>
      </c>
      <c r="CJ105" s="87">
        <v>11019</v>
      </c>
      <c r="CK105" s="92">
        <v>53.235320809510846</v>
      </c>
      <c r="CL105" s="139">
        <v>1194.6702999999998</v>
      </c>
      <c r="CM105" s="139">
        <v>82.096639637163264</v>
      </c>
      <c r="CN105" s="139">
        <v>331</v>
      </c>
      <c r="CO105" s="115">
        <v>5</v>
      </c>
      <c r="CP105" s="115">
        <v>9</v>
      </c>
      <c r="CQ105" s="110">
        <v>5</v>
      </c>
      <c r="CR105" s="86">
        <v>5.6181593745713894</v>
      </c>
      <c r="CS105" s="85">
        <v>3649</v>
      </c>
      <c r="CT105" s="85">
        <v>3792</v>
      </c>
      <c r="CU105" s="84">
        <v>96.23</v>
      </c>
      <c r="CV105" s="84">
        <v>73.41</v>
      </c>
      <c r="CW105" s="84">
        <v>0.26</v>
      </c>
      <c r="CX105" s="115" t="s">
        <v>339</v>
      </c>
      <c r="CY105" s="114">
        <v>282000</v>
      </c>
      <c r="CZ105" s="129">
        <v>0</v>
      </c>
      <c r="DA105" s="129">
        <v>0</v>
      </c>
      <c r="DB105" s="129">
        <v>15000</v>
      </c>
      <c r="DC105" s="129">
        <v>0</v>
      </c>
      <c r="DD105" s="129">
        <v>227300</v>
      </c>
      <c r="DE105" s="87">
        <v>3</v>
      </c>
      <c r="DF105" s="87">
        <v>1810</v>
      </c>
      <c r="DG105" s="114">
        <v>0</v>
      </c>
      <c r="DH105" s="163">
        <v>9</v>
      </c>
      <c r="DI105" s="114">
        <v>1616.8888888888889</v>
      </c>
      <c r="DJ105" s="114">
        <v>44</v>
      </c>
      <c r="DK105" s="114">
        <v>56</v>
      </c>
      <c r="DL105" s="114">
        <v>0</v>
      </c>
      <c r="DM105" s="114">
        <v>11</v>
      </c>
      <c r="DN105" s="114">
        <v>11</v>
      </c>
      <c r="DO105" s="114">
        <v>33</v>
      </c>
      <c r="DP105" s="114">
        <v>56</v>
      </c>
      <c r="DQ105" s="88">
        <v>228</v>
      </c>
      <c r="DR105" s="147">
        <v>63.824561403508774</v>
      </c>
      <c r="DT105" s="55"/>
      <c r="DU105" s="55"/>
    </row>
    <row r="106" spans="1:125" s="32" customFormat="1" ht="15" customHeight="1" thickBot="1">
      <c r="A106" s="100" t="s">
        <v>319</v>
      </c>
      <c r="B106" s="184">
        <v>2017</v>
      </c>
      <c r="C106" s="109">
        <v>2</v>
      </c>
      <c r="D106" s="83" t="s">
        <v>349</v>
      </c>
      <c r="E106" s="83"/>
      <c r="F106" s="132">
        <v>14</v>
      </c>
      <c r="G106" s="85">
        <v>43803</v>
      </c>
      <c r="H106" s="86">
        <v>16.296296296296298</v>
      </c>
      <c r="I106" s="132">
        <v>3128.7857142857142</v>
      </c>
      <c r="J106" s="85">
        <v>22412</v>
      </c>
      <c r="K106" s="173">
        <v>51.165445289135448</v>
      </c>
      <c r="L106" s="85">
        <v>21391</v>
      </c>
      <c r="M106" s="173">
        <v>48.834554710864552</v>
      </c>
      <c r="N106" s="161">
        <v>20.934639179964844</v>
      </c>
      <c r="O106" s="161">
        <v>63.08472022464214</v>
      </c>
      <c r="P106" s="161">
        <v>15.980640595393009</v>
      </c>
      <c r="Q106" s="161">
        <v>44.047211378216105</v>
      </c>
      <c r="R106" s="159">
        <v>39.972148026390883</v>
      </c>
      <c r="S106" s="160">
        <v>15.980640595393009</v>
      </c>
      <c r="T106" s="84">
        <v>0.3</v>
      </c>
      <c r="U106" s="84">
        <v>64.2</v>
      </c>
      <c r="V106" s="89">
        <v>113</v>
      </c>
      <c r="W106" s="90">
        <v>4.3</v>
      </c>
      <c r="X106" s="148">
        <v>56935</v>
      </c>
      <c r="Y106" s="89">
        <v>3</v>
      </c>
      <c r="Z106" s="89" t="s">
        <v>340</v>
      </c>
      <c r="AA106" s="85">
        <v>5868</v>
      </c>
      <c r="AB106" s="110" t="s">
        <v>355</v>
      </c>
      <c r="AC106" s="110" t="s">
        <v>355</v>
      </c>
      <c r="AD106" s="110" t="s">
        <v>355</v>
      </c>
      <c r="AE106" s="110" t="s">
        <v>355</v>
      </c>
      <c r="AF106" s="84">
        <v>7.43</v>
      </c>
      <c r="AG106" s="84">
        <v>3.7</v>
      </c>
      <c r="AH106" s="84">
        <v>72.33</v>
      </c>
      <c r="AI106" s="86">
        <v>27.673088350239063</v>
      </c>
      <c r="AJ106" s="84">
        <v>2.2400000000000002</v>
      </c>
      <c r="AK106" s="84">
        <v>0</v>
      </c>
      <c r="AL106" s="84">
        <v>0</v>
      </c>
      <c r="AM106" s="84">
        <v>17.7</v>
      </c>
      <c r="AN106" s="85">
        <v>37473</v>
      </c>
      <c r="AO106" s="85">
        <v>40480</v>
      </c>
      <c r="AP106" s="85">
        <v>11906</v>
      </c>
      <c r="AQ106" s="135">
        <v>803.91627278865633</v>
      </c>
      <c r="AR106" s="85">
        <v>14810</v>
      </c>
      <c r="AS106" s="135" t="s">
        <v>379</v>
      </c>
      <c r="AT106" s="135" t="s">
        <v>379</v>
      </c>
      <c r="AU106" s="135" t="s">
        <v>379</v>
      </c>
      <c r="AV106" s="85">
        <v>5141</v>
      </c>
      <c r="AW106" s="135">
        <v>4746.9990766389656</v>
      </c>
      <c r="AX106" s="85">
        <v>1083</v>
      </c>
      <c r="AY106" s="135" t="s">
        <v>379</v>
      </c>
      <c r="AZ106" s="135" t="s">
        <v>379</v>
      </c>
      <c r="BA106" s="89">
        <v>0</v>
      </c>
      <c r="BB106" s="87">
        <v>739.86065935355191</v>
      </c>
      <c r="BC106" s="91">
        <v>7.6839972991222156</v>
      </c>
      <c r="BD106" s="85">
        <v>5454</v>
      </c>
      <c r="BE106" s="92">
        <v>13.797116114343536</v>
      </c>
      <c r="BF106" s="85">
        <v>2996</v>
      </c>
      <c r="BG106" s="92">
        <v>7.5790538831267389</v>
      </c>
      <c r="BH106" s="85">
        <v>9882</v>
      </c>
      <c r="BI106" s="92">
        <v>24.998735137869975</v>
      </c>
      <c r="BJ106" s="85">
        <v>3373</v>
      </c>
      <c r="BK106" s="92">
        <v>8.5327599291677192</v>
      </c>
      <c r="BL106" s="85">
        <v>8644</v>
      </c>
      <c r="BM106" s="92">
        <v>21.866936503921071</v>
      </c>
      <c r="BN106" s="85">
        <v>3981</v>
      </c>
      <c r="BO106" s="92">
        <v>10.070832279281557</v>
      </c>
      <c r="BP106" s="85">
        <v>5200</v>
      </c>
      <c r="BQ106" s="92">
        <v>13.154566152289402</v>
      </c>
      <c r="BR106" s="165">
        <v>124.51201972467639</v>
      </c>
      <c r="BS106" s="165">
        <v>225.60098623381961</v>
      </c>
      <c r="BT106" s="111">
        <v>0</v>
      </c>
      <c r="BU106" s="165">
        <v>77.003858183229454</v>
      </c>
      <c r="BV106" s="165">
        <v>158.73342008538228</v>
      </c>
      <c r="BW106" s="165">
        <v>68.397141748282081</v>
      </c>
      <c r="BX106" s="165">
        <v>118.71333013720522</v>
      </c>
      <c r="BY106" s="112">
        <v>38.604661781156544</v>
      </c>
      <c r="BZ106" s="165">
        <v>90.884186014656535</v>
      </c>
      <c r="CA106" s="110" t="s">
        <v>355</v>
      </c>
      <c r="CB106" s="112">
        <v>300.9053497942387</v>
      </c>
      <c r="CC106" s="110" t="s">
        <v>355</v>
      </c>
      <c r="CD106" s="110" t="s">
        <v>355</v>
      </c>
      <c r="CE106" s="110" t="s">
        <v>355</v>
      </c>
      <c r="CF106" s="110" t="s">
        <v>355</v>
      </c>
      <c r="CG106" s="110" t="s">
        <v>355</v>
      </c>
      <c r="CH106" s="110" t="s">
        <v>355</v>
      </c>
      <c r="CI106" s="110" t="s">
        <v>355</v>
      </c>
      <c r="CJ106" s="87">
        <v>6563</v>
      </c>
      <c r="CK106" s="92">
        <v>42.541520646046017</v>
      </c>
      <c r="CL106" s="139">
        <v>97.1</v>
      </c>
      <c r="CM106" s="139">
        <v>2.2167431454466588</v>
      </c>
      <c r="CN106" s="139">
        <v>116.41</v>
      </c>
      <c r="CO106" s="115">
        <v>0</v>
      </c>
      <c r="CP106" s="115">
        <v>4</v>
      </c>
      <c r="CQ106" s="110">
        <v>2</v>
      </c>
      <c r="CR106" s="86">
        <v>5.3800390042445798</v>
      </c>
      <c r="CS106" s="85">
        <v>10559</v>
      </c>
      <c r="CT106" s="85">
        <v>10258</v>
      </c>
      <c r="CU106" s="84">
        <v>102.93</v>
      </c>
      <c r="CV106" s="84">
        <v>373.08</v>
      </c>
      <c r="CW106" s="84">
        <v>1.2</v>
      </c>
      <c r="CX106" s="115" t="s">
        <v>339</v>
      </c>
      <c r="CY106" s="114">
        <v>45000</v>
      </c>
      <c r="CZ106" s="129">
        <v>180000</v>
      </c>
      <c r="DA106" s="129">
        <v>0</v>
      </c>
      <c r="DB106" s="129">
        <v>16000</v>
      </c>
      <c r="DC106" s="129">
        <v>0</v>
      </c>
      <c r="DD106" s="129">
        <v>373000</v>
      </c>
      <c r="DE106" s="87">
        <v>0</v>
      </c>
      <c r="DF106" s="87">
        <v>0</v>
      </c>
      <c r="DG106" s="114">
        <v>0</v>
      </c>
      <c r="DH106" s="162">
        <v>7</v>
      </c>
      <c r="DI106" s="114">
        <v>6257.5714285714284</v>
      </c>
      <c r="DJ106" s="114">
        <v>57</v>
      </c>
      <c r="DK106" s="114">
        <v>43</v>
      </c>
      <c r="DL106" s="114">
        <v>0</v>
      </c>
      <c r="DM106" s="114">
        <v>0</v>
      </c>
      <c r="DN106" s="114">
        <v>0</v>
      </c>
      <c r="DO106" s="114">
        <v>71</v>
      </c>
      <c r="DP106" s="114">
        <v>29</v>
      </c>
      <c r="DQ106" s="88">
        <v>207</v>
      </c>
      <c r="DR106" s="147">
        <v>211.60869565217391</v>
      </c>
      <c r="DT106" s="55"/>
      <c r="DU106" s="55"/>
    </row>
    <row r="107" spans="1:125" s="32" customFormat="1" ht="15" customHeight="1" thickBot="1">
      <c r="A107" s="100" t="s">
        <v>320</v>
      </c>
      <c r="B107" s="184">
        <v>2017</v>
      </c>
      <c r="C107" s="109">
        <v>3</v>
      </c>
      <c r="D107" s="83" t="s">
        <v>349</v>
      </c>
      <c r="E107" s="83"/>
      <c r="F107" s="132">
        <v>333.6</v>
      </c>
      <c r="G107" s="85">
        <v>227546</v>
      </c>
      <c r="H107" s="86">
        <v>2.8935504438224458</v>
      </c>
      <c r="I107" s="132">
        <v>682.09232613908864</v>
      </c>
      <c r="J107" s="85">
        <v>112003</v>
      </c>
      <c r="K107" s="173">
        <v>49.222135304509855</v>
      </c>
      <c r="L107" s="85">
        <v>115543</v>
      </c>
      <c r="M107" s="173">
        <v>50.777864695490138</v>
      </c>
      <c r="N107" s="161">
        <v>25.147882186459004</v>
      </c>
      <c r="O107" s="161">
        <v>52.458404015012349</v>
      </c>
      <c r="P107" s="161">
        <v>22.393713798528651</v>
      </c>
      <c r="Q107" s="161">
        <v>37.534388651085933</v>
      </c>
      <c r="R107" s="159">
        <v>40.071897550385415</v>
      </c>
      <c r="S107" s="160">
        <v>22.393713798528651</v>
      </c>
      <c r="T107" s="84">
        <v>1.1000000000000001</v>
      </c>
      <c r="U107" s="84">
        <v>13</v>
      </c>
      <c r="V107" s="89">
        <v>114</v>
      </c>
      <c r="W107" s="90">
        <v>2.8</v>
      </c>
      <c r="X107" s="148">
        <v>69825</v>
      </c>
      <c r="Y107" s="89">
        <v>2.7</v>
      </c>
      <c r="Z107" s="89" t="s">
        <v>340</v>
      </c>
      <c r="AA107" s="85">
        <v>21705</v>
      </c>
      <c r="AB107" s="110" t="s">
        <v>355</v>
      </c>
      <c r="AC107" s="110" t="s">
        <v>355</v>
      </c>
      <c r="AD107" s="110" t="s">
        <v>355</v>
      </c>
      <c r="AE107" s="110" t="s">
        <v>355</v>
      </c>
      <c r="AF107" s="84">
        <v>3.15</v>
      </c>
      <c r="AG107" s="84">
        <v>2.91</v>
      </c>
      <c r="AH107" s="84">
        <v>83.98</v>
      </c>
      <c r="AI107" s="86">
        <v>16.022012291139511</v>
      </c>
      <c r="AJ107" s="84">
        <v>3.58</v>
      </c>
      <c r="AK107" s="84">
        <v>17.8</v>
      </c>
      <c r="AL107" s="84">
        <v>0.71058318198088322</v>
      </c>
      <c r="AM107" s="84">
        <v>7.72</v>
      </c>
      <c r="AN107" s="85">
        <v>218979</v>
      </c>
      <c r="AO107" s="85">
        <v>226293</v>
      </c>
      <c r="AP107" s="85">
        <v>96911</v>
      </c>
      <c r="AQ107" s="135">
        <v>1188.6982226746968</v>
      </c>
      <c r="AR107" s="85">
        <v>81527</v>
      </c>
      <c r="AS107" s="135" t="s">
        <v>379</v>
      </c>
      <c r="AT107" s="135" t="s">
        <v>379</v>
      </c>
      <c r="AU107" s="135" t="s">
        <v>379</v>
      </c>
      <c r="AV107" s="85">
        <v>16810</v>
      </c>
      <c r="AW107" s="135">
        <v>3637.7407487556807</v>
      </c>
      <c r="AX107" s="85">
        <v>4621</v>
      </c>
      <c r="AY107" s="135" t="s">
        <v>379</v>
      </c>
      <c r="AZ107" s="135" t="s">
        <v>379</v>
      </c>
      <c r="BA107" s="89">
        <v>0</v>
      </c>
      <c r="BB107" s="87">
        <v>480.98603191143235</v>
      </c>
      <c r="BC107" s="91">
        <v>15.674561801611736</v>
      </c>
      <c r="BD107" s="85">
        <v>44759</v>
      </c>
      <c r="BE107" s="92">
        <v>20.41515389246684</v>
      </c>
      <c r="BF107" s="85">
        <v>17637</v>
      </c>
      <c r="BG107" s="92">
        <v>8.0444618780901642</v>
      </c>
      <c r="BH107" s="85">
        <v>44716</v>
      </c>
      <c r="BI107" s="92">
        <v>20.395541041031908</v>
      </c>
      <c r="BJ107" s="85">
        <v>22248</v>
      </c>
      <c r="BK107" s="92">
        <v>10.147598109868456</v>
      </c>
      <c r="BL107" s="85">
        <v>51639</v>
      </c>
      <c r="BM107" s="92">
        <v>23.553210122055791</v>
      </c>
      <c r="BN107" s="85">
        <v>25400</v>
      </c>
      <c r="BO107" s="92">
        <v>11.585265731331303</v>
      </c>
      <c r="BP107" s="85">
        <v>12845</v>
      </c>
      <c r="BQ107" s="92">
        <v>5.8587692251555339</v>
      </c>
      <c r="BR107" s="165">
        <v>196.70308421154405</v>
      </c>
      <c r="BS107" s="165">
        <v>196.51411143241367</v>
      </c>
      <c r="BT107" s="111">
        <v>0</v>
      </c>
      <c r="BU107" s="165">
        <v>97.773636978896576</v>
      </c>
      <c r="BV107" s="165">
        <v>191.93921229114113</v>
      </c>
      <c r="BW107" s="165">
        <v>77.509602454009297</v>
      </c>
      <c r="BX107" s="165">
        <v>56.450124370456962</v>
      </c>
      <c r="BY107" s="112">
        <v>34.999516581262689</v>
      </c>
      <c r="BZ107" s="165">
        <v>111.62578116073233</v>
      </c>
      <c r="CA107" s="110" t="s">
        <v>355</v>
      </c>
      <c r="CB107" s="112">
        <v>692.8426738690074</v>
      </c>
      <c r="CC107" s="110" t="s">
        <v>355</v>
      </c>
      <c r="CD107" s="110" t="s">
        <v>355</v>
      </c>
      <c r="CE107" s="110" t="s">
        <v>355</v>
      </c>
      <c r="CF107" s="110" t="s">
        <v>355</v>
      </c>
      <c r="CG107" s="110" t="s">
        <v>355</v>
      </c>
      <c r="CH107" s="110" t="s">
        <v>355</v>
      </c>
      <c r="CI107" s="110" t="s">
        <v>355</v>
      </c>
      <c r="CJ107" s="87">
        <v>71572</v>
      </c>
      <c r="CK107" s="92">
        <v>91.154362041021628</v>
      </c>
      <c r="CL107" s="139">
        <v>824.52</v>
      </c>
      <c r="CM107" s="139">
        <v>3.6235310662459459</v>
      </c>
      <c r="CN107" s="139">
        <v>2672.69</v>
      </c>
      <c r="CO107" s="115">
        <v>13</v>
      </c>
      <c r="CP107" s="115">
        <v>37</v>
      </c>
      <c r="CQ107" s="110">
        <v>8</v>
      </c>
      <c r="CR107" s="86">
        <v>6.9070122823937679</v>
      </c>
      <c r="CS107" s="85">
        <v>27991</v>
      </c>
      <c r="CT107" s="85">
        <v>30859</v>
      </c>
      <c r="CU107" s="84">
        <v>90.71</v>
      </c>
      <c r="CV107" s="84">
        <v>105.54</v>
      </c>
      <c r="CW107" s="84">
        <v>2.13</v>
      </c>
      <c r="CX107" s="115" t="s">
        <v>339</v>
      </c>
      <c r="CY107" s="114">
        <v>59000</v>
      </c>
      <c r="CZ107" s="129">
        <v>516000</v>
      </c>
      <c r="DA107" s="129">
        <v>0</v>
      </c>
      <c r="DB107" s="129">
        <v>8990</v>
      </c>
      <c r="DC107" s="129">
        <v>0</v>
      </c>
      <c r="DD107" s="129">
        <v>430756</v>
      </c>
      <c r="DE107" s="87">
        <v>0</v>
      </c>
      <c r="DF107" s="87">
        <v>0</v>
      </c>
      <c r="DG107" s="114">
        <v>0</v>
      </c>
      <c r="DH107" s="162">
        <v>15</v>
      </c>
      <c r="DI107" s="114">
        <v>15169.733333333334</v>
      </c>
      <c r="DJ107" s="114">
        <v>21</v>
      </c>
      <c r="DK107" s="114">
        <v>79</v>
      </c>
      <c r="DL107" s="114">
        <v>0</v>
      </c>
      <c r="DM107" s="114">
        <v>14</v>
      </c>
      <c r="DN107" s="114">
        <v>20</v>
      </c>
      <c r="DO107" s="114">
        <v>33</v>
      </c>
      <c r="DP107" s="114">
        <v>47</v>
      </c>
      <c r="DQ107" s="88">
        <v>1021</v>
      </c>
      <c r="DR107" s="147">
        <v>222.86581782566111</v>
      </c>
      <c r="DT107" s="55"/>
      <c r="DU107" s="55"/>
    </row>
    <row r="108" spans="1:125" s="32" customFormat="1" ht="15" customHeight="1" thickBot="1">
      <c r="A108" s="100" t="s">
        <v>321</v>
      </c>
      <c r="B108" s="184">
        <v>2017</v>
      </c>
      <c r="C108" s="109">
        <v>1</v>
      </c>
      <c r="D108" s="83" t="s">
        <v>349</v>
      </c>
      <c r="E108" s="83"/>
      <c r="F108" s="132">
        <v>26.7</v>
      </c>
      <c r="G108" s="85">
        <v>232926</v>
      </c>
      <c r="H108" s="86">
        <v>24.186797895084801</v>
      </c>
      <c r="I108" s="132">
        <v>8723.820224719102</v>
      </c>
      <c r="J108" s="85">
        <v>120965</v>
      </c>
      <c r="K108" s="173">
        <v>51.932802692700683</v>
      </c>
      <c r="L108" s="85">
        <v>111961</v>
      </c>
      <c r="M108" s="173">
        <v>48.067197307299317</v>
      </c>
      <c r="N108" s="161">
        <v>10.478864532083151</v>
      </c>
      <c r="O108" s="161">
        <v>77.662433562590692</v>
      </c>
      <c r="P108" s="161">
        <v>11.858701905326155</v>
      </c>
      <c r="Q108" s="161">
        <v>43.512531877076839</v>
      </c>
      <c r="R108" s="159">
        <v>44.628766217597004</v>
      </c>
      <c r="S108" s="160">
        <v>11.858701905326155</v>
      </c>
      <c r="T108" s="84">
        <v>1.2</v>
      </c>
      <c r="U108" s="84">
        <v>36.200000000000003</v>
      </c>
      <c r="V108" s="89">
        <v>116</v>
      </c>
      <c r="W108" s="90">
        <v>3.5</v>
      </c>
      <c r="X108" s="148">
        <v>68007</v>
      </c>
      <c r="Y108" s="89">
        <v>2</v>
      </c>
      <c r="Z108" s="89" t="s">
        <v>344</v>
      </c>
      <c r="AA108" s="85">
        <v>66697</v>
      </c>
      <c r="AB108" s="110" t="s">
        <v>355</v>
      </c>
      <c r="AC108" s="110" t="s">
        <v>355</v>
      </c>
      <c r="AD108" s="110" t="s">
        <v>355</v>
      </c>
      <c r="AE108" s="110" t="s">
        <v>355</v>
      </c>
      <c r="AF108" s="84">
        <v>5.68</v>
      </c>
      <c r="AG108" s="84">
        <v>4.0599999999999996</v>
      </c>
      <c r="AH108" s="84">
        <v>79.08</v>
      </c>
      <c r="AI108" s="86">
        <v>20.938941890715906</v>
      </c>
      <c r="AJ108" s="84">
        <v>1.32</v>
      </c>
      <c r="AK108" s="84">
        <v>0</v>
      </c>
      <c r="AL108" s="84">
        <v>0</v>
      </c>
      <c r="AM108" s="84">
        <v>9.1999999999999993</v>
      </c>
      <c r="AN108" s="85">
        <v>540554.40090000001</v>
      </c>
      <c r="AO108" s="85">
        <v>572624.05284000002</v>
      </c>
      <c r="AP108" s="85">
        <v>66686.559999999998</v>
      </c>
      <c r="AQ108" s="135">
        <v>651.02613415598489</v>
      </c>
      <c r="AR108" s="85">
        <v>102433</v>
      </c>
      <c r="AS108" s="135" t="s">
        <v>379</v>
      </c>
      <c r="AT108" s="135" t="s">
        <v>379</v>
      </c>
      <c r="AU108" s="135" t="s">
        <v>379</v>
      </c>
      <c r="AV108" s="85">
        <v>197163.04</v>
      </c>
      <c r="AW108" s="135">
        <v>10637.336930132182</v>
      </c>
      <c r="AX108" s="85">
        <v>18535</v>
      </c>
      <c r="AY108" s="135" t="s">
        <v>379</v>
      </c>
      <c r="AZ108" s="135" t="s">
        <v>379</v>
      </c>
      <c r="BA108" s="89">
        <v>0</v>
      </c>
      <c r="BB108" s="87">
        <v>261.25256833059439</v>
      </c>
      <c r="BC108" s="91">
        <v>2.8330713734831545</v>
      </c>
      <c r="BD108" s="85">
        <v>124560.499</v>
      </c>
      <c r="BE108" s="92">
        <v>23.043097269642743</v>
      </c>
      <c r="BF108" s="85">
        <v>51065</v>
      </c>
      <c r="BG108" s="92">
        <v>9.4467810543558173</v>
      </c>
      <c r="BH108" s="85">
        <v>69642</v>
      </c>
      <c r="BI108" s="92">
        <v>12.883437309065854</v>
      </c>
      <c r="BJ108" s="85">
        <v>62600</v>
      </c>
      <c r="BK108" s="92">
        <v>11.580700949822269</v>
      </c>
      <c r="BL108" s="85">
        <v>116722</v>
      </c>
      <c r="BM108" s="92">
        <v>21.593012400401832</v>
      </c>
      <c r="BN108" s="85">
        <v>38376</v>
      </c>
      <c r="BO108" s="92">
        <v>7.0993766717313003</v>
      </c>
      <c r="BP108" s="85">
        <v>77589</v>
      </c>
      <c r="BQ108" s="92">
        <v>14.353594344980191</v>
      </c>
      <c r="BR108" s="165">
        <v>534.7642556004912</v>
      </c>
      <c r="BS108" s="165">
        <v>298.98766131732827</v>
      </c>
      <c r="BT108" s="111">
        <v>0</v>
      </c>
      <c r="BU108" s="165">
        <v>268.75488352523979</v>
      </c>
      <c r="BV108" s="165">
        <v>455.00716965903337</v>
      </c>
      <c r="BW108" s="165">
        <v>219.23271768716245</v>
      </c>
      <c r="BX108" s="165">
        <v>333.10579325622729</v>
      </c>
      <c r="BY108" s="112">
        <v>46.104771472484821</v>
      </c>
      <c r="BZ108" s="165">
        <v>164.75618866077639</v>
      </c>
      <c r="CA108" s="110" t="s">
        <v>355</v>
      </c>
      <c r="CB108" s="112">
        <v>457.29635580850515</v>
      </c>
      <c r="CC108" s="110" t="s">
        <v>355</v>
      </c>
      <c r="CD108" s="110" t="s">
        <v>355</v>
      </c>
      <c r="CE108" s="110" t="s">
        <v>355</v>
      </c>
      <c r="CF108" s="110" t="s">
        <v>355</v>
      </c>
      <c r="CG108" s="110" t="s">
        <v>355</v>
      </c>
      <c r="CH108" s="110" t="s">
        <v>355</v>
      </c>
      <c r="CI108" s="110" t="s">
        <v>355</v>
      </c>
      <c r="CJ108" s="87">
        <v>42191</v>
      </c>
      <c r="CK108" s="92">
        <v>50.681424948448715</v>
      </c>
      <c r="CL108" s="139">
        <v>326.5</v>
      </c>
      <c r="CM108" s="139">
        <v>1.4017327391532075</v>
      </c>
      <c r="CN108" s="139">
        <v>426.07</v>
      </c>
      <c r="CO108" s="115">
        <v>5</v>
      </c>
      <c r="CP108" s="115">
        <v>34</v>
      </c>
      <c r="CQ108" s="110">
        <v>9</v>
      </c>
      <c r="CR108" s="86">
        <v>4.5908788810421193</v>
      </c>
      <c r="CS108" s="85">
        <v>56851.943079999997</v>
      </c>
      <c r="CT108" s="85">
        <v>57856.127999999997</v>
      </c>
      <c r="CU108" s="84">
        <v>98.26</v>
      </c>
      <c r="CV108" s="84">
        <v>0.95</v>
      </c>
      <c r="CW108" s="84">
        <v>2.0499999999999998</v>
      </c>
      <c r="CX108" s="115" t="s">
        <v>339</v>
      </c>
      <c r="CY108" s="114">
        <v>127430</v>
      </c>
      <c r="CZ108" s="129">
        <v>602470</v>
      </c>
      <c r="DA108" s="129">
        <v>2000</v>
      </c>
      <c r="DB108" s="129">
        <v>5000</v>
      </c>
      <c r="DC108" s="129">
        <v>4000</v>
      </c>
      <c r="DD108" s="129">
        <v>487274</v>
      </c>
      <c r="DE108" s="87">
        <v>0</v>
      </c>
      <c r="DF108" s="87">
        <v>0</v>
      </c>
      <c r="DG108" s="114">
        <v>0</v>
      </c>
      <c r="DH108" s="162">
        <v>10</v>
      </c>
      <c r="DI108" s="114">
        <v>23292.6</v>
      </c>
      <c r="DJ108" s="114">
        <v>70</v>
      </c>
      <c r="DK108" s="114">
        <v>30</v>
      </c>
      <c r="DL108" s="114">
        <v>0</v>
      </c>
      <c r="DM108" s="114">
        <v>30</v>
      </c>
      <c r="DN108" s="114">
        <v>0</v>
      </c>
      <c r="DO108" s="114">
        <v>90</v>
      </c>
      <c r="DP108" s="114">
        <v>10</v>
      </c>
      <c r="DQ108" s="88">
        <v>1794</v>
      </c>
      <c r="DR108" s="147">
        <v>129.83612040133778</v>
      </c>
      <c r="DT108" s="55"/>
      <c r="DU108" s="55"/>
    </row>
    <row r="109" spans="1:125" s="32" customFormat="1" ht="15" customHeight="1" thickBot="1">
      <c r="A109" s="100" t="s">
        <v>69</v>
      </c>
      <c r="B109" s="184">
        <v>2017</v>
      </c>
      <c r="C109" s="109">
        <v>4</v>
      </c>
      <c r="D109" s="83" t="s">
        <v>347</v>
      </c>
      <c r="E109" s="83" t="s">
        <v>414</v>
      </c>
      <c r="F109" s="132">
        <v>9884.4</v>
      </c>
      <c r="G109" s="85">
        <v>61571</v>
      </c>
      <c r="H109" s="86">
        <v>4.4957740741997876</v>
      </c>
      <c r="I109" s="132">
        <v>6.2291084941928698</v>
      </c>
      <c r="J109" s="85">
        <v>30179</v>
      </c>
      <c r="K109" s="173">
        <v>49.014958340777312</v>
      </c>
      <c r="L109" s="85">
        <v>31392</v>
      </c>
      <c r="M109" s="173">
        <v>50.985041659222688</v>
      </c>
      <c r="N109" s="161">
        <v>27.249841646229555</v>
      </c>
      <c r="O109" s="161">
        <v>48.477367591885788</v>
      </c>
      <c r="P109" s="161">
        <v>24.272790761884654</v>
      </c>
      <c r="Q109" s="161">
        <v>39.375680109142294</v>
      </c>
      <c r="R109" s="159">
        <v>36.351529128973056</v>
      </c>
      <c r="S109" s="160">
        <v>24.272790761884654</v>
      </c>
      <c r="T109" s="84">
        <v>10.1</v>
      </c>
      <c r="U109" s="84">
        <v>3.7</v>
      </c>
      <c r="V109" s="89">
        <v>53</v>
      </c>
      <c r="W109" s="90">
        <v>6.3</v>
      </c>
      <c r="X109" s="148">
        <v>49825</v>
      </c>
      <c r="Y109" s="89">
        <v>2.5</v>
      </c>
      <c r="Z109" s="89" t="s">
        <v>340</v>
      </c>
      <c r="AA109" s="85">
        <v>5426</v>
      </c>
      <c r="AB109" s="110" t="s">
        <v>355</v>
      </c>
      <c r="AC109" s="110" t="s">
        <v>355</v>
      </c>
      <c r="AD109" s="110" t="s">
        <v>355</v>
      </c>
      <c r="AE109" s="110" t="s">
        <v>355</v>
      </c>
      <c r="AF109" s="84">
        <v>5.62</v>
      </c>
      <c r="AG109" s="84">
        <v>3.86</v>
      </c>
      <c r="AH109" s="84">
        <v>77.099999999999994</v>
      </c>
      <c r="AI109" s="86">
        <v>22.90450607707788</v>
      </c>
      <c r="AJ109" s="84">
        <v>4.82</v>
      </c>
      <c r="AK109" s="84">
        <v>4.3499999999999996</v>
      </c>
      <c r="AL109" s="84">
        <v>7.2954333372215086</v>
      </c>
      <c r="AM109" s="84">
        <v>17.16</v>
      </c>
      <c r="AN109" s="85">
        <v>129454</v>
      </c>
      <c r="AO109" s="85">
        <v>137168</v>
      </c>
      <c r="AP109" s="85">
        <v>22103</v>
      </c>
      <c r="AQ109" s="135">
        <v>961.66898712147577</v>
      </c>
      <c r="AR109" s="85">
        <v>22984</v>
      </c>
      <c r="AS109" s="85">
        <v>5531</v>
      </c>
      <c r="AT109" s="135">
        <v>1846.7445742904843</v>
      </c>
      <c r="AU109" s="85">
        <v>2995</v>
      </c>
      <c r="AV109" s="85">
        <v>5553</v>
      </c>
      <c r="AW109" s="135">
        <v>3027.8080697928026</v>
      </c>
      <c r="AX109" s="85">
        <v>1834</v>
      </c>
      <c r="AY109" s="85">
        <v>17</v>
      </c>
      <c r="AZ109" s="135">
        <v>8500</v>
      </c>
      <c r="BA109" s="89">
        <v>2</v>
      </c>
      <c r="BB109" s="87">
        <v>141.57199882544271</v>
      </c>
      <c r="BC109" s="91">
        <v>19.974765053950573</v>
      </c>
      <c r="BD109" s="85">
        <v>10572</v>
      </c>
      <c r="BE109" s="92">
        <v>7.6365763982692734</v>
      </c>
      <c r="BF109" s="85">
        <v>39364</v>
      </c>
      <c r="BG109" s="92">
        <v>28.434184008841441</v>
      </c>
      <c r="BH109" s="85">
        <v>15599</v>
      </c>
      <c r="BI109" s="92">
        <v>11.267778588403557</v>
      </c>
      <c r="BJ109" s="85">
        <v>5665</v>
      </c>
      <c r="BK109" s="92">
        <v>4.0920549845058112</v>
      </c>
      <c r="BL109" s="85">
        <v>17169</v>
      </c>
      <c r="BM109" s="92">
        <v>12.401852079255123</v>
      </c>
      <c r="BN109" s="85">
        <v>26233</v>
      </c>
      <c r="BO109" s="92">
        <v>18.949140054464422</v>
      </c>
      <c r="BP109" s="85">
        <v>23837</v>
      </c>
      <c r="BQ109" s="92">
        <v>17.218413886260375</v>
      </c>
      <c r="BR109" s="165">
        <v>171.70421139822318</v>
      </c>
      <c r="BS109" s="165">
        <v>253.34979129785125</v>
      </c>
      <c r="BT109" s="111">
        <v>610.69334589335892</v>
      </c>
      <c r="BU109" s="165">
        <v>92.007600980981309</v>
      </c>
      <c r="BV109" s="165">
        <v>241.31490474411655</v>
      </c>
      <c r="BW109" s="165">
        <v>28.633609978723751</v>
      </c>
      <c r="BX109" s="165">
        <v>387.14654626366308</v>
      </c>
      <c r="BY109" s="112">
        <v>37.533903948287346</v>
      </c>
      <c r="BZ109" s="165">
        <v>426.06097026197398</v>
      </c>
      <c r="CA109" s="110" t="s">
        <v>355</v>
      </c>
      <c r="CB109" s="112">
        <v>446.99608524596567</v>
      </c>
      <c r="CC109" s="110" t="s">
        <v>355</v>
      </c>
      <c r="CD109" s="110" t="s">
        <v>355</v>
      </c>
      <c r="CE109" s="110" t="s">
        <v>355</v>
      </c>
      <c r="CF109" s="110" t="s">
        <v>355</v>
      </c>
      <c r="CG109" s="110" t="s">
        <v>355</v>
      </c>
      <c r="CH109" s="110" t="s">
        <v>355</v>
      </c>
      <c r="CI109" s="110" t="s">
        <v>355</v>
      </c>
      <c r="CJ109" s="87">
        <v>48012</v>
      </c>
      <c r="CK109" s="92">
        <v>33.489544280596519</v>
      </c>
      <c r="CL109" s="139">
        <v>3198.8199999999997</v>
      </c>
      <c r="CM109" s="139">
        <v>51.953354663721548</v>
      </c>
      <c r="CN109" s="139">
        <v>850</v>
      </c>
      <c r="CO109" s="115">
        <v>6</v>
      </c>
      <c r="CP109" s="115">
        <v>23</v>
      </c>
      <c r="CQ109" s="110">
        <v>6</v>
      </c>
      <c r="CR109" s="86">
        <v>3.5148649965883614</v>
      </c>
      <c r="CS109" s="85">
        <v>32917</v>
      </c>
      <c r="CT109" s="85">
        <v>35813</v>
      </c>
      <c r="CU109" s="84">
        <v>91.91</v>
      </c>
      <c r="CV109" s="84">
        <v>33.06</v>
      </c>
      <c r="CW109" s="84">
        <v>0.64</v>
      </c>
      <c r="CX109" s="115" t="s">
        <v>339</v>
      </c>
      <c r="CY109" s="114">
        <v>138000</v>
      </c>
      <c r="CZ109" s="129">
        <v>216000</v>
      </c>
      <c r="DA109" s="129">
        <v>3000</v>
      </c>
      <c r="DB109" s="129">
        <v>37000</v>
      </c>
      <c r="DC109" s="129">
        <v>0</v>
      </c>
      <c r="DD109" s="129">
        <v>338000</v>
      </c>
      <c r="DE109" s="87">
        <v>0</v>
      </c>
      <c r="DF109" s="87">
        <v>0</v>
      </c>
      <c r="DG109" s="114">
        <v>0</v>
      </c>
      <c r="DH109" s="162">
        <v>9</v>
      </c>
      <c r="DI109" s="114">
        <v>6841.2222222222226</v>
      </c>
      <c r="DJ109" s="114">
        <v>22.222222222222221</v>
      </c>
      <c r="DK109" s="114">
        <v>77.777777777777786</v>
      </c>
      <c r="DL109" s="114">
        <v>0</v>
      </c>
      <c r="DM109" s="114">
        <v>0</v>
      </c>
      <c r="DN109" s="114">
        <v>0</v>
      </c>
      <c r="DO109" s="114">
        <v>22</v>
      </c>
      <c r="DP109" s="114">
        <v>78</v>
      </c>
      <c r="DQ109" s="88">
        <v>537</v>
      </c>
      <c r="DR109" s="147">
        <v>114.65735567970205</v>
      </c>
      <c r="DT109" s="55"/>
      <c r="DU109" s="55"/>
    </row>
    <row r="110" spans="1:125" ht="15" customHeight="1" thickBot="1">
      <c r="A110" s="100" t="s">
        <v>322</v>
      </c>
      <c r="B110" s="184">
        <v>2017</v>
      </c>
      <c r="C110" s="109">
        <v>10</v>
      </c>
      <c r="D110" s="83" t="s">
        <v>350</v>
      </c>
      <c r="E110" s="83" t="s">
        <v>411</v>
      </c>
      <c r="F110" s="132">
        <v>2802</v>
      </c>
      <c r="G110" s="85">
        <v>6236</v>
      </c>
      <c r="H110" s="86">
        <v>4.4731110738817303</v>
      </c>
      <c r="I110" s="132">
        <v>2.225553176302641</v>
      </c>
      <c r="J110" s="85">
        <v>3112</v>
      </c>
      <c r="K110" s="173">
        <v>49.903784477228989</v>
      </c>
      <c r="L110" s="85">
        <v>3124</v>
      </c>
      <c r="M110" s="173">
        <v>50.096215522771004</v>
      </c>
      <c r="N110" s="161">
        <v>25.561257216164208</v>
      </c>
      <c r="O110" s="161">
        <v>44.323284156510582</v>
      </c>
      <c r="P110" s="161">
        <v>30.115458627325211</v>
      </c>
      <c r="Q110" s="161">
        <v>34.974342527261065</v>
      </c>
      <c r="R110" s="159">
        <v>34.910198845413724</v>
      </c>
      <c r="S110" s="160">
        <v>30.115458627325211</v>
      </c>
      <c r="T110" s="84">
        <v>2.2999999999999998</v>
      </c>
      <c r="U110" s="84">
        <v>2.1</v>
      </c>
      <c r="V110" s="89">
        <v>47</v>
      </c>
      <c r="W110" s="90">
        <v>6.1</v>
      </c>
      <c r="X110" s="148">
        <v>44501</v>
      </c>
      <c r="Y110" s="89">
        <v>2.4</v>
      </c>
      <c r="Z110" s="89" t="s">
        <v>342</v>
      </c>
      <c r="AA110" s="85">
        <v>706</v>
      </c>
      <c r="AB110" s="110" t="s">
        <v>355</v>
      </c>
      <c r="AC110" s="110" t="s">
        <v>355</v>
      </c>
      <c r="AD110" s="110" t="s">
        <v>355</v>
      </c>
      <c r="AE110" s="110" t="s">
        <v>355</v>
      </c>
      <c r="AF110" s="84">
        <v>7.71</v>
      </c>
      <c r="AG110" s="84">
        <v>2.17</v>
      </c>
      <c r="AH110" s="84">
        <v>49.91</v>
      </c>
      <c r="AI110" s="86">
        <v>50.08649114105971</v>
      </c>
      <c r="AJ110" s="84">
        <v>3.68</v>
      </c>
      <c r="AK110" s="84">
        <v>18.8</v>
      </c>
      <c r="AL110" s="84">
        <v>1.4457174031642117</v>
      </c>
      <c r="AM110" s="84">
        <v>5.6</v>
      </c>
      <c r="AN110" s="85">
        <v>20301</v>
      </c>
      <c r="AO110" s="85">
        <v>21996</v>
      </c>
      <c r="AP110" s="85">
        <v>1346</v>
      </c>
      <c r="AQ110" s="135">
        <v>543.61873990306947</v>
      </c>
      <c r="AR110" s="85">
        <v>2476</v>
      </c>
      <c r="AS110" s="85">
        <v>1821</v>
      </c>
      <c r="AT110" s="135">
        <v>2066.9693530079453</v>
      </c>
      <c r="AU110" s="85">
        <v>881</v>
      </c>
      <c r="AV110" s="85">
        <v>478</v>
      </c>
      <c r="AW110" s="135">
        <v>1361.8233618233619</v>
      </c>
      <c r="AX110" s="85">
        <v>351</v>
      </c>
      <c r="AY110" s="135" t="s">
        <v>379</v>
      </c>
      <c r="AZ110" s="135" t="s">
        <v>379</v>
      </c>
      <c r="BA110" s="89">
        <v>0</v>
      </c>
      <c r="BB110" s="87">
        <v>181.72571193415638</v>
      </c>
      <c r="BC110" s="91">
        <v>24.919224555735056</v>
      </c>
      <c r="BD110" s="85">
        <v>2990</v>
      </c>
      <c r="BE110" s="92">
        <v>14.728338505492342</v>
      </c>
      <c r="BF110" s="85">
        <v>1808</v>
      </c>
      <c r="BG110" s="92">
        <v>8.9059652233880104</v>
      </c>
      <c r="BH110" s="85">
        <v>1304</v>
      </c>
      <c r="BI110" s="92">
        <v>6.4233289000541847</v>
      </c>
      <c r="BJ110" s="85">
        <v>3483</v>
      </c>
      <c r="BK110" s="92">
        <v>17.156790305896262</v>
      </c>
      <c r="BL110" s="85">
        <v>2307</v>
      </c>
      <c r="BM110" s="92">
        <v>11.363972218117334</v>
      </c>
      <c r="BN110" s="85">
        <v>4382</v>
      </c>
      <c r="BO110" s="92">
        <v>21.585143588985765</v>
      </c>
      <c r="BP110" s="85">
        <v>4027</v>
      </c>
      <c r="BQ110" s="92">
        <v>19.836461258066105</v>
      </c>
      <c r="BR110" s="165">
        <v>479.47402180885183</v>
      </c>
      <c r="BS110" s="165">
        <v>209.10840282232201</v>
      </c>
      <c r="BT110" s="111">
        <v>121.55227710070558</v>
      </c>
      <c r="BU110" s="165">
        <v>558.53110968569592</v>
      </c>
      <c r="BV110" s="165">
        <v>317.83194355356</v>
      </c>
      <c r="BW110" s="165">
        <v>168.37716484926236</v>
      </c>
      <c r="BX110" s="165">
        <v>645.76651699807564</v>
      </c>
      <c r="BY110" s="112">
        <v>52.116741500962156</v>
      </c>
      <c r="BZ110" s="165">
        <v>702.69403463758817</v>
      </c>
      <c r="CA110" s="110" t="s">
        <v>355</v>
      </c>
      <c r="CB110" s="112">
        <v>298.9035851026801</v>
      </c>
      <c r="CC110" s="110" t="s">
        <v>355</v>
      </c>
      <c r="CD110" s="110" t="s">
        <v>355</v>
      </c>
      <c r="CE110" s="110" t="s">
        <v>355</v>
      </c>
      <c r="CF110" s="110" t="s">
        <v>355</v>
      </c>
      <c r="CG110" s="110" t="s">
        <v>355</v>
      </c>
      <c r="CH110" s="110" t="s">
        <v>355</v>
      </c>
      <c r="CI110" s="110" t="s">
        <v>355</v>
      </c>
      <c r="CJ110" s="87">
        <v>4269</v>
      </c>
      <c r="CK110" s="92">
        <v>61.23213867416257</v>
      </c>
      <c r="CL110" s="139">
        <v>1331.9299999999998</v>
      </c>
      <c r="CM110" s="139">
        <v>213.58723540731233</v>
      </c>
      <c r="CN110" s="139">
        <v>40</v>
      </c>
      <c r="CO110" s="115">
        <v>2</v>
      </c>
      <c r="CP110" s="115">
        <v>2</v>
      </c>
      <c r="CQ110" s="110">
        <v>1</v>
      </c>
      <c r="CR110" s="86">
        <v>4.4928092042186005</v>
      </c>
      <c r="CS110" s="85">
        <v>3282</v>
      </c>
      <c r="CT110" s="85">
        <v>2852</v>
      </c>
      <c r="CU110" s="84">
        <v>115.08</v>
      </c>
      <c r="CV110" s="84">
        <v>130.46</v>
      </c>
      <c r="CW110" s="84">
        <v>2.5</v>
      </c>
      <c r="CX110" s="115" t="s">
        <v>339</v>
      </c>
      <c r="CY110" s="114">
        <v>27000</v>
      </c>
      <c r="CZ110" s="129">
        <v>96000</v>
      </c>
      <c r="DA110" s="129">
        <v>0</v>
      </c>
      <c r="DB110" s="129">
        <v>0</v>
      </c>
      <c r="DC110" s="129">
        <v>0</v>
      </c>
      <c r="DD110" s="129">
        <v>224788</v>
      </c>
      <c r="DE110" s="87">
        <v>0</v>
      </c>
      <c r="DF110" s="87">
        <v>0</v>
      </c>
      <c r="DG110" s="114">
        <v>0</v>
      </c>
      <c r="DH110" s="162">
        <v>9</v>
      </c>
      <c r="DI110" s="114">
        <v>692.88888888888891</v>
      </c>
      <c r="DJ110" s="114">
        <v>22</v>
      </c>
      <c r="DK110" s="114">
        <v>78</v>
      </c>
      <c r="DL110" s="114">
        <v>0</v>
      </c>
      <c r="DM110" s="114">
        <v>0</v>
      </c>
      <c r="DN110" s="114">
        <v>0</v>
      </c>
      <c r="DO110" s="114">
        <v>44</v>
      </c>
      <c r="DP110" s="114">
        <v>56</v>
      </c>
      <c r="DQ110" s="88">
        <v>109</v>
      </c>
      <c r="DR110" s="147">
        <v>57.211009174311926</v>
      </c>
    </row>
    <row r="111" spans="1:125" ht="15" customHeight="1" thickBot="1">
      <c r="A111" s="100" t="s">
        <v>323</v>
      </c>
      <c r="B111" s="184">
        <v>2017</v>
      </c>
      <c r="C111" s="109">
        <v>10</v>
      </c>
      <c r="D111" s="83" t="s">
        <v>350</v>
      </c>
      <c r="E111" s="83" t="s">
        <v>406</v>
      </c>
      <c r="F111" s="132">
        <v>7322.8</v>
      </c>
      <c r="G111" s="85">
        <v>6656</v>
      </c>
      <c r="H111" s="86">
        <v>-4.8599199542595723</v>
      </c>
      <c r="I111" s="132">
        <v>0.90894193477904628</v>
      </c>
      <c r="J111" s="85">
        <v>3274</v>
      </c>
      <c r="K111" s="173">
        <v>49.18870192307692</v>
      </c>
      <c r="L111" s="85">
        <v>3382</v>
      </c>
      <c r="M111" s="173">
        <v>50.811298076923073</v>
      </c>
      <c r="N111" s="161">
        <v>21.30408653846154</v>
      </c>
      <c r="O111" s="161">
        <v>41.060697115384613</v>
      </c>
      <c r="P111" s="161">
        <v>37.635216346153847</v>
      </c>
      <c r="Q111" s="161">
        <v>27.719350961538463</v>
      </c>
      <c r="R111" s="159">
        <v>34.645432692307693</v>
      </c>
      <c r="S111" s="160">
        <v>37.635216346153847</v>
      </c>
      <c r="T111" s="84">
        <v>6</v>
      </c>
      <c r="U111" s="84">
        <v>2.5</v>
      </c>
      <c r="V111" s="89">
        <v>10</v>
      </c>
      <c r="W111" s="90">
        <v>9.6</v>
      </c>
      <c r="X111" s="148">
        <v>40090</v>
      </c>
      <c r="Y111" s="89">
        <v>2.1</v>
      </c>
      <c r="Z111" s="89" t="s">
        <v>342</v>
      </c>
      <c r="AA111" s="85">
        <v>929</v>
      </c>
      <c r="AB111" s="110" t="s">
        <v>355</v>
      </c>
      <c r="AC111" s="110" t="s">
        <v>355</v>
      </c>
      <c r="AD111" s="110" t="s">
        <v>355</v>
      </c>
      <c r="AE111" s="110" t="s">
        <v>355</v>
      </c>
      <c r="AF111" s="84">
        <v>12.81</v>
      </c>
      <c r="AG111" s="84">
        <v>4.8099999999999996</v>
      </c>
      <c r="AH111" s="84">
        <v>52.87</v>
      </c>
      <c r="AI111" s="86">
        <v>47.131195864562102</v>
      </c>
      <c r="AJ111" s="84">
        <v>7.12</v>
      </c>
      <c r="AK111" s="84">
        <v>11.83</v>
      </c>
      <c r="AL111" s="84">
        <v>3.4354646362719019</v>
      </c>
      <c r="AM111" s="84">
        <v>15.08</v>
      </c>
      <c r="AN111" s="85">
        <v>19010</v>
      </c>
      <c r="AO111" s="85">
        <v>21802</v>
      </c>
      <c r="AP111" s="85">
        <v>1803</v>
      </c>
      <c r="AQ111" s="135">
        <v>561.15779645191412</v>
      </c>
      <c r="AR111" s="85">
        <v>3213</v>
      </c>
      <c r="AS111" s="85">
        <v>2136</v>
      </c>
      <c r="AT111" s="135">
        <v>1519.203413940256</v>
      </c>
      <c r="AU111" s="85">
        <v>1406</v>
      </c>
      <c r="AV111" s="85">
        <v>272</v>
      </c>
      <c r="AW111" s="135">
        <v>1157.4468085106382</v>
      </c>
      <c r="AX111" s="85">
        <v>235</v>
      </c>
      <c r="AY111" s="85">
        <v>10</v>
      </c>
      <c r="AZ111" s="135">
        <v>909.09090909090912</v>
      </c>
      <c r="BA111" s="89">
        <v>11</v>
      </c>
      <c r="BB111" s="87">
        <v>183.7858253968254</v>
      </c>
      <c r="BC111" s="91">
        <v>30.189853719265486</v>
      </c>
      <c r="BD111" s="85">
        <v>2238</v>
      </c>
      <c r="BE111" s="92">
        <v>11.357523471200203</v>
      </c>
      <c r="BF111" s="85">
        <v>4653</v>
      </c>
      <c r="BG111" s="92">
        <v>23.613296117736617</v>
      </c>
      <c r="BH111" s="85">
        <v>1791</v>
      </c>
      <c r="BI111" s="92">
        <v>9.0890636894189285</v>
      </c>
      <c r="BJ111" s="85">
        <v>700</v>
      </c>
      <c r="BK111" s="92">
        <v>3.5523978685612785</v>
      </c>
      <c r="BL111" s="85">
        <v>2040</v>
      </c>
      <c r="BM111" s="92">
        <v>10.352702359807155</v>
      </c>
      <c r="BN111" s="85">
        <v>6542</v>
      </c>
      <c r="BO111" s="92">
        <v>33.199695508754125</v>
      </c>
      <c r="BP111" s="85">
        <v>1741</v>
      </c>
      <c r="BQ111" s="92">
        <v>8.8353209845216956</v>
      </c>
      <c r="BR111" s="165">
        <v>336.23798076923077</v>
      </c>
      <c r="BS111" s="165">
        <v>269.08052884615387</v>
      </c>
      <c r="BT111" s="111">
        <v>568.96033653846155</v>
      </c>
      <c r="BU111" s="165">
        <v>105.16826923076923</v>
      </c>
      <c r="BV111" s="165">
        <v>234.82572115384616</v>
      </c>
      <c r="BW111" s="165">
        <v>130.10817307692307</v>
      </c>
      <c r="BX111" s="165">
        <v>261.56850961538464</v>
      </c>
      <c r="BY111" s="112">
        <v>71.664663461538467</v>
      </c>
      <c r="BZ111" s="165">
        <v>982.87259615384619</v>
      </c>
      <c r="CA111" s="110" t="s">
        <v>355</v>
      </c>
      <c r="CB111" s="112">
        <v>163.97415185783521</v>
      </c>
      <c r="CC111" s="110" t="s">
        <v>355</v>
      </c>
      <c r="CD111" s="110" t="s">
        <v>355</v>
      </c>
      <c r="CE111" s="110" t="s">
        <v>355</v>
      </c>
      <c r="CF111" s="110" t="s">
        <v>355</v>
      </c>
      <c r="CG111" s="110" t="s">
        <v>355</v>
      </c>
      <c r="CH111" s="110" t="s">
        <v>355</v>
      </c>
      <c r="CI111" s="110" t="s">
        <v>355</v>
      </c>
      <c r="CJ111" s="87">
        <v>3576</v>
      </c>
      <c r="CK111" s="92">
        <v>66.834451901565998</v>
      </c>
      <c r="CL111" s="139">
        <v>1689.1899999999998</v>
      </c>
      <c r="CM111" s="139">
        <v>253.78455528846149</v>
      </c>
      <c r="CN111" s="139">
        <v>65</v>
      </c>
      <c r="CO111" s="115">
        <v>1</v>
      </c>
      <c r="CP111" s="115">
        <v>11</v>
      </c>
      <c r="CQ111" s="110">
        <v>2</v>
      </c>
      <c r="CR111" s="86">
        <v>4.9152209986423294</v>
      </c>
      <c r="CS111" s="85">
        <v>5703</v>
      </c>
      <c r="CT111" s="85">
        <v>5703</v>
      </c>
      <c r="CU111" s="84">
        <v>100</v>
      </c>
      <c r="CV111" s="84">
        <v>84.82</v>
      </c>
      <c r="CW111" s="84">
        <v>10.85</v>
      </c>
      <c r="CX111" s="115" t="s">
        <v>339</v>
      </c>
      <c r="CY111" s="114">
        <v>42000</v>
      </c>
      <c r="CZ111" s="129">
        <v>139000</v>
      </c>
      <c r="DA111" s="129">
        <v>0</v>
      </c>
      <c r="DB111" s="129">
        <v>16000</v>
      </c>
      <c r="DC111" s="129">
        <v>3000</v>
      </c>
      <c r="DD111" s="129">
        <v>170126</v>
      </c>
      <c r="DE111" s="87">
        <v>1</v>
      </c>
      <c r="DF111" s="87">
        <v>1540</v>
      </c>
      <c r="DG111" s="114">
        <v>0</v>
      </c>
      <c r="DH111" s="162">
        <v>10</v>
      </c>
      <c r="DI111" s="114">
        <v>665.6</v>
      </c>
      <c r="DJ111" s="114">
        <v>10</v>
      </c>
      <c r="DK111" s="114">
        <v>90</v>
      </c>
      <c r="DL111" s="114">
        <v>0</v>
      </c>
      <c r="DM111" s="114">
        <v>0</v>
      </c>
      <c r="DN111" s="114">
        <v>0</v>
      </c>
      <c r="DO111" s="114">
        <v>20</v>
      </c>
      <c r="DP111" s="114">
        <v>80</v>
      </c>
      <c r="DQ111" s="88">
        <v>81</v>
      </c>
      <c r="DR111" s="147">
        <v>82.172839506172835</v>
      </c>
    </row>
    <row r="112" spans="1:125" ht="15" customHeight="1" thickBot="1">
      <c r="A112" s="100" t="s">
        <v>324</v>
      </c>
      <c r="B112" s="184">
        <v>2017</v>
      </c>
      <c r="C112" s="109">
        <v>5</v>
      </c>
      <c r="D112" s="83" t="s">
        <v>347</v>
      </c>
      <c r="E112" s="83" t="s">
        <v>407</v>
      </c>
      <c r="F112" s="132">
        <v>1307.7</v>
      </c>
      <c r="G112" s="85">
        <v>94857</v>
      </c>
      <c r="H112" s="86">
        <v>6.7416109648234412</v>
      </c>
      <c r="I112" s="132">
        <v>72.537279192475339</v>
      </c>
      <c r="J112" s="85">
        <v>45925</v>
      </c>
      <c r="K112" s="173">
        <v>48.414982552684563</v>
      </c>
      <c r="L112" s="85">
        <v>48932</v>
      </c>
      <c r="M112" s="173">
        <v>51.58501744731543</v>
      </c>
      <c r="N112" s="161">
        <v>22.75214269901009</v>
      </c>
      <c r="O112" s="161">
        <v>45.393592460229613</v>
      </c>
      <c r="P112" s="161">
        <v>31.854264840760305</v>
      </c>
      <c r="Q112" s="161">
        <v>31.719324878501322</v>
      </c>
      <c r="R112" s="159">
        <v>36.426410280738374</v>
      </c>
      <c r="S112" s="160">
        <v>31.854264840760305</v>
      </c>
      <c r="T112" s="84">
        <v>4</v>
      </c>
      <c r="U112" s="84">
        <v>4.2</v>
      </c>
      <c r="V112" s="89">
        <v>65</v>
      </c>
      <c r="W112" s="90">
        <v>4.4000000000000004</v>
      </c>
      <c r="X112" s="148">
        <v>48609</v>
      </c>
      <c r="Y112" s="89">
        <v>2.4</v>
      </c>
      <c r="Z112" s="89" t="s">
        <v>340</v>
      </c>
      <c r="AA112" s="85">
        <v>7238</v>
      </c>
      <c r="AB112" s="110" t="s">
        <v>355</v>
      </c>
      <c r="AC112" s="110" t="s">
        <v>355</v>
      </c>
      <c r="AD112" s="110" t="s">
        <v>355</v>
      </c>
      <c r="AE112" s="110" t="s">
        <v>355</v>
      </c>
      <c r="AF112" s="84">
        <v>11.26</v>
      </c>
      <c r="AG112" s="84">
        <v>1.83</v>
      </c>
      <c r="AH112" s="84">
        <v>71.17</v>
      </c>
      <c r="AI112" s="86">
        <v>28.832432221590686</v>
      </c>
      <c r="AJ112" s="84">
        <v>3.99</v>
      </c>
      <c r="AK112" s="84">
        <v>3.81</v>
      </c>
      <c r="AL112" s="84">
        <v>10.144798791862842</v>
      </c>
      <c r="AM112" s="84">
        <v>21.55</v>
      </c>
      <c r="AN112" s="85">
        <v>179819</v>
      </c>
      <c r="AO112" s="85">
        <v>202599</v>
      </c>
      <c r="AP112" s="85">
        <v>49561</v>
      </c>
      <c r="AQ112" s="135">
        <v>1330.782449922131</v>
      </c>
      <c r="AR112" s="85">
        <v>37242</v>
      </c>
      <c r="AS112" s="85">
        <v>3001</v>
      </c>
      <c r="AT112" s="135">
        <v>2061.1263736263736</v>
      </c>
      <c r="AU112" s="85">
        <v>1456</v>
      </c>
      <c r="AV112" s="85">
        <v>5104</v>
      </c>
      <c r="AW112" s="135">
        <v>2769.3977211068909</v>
      </c>
      <c r="AX112" s="85">
        <v>1843</v>
      </c>
      <c r="AY112" s="85" t="s">
        <v>379</v>
      </c>
      <c r="AZ112" s="135" t="s">
        <v>379</v>
      </c>
      <c r="BA112" s="89">
        <v>0</v>
      </c>
      <c r="BB112" s="87">
        <v>191.80508244025941</v>
      </c>
      <c r="BC112" s="91">
        <v>23.081467160732505</v>
      </c>
      <c r="BD112" s="85">
        <v>21024</v>
      </c>
      <c r="BE112" s="92">
        <v>11.290296595833803</v>
      </c>
      <c r="BF112" s="85">
        <v>59073</v>
      </c>
      <c r="BG112" s="92">
        <v>31.723349068002772</v>
      </c>
      <c r="BH112" s="85">
        <v>22178</v>
      </c>
      <c r="BI112" s="92">
        <v>11.910017023516081</v>
      </c>
      <c r="BJ112" s="85">
        <v>11983</v>
      </c>
      <c r="BK112" s="92">
        <v>6.4351038864096486</v>
      </c>
      <c r="BL112" s="85">
        <v>22319</v>
      </c>
      <c r="BM112" s="92">
        <v>11.985736763813483</v>
      </c>
      <c r="BN112" s="85">
        <v>33741</v>
      </c>
      <c r="BO112" s="92">
        <v>18.119572747337724</v>
      </c>
      <c r="BP112" s="85">
        <v>15895</v>
      </c>
      <c r="BQ112" s="92">
        <v>8.535923915086487</v>
      </c>
      <c r="BR112" s="165">
        <v>221.63888801037351</v>
      </c>
      <c r="BS112" s="165">
        <v>233.80456898278462</v>
      </c>
      <c r="BT112" s="111">
        <v>561.03397746080941</v>
      </c>
      <c r="BU112" s="165">
        <v>126.32699748041789</v>
      </c>
      <c r="BV112" s="165">
        <v>207.01687803746691</v>
      </c>
      <c r="BW112" s="165">
        <v>61.724490548931549</v>
      </c>
      <c r="BX112" s="165">
        <v>167.56802344581845</v>
      </c>
      <c r="BY112" s="112">
        <v>28.274138967076759</v>
      </c>
      <c r="BZ112" s="165">
        <v>355.70384895157974</v>
      </c>
      <c r="CA112" s="110" t="s">
        <v>355</v>
      </c>
      <c r="CB112" s="112">
        <v>221.28851540616247</v>
      </c>
      <c r="CC112" s="110" t="s">
        <v>355</v>
      </c>
      <c r="CD112" s="110" t="s">
        <v>355</v>
      </c>
      <c r="CE112" s="110" t="s">
        <v>355</v>
      </c>
      <c r="CF112" s="110" t="s">
        <v>355</v>
      </c>
      <c r="CG112" s="110" t="s">
        <v>355</v>
      </c>
      <c r="CH112" s="110" t="s">
        <v>355</v>
      </c>
      <c r="CI112" s="110" t="s">
        <v>355</v>
      </c>
      <c r="CJ112" s="87">
        <v>37447</v>
      </c>
      <c r="CK112" s="92">
        <v>73.626725772425033</v>
      </c>
      <c r="CL112" s="139">
        <v>1254</v>
      </c>
      <c r="CM112" s="139">
        <v>13.219899427559378</v>
      </c>
      <c r="CN112" s="139">
        <v>964</v>
      </c>
      <c r="CO112" s="115">
        <v>3</v>
      </c>
      <c r="CP112" s="115">
        <v>19</v>
      </c>
      <c r="CQ112" s="110">
        <v>3</v>
      </c>
      <c r="CR112" s="86">
        <v>5.9109014564185012</v>
      </c>
      <c r="CS112" s="85">
        <v>25477</v>
      </c>
      <c r="CT112" s="85">
        <v>25660</v>
      </c>
      <c r="CU112" s="84">
        <v>99.29</v>
      </c>
      <c r="CV112" s="84">
        <v>56.9</v>
      </c>
      <c r="CW112" s="84">
        <v>1.43</v>
      </c>
      <c r="CX112" s="115" t="s">
        <v>339</v>
      </c>
      <c r="CY112" s="114">
        <v>0</v>
      </c>
      <c r="CZ112" s="129">
        <v>181000</v>
      </c>
      <c r="DA112" s="129">
        <v>0</v>
      </c>
      <c r="DB112" s="129">
        <v>18000</v>
      </c>
      <c r="DC112" s="129">
        <v>11000</v>
      </c>
      <c r="DD112" s="129">
        <v>335000</v>
      </c>
      <c r="DE112" s="87">
        <v>15</v>
      </c>
      <c r="DF112" s="87">
        <v>53182</v>
      </c>
      <c r="DG112" s="114">
        <v>0</v>
      </c>
      <c r="DH112" s="162">
        <v>7</v>
      </c>
      <c r="DI112" s="114">
        <v>13551</v>
      </c>
      <c r="DJ112" s="114">
        <v>28.571428571428569</v>
      </c>
      <c r="DK112" s="114">
        <v>71.428571428571431</v>
      </c>
      <c r="DL112" s="114">
        <v>0</v>
      </c>
      <c r="DM112" s="114">
        <v>0</v>
      </c>
      <c r="DN112" s="114">
        <v>14</v>
      </c>
      <c r="DO112" s="114">
        <v>57</v>
      </c>
      <c r="DP112" s="114">
        <v>29</v>
      </c>
      <c r="DQ112" s="88">
        <v>704</v>
      </c>
      <c r="DR112" s="147">
        <v>134.74005681818181</v>
      </c>
    </row>
    <row r="113" spans="1:122" ht="15" customHeight="1" thickBot="1">
      <c r="A113" s="100" t="s">
        <v>325</v>
      </c>
      <c r="B113" s="184">
        <v>2017</v>
      </c>
      <c r="C113" s="109">
        <v>11</v>
      </c>
      <c r="D113" s="83" t="s">
        <v>350</v>
      </c>
      <c r="E113" s="83" t="s">
        <v>412</v>
      </c>
      <c r="F113" s="132">
        <v>8096.1</v>
      </c>
      <c r="G113" s="85">
        <v>14265</v>
      </c>
      <c r="H113" s="86">
        <v>-1.6817147977117641</v>
      </c>
      <c r="I113" s="132">
        <v>1.7619594619631673</v>
      </c>
      <c r="J113" s="85">
        <v>7076</v>
      </c>
      <c r="K113" s="173">
        <v>49.603925692253767</v>
      </c>
      <c r="L113" s="85">
        <v>7189</v>
      </c>
      <c r="M113" s="173">
        <v>50.396074307746233</v>
      </c>
      <c r="N113" s="161">
        <v>26.743778478794251</v>
      </c>
      <c r="O113" s="161">
        <v>49.106203995793898</v>
      </c>
      <c r="P113" s="161">
        <v>24.150017525411847</v>
      </c>
      <c r="Q113" s="161">
        <v>37.476340694006311</v>
      </c>
      <c r="R113" s="159">
        <v>38.373641780581849</v>
      </c>
      <c r="S113" s="160">
        <v>24.150017525411847</v>
      </c>
      <c r="T113" s="84">
        <v>5.0999999999999996</v>
      </c>
      <c r="U113" s="84">
        <v>3</v>
      </c>
      <c r="V113" s="89">
        <v>67</v>
      </c>
      <c r="W113" s="90">
        <v>3.6</v>
      </c>
      <c r="X113" s="148">
        <v>59852</v>
      </c>
      <c r="Y113" s="89">
        <v>2.4</v>
      </c>
      <c r="Z113" s="89" t="s">
        <v>342</v>
      </c>
      <c r="AA113" s="85">
        <v>1644</v>
      </c>
      <c r="AB113" s="110" t="s">
        <v>355</v>
      </c>
      <c r="AC113" s="110" t="s">
        <v>355</v>
      </c>
      <c r="AD113" s="110" t="s">
        <v>355</v>
      </c>
      <c r="AE113" s="110" t="s">
        <v>355</v>
      </c>
      <c r="AF113" s="84">
        <v>16.7</v>
      </c>
      <c r="AG113" s="84">
        <v>2.69</v>
      </c>
      <c r="AH113" s="84">
        <v>68.8</v>
      </c>
      <c r="AI113" s="86">
        <v>31.201511568999564</v>
      </c>
      <c r="AJ113" s="84">
        <v>6.85</v>
      </c>
      <c r="AK113" s="84">
        <v>9.0399999999999991</v>
      </c>
      <c r="AL113" s="84">
        <v>3.7067065818469089</v>
      </c>
      <c r="AM113" s="84">
        <v>10.34</v>
      </c>
      <c r="AN113" s="85">
        <v>40067</v>
      </c>
      <c r="AO113" s="85">
        <v>48102</v>
      </c>
      <c r="AP113" s="85">
        <v>3979</v>
      </c>
      <c r="AQ113" s="135">
        <v>755.17175934712475</v>
      </c>
      <c r="AR113" s="85">
        <v>5269</v>
      </c>
      <c r="AS113" s="85">
        <v>5563</v>
      </c>
      <c r="AT113" s="135">
        <v>3496.5430546825896</v>
      </c>
      <c r="AU113" s="85">
        <v>1591</v>
      </c>
      <c r="AV113" s="85">
        <v>587</v>
      </c>
      <c r="AW113" s="135">
        <v>890.74355083459784</v>
      </c>
      <c r="AX113" s="85">
        <v>659</v>
      </c>
      <c r="AY113" s="85">
        <v>90</v>
      </c>
      <c r="AZ113" s="135">
        <v>90000</v>
      </c>
      <c r="BA113" s="89">
        <v>1</v>
      </c>
      <c r="BB113" s="87">
        <v>182.64483413249829</v>
      </c>
      <c r="BC113" s="91">
        <v>22.034541658758776</v>
      </c>
      <c r="BD113" s="85">
        <v>1528</v>
      </c>
      <c r="BE113" s="92">
        <v>3.7012813991231255</v>
      </c>
      <c r="BF113" s="85">
        <v>8719</v>
      </c>
      <c r="BG113" s="92">
        <v>21.12007363805925</v>
      </c>
      <c r="BH113" s="85">
        <v>5154</v>
      </c>
      <c r="BI113" s="92">
        <v>12.484557808298815</v>
      </c>
      <c r="BJ113" s="85">
        <v>5381</v>
      </c>
      <c r="BK113" s="92">
        <v>13.034420948090014</v>
      </c>
      <c r="BL113" s="85">
        <v>3978</v>
      </c>
      <c r="BM113" s="92">
        <v>9.6359276215391318</v>
      </c>
      <c r="BN113" s="85">
        <v>11192</v>
      </c>
      <c r="BO113" s="92">
        <v>27.11043286582855</v>
      </c>
      <c r="BP113" s="85">
        <v>5331</v>
      </c>
      <c r="BQ113" s="92">
        <v>12.913305719061116</v>
      </c>
      <c r="BR113" s="165">
        <v>107.11531720995444</v>
      </c>
      <c r="BS113" s="165">
        <v>361.30389064143009</v>
      </c>
      <c r="BT113" s="111">
        <v>504.31125131440587</v>
      </c>
      <c r="BU113" s="165">
        <v>377.21696459866808</v>
      </c>
      <c r="BV113" s="165">
        <v>232.8776726253067</v>
      </c>
      <c r="BW113" s="165">
        <v>106.90501226778829</v>
      </c>
      <c r="BX113" s="165">
        <v>373.7118822292324</v>
      </c>
      <c r="BY113" s="112">
        <v>45.986680686996145</v>
      </c>
      <c r="BZ113" s="165">
        <v>784.57763757448299</v>
      </c>
      <c r="CA113" s="110" t="s">
        <v>355</v>
      </c>
      <c r="CB113" s="112">
        <v>332.55464260780838</v>
      </c>
      <c r="CC113" s="110" t="s">
        <v>355</v>
      </c>
      <c r="CD113" s="110" t="s">
        <v>355</v>
      </c>
      <c r="CE113" s="110" t="s">
        <v>355</v>
      </c>
      <c r="CF113" s="110" t="s">
        <v>355</v>
      </c>
      <c r="CG113" s="110" t="s">
        <v>355</v>
      </c>
      <c r="CH113" s="110" t="s">
        <v>355</v>
      </c>
      <c r="CI113" s="110" t="s">
        <v>355</v>
      </c>
      <c r="CJ113" s="87">
        <v>11630</v>
      </c>
      <c r="CK113" s="92">
        <v>48.374892519346517</v>
      </c>
      <c r="CL113" s="139">
        <v>1769.4499999999998</v>
      </c>
      <c r="CM113" s="139">
        <v>124.04135997195932</v>
      </c>
      <c r="CN113" s="139">
        <v>175.1</v>
      </c>
      <c r="CO113" s="115">
        <v>3</v>
      </c>
      <c r="CP113" s="115">
        <v>10</v>
      </c>
      <c r="CQ113" s="110">
        <v>5</v>
      </c>
      <c r="CR113" s="86">
        <v>2.6676445934618607</v>
      </c>
      <c r="CS113" s="85">
        <v>8350</v>
      </c>
      <c r="CT113" s="85">
        <v>8609</v>
      </c>
      <c r="CU113" s="84">
        <v>96.99</v>
      </c>
      <c r="CV113" s="84">
        <v>142.19</v>
      </c>
      <c r="CW113" s="84">
        <v>1.01</v>
      </c>
      <c r="CX113" s="115" t="s">
        <v>339</v>
      </c>
      <c r="CY113" s="114">
        <v>34000</v>
      </c>
      <c r="CZ113" s="129">
        <v>129000</v>
      </c>
      <c r="DA113" s="129">
        <v>0</v>
      </c>
      <c r="DB113" s="129">
        <v>5000</v>
      </c>
      <c r="DC113" s="129">
        <v>17000</v>
      </c>
      <c r="DD113" s="129">
        <v>253564</v>
      </c>
      <c r="DE113" s="87">
        <v>1</v>
      </c>
      <c r="DF113" s="87">
        <v>5436</v>
      </c>
      <c r="DG113" s="114">
        <v>2</v>
      </c>
      <c r="DH113" s="162">
        <v>9</v>
      </c>
      <c r="DI113" s="114">
        <v>1585</v>
      </c>
      <c r="DJ113" s="114">
        <v>33.333333333333329</v>
      </c>
      <c r="DK113" s="114">
        <v>66.666666666666657</v>
      </c>
      <c r="DL113" s="114">
        <v>0</v>
      </c>
      <c r="DM113" s="114">
        <v>0</v>
      </c>
      <c r="DN113" s="114">
        <v>0</v>
      </c>
      <c r="DO113" s="114">
        <v>78</v>
      </c>
      <c r="DP113" s="114">
        <v>22</v>
      </c>
      <c r="DQ113" s="88">
        <v>203</v>
      </c>
      <c r="DR113" s="147">
        <v>70.270935960591132</v>
      </c>
    </row>
    <row r="114" spans="1:122" ht="15" customHeight="1" thickBot="1">
      <c r="A114" s="100" t="s">
        <v>326</v>
      </c>
      <c r="B114" s="184">
        <v>2017</v>
      </c>
      <c r="C114" s="109">
        <v>10</v>
      </c>
      <c r="D114" s="83" t="s">
        <v>350</v>
      </c>
      <c r="E114" s="83" t="s">
        <v>409</v>
      </c>
      <c r="F114" s="132">
        <v>7127.4</v>
      </c>
      <c r="G114" s="85">
        <v>7909</v>
      </c>
      <c r="H114" s="86">
        <v>4.7966079236782866</v>
      </c>
      <c r="I114" s="132">
        <v>1.1096613070684962</v>
      </c>
      <c r="J114" s="85">
        <v>4034</v>
      </c>
      <c r="K114" s="173">
        <v>51.005183967631808</v>
      </c>
      <c r="L114" s="85">
        <v>3875</v>
      </c>
      <c r="M114" s="173">
        <v>48.994816032368185</v>
      </c>
      <c r="N114" s="161">
        <v>23.934757870780125</v>
      </c>
      <c r="O114" s="161">
        <v>45.606271336452139</v>
      </c>
      <c r="P114" s="161">
        <v>30.45897079276773</v>
      </c>
      <c r="Q114" s="161">
        <v>32.052092552787961</v>
      </c>
      <c r="R114" s="159">
        <v>37.488936654444302</v>
      </c>
      <c r="S114" s="160">
        <v>30.45897079276773</v>
      </c>
      <c r="T114" s="84">
        <v>2.2999999999999998</v>
      </c>
      <c r="U114" s="84">
        <v>1.6</v>
      </c>
      <c r="V114" s="89">
        <v>91</v>
      </c>
      <c r="W114" s="90">
        <v>3</v>
      </c>
      <c r="X114" s="148">
        <v>49730</v>
      </c>
      <c r="Y114" s="89">
        <v>2.4</v>
      </c>
      <c r="Z114" s="89" t="s">
        <v>342</v>
      </c>
      <c r="AA114" s="85">
        <v>1161</v>
      </c>
      <c r="AB114" s="110" t="s">
        <v>355</v>
      </c>
      <c r="AC114" s="110" t="s">
        <v>355</v>
      </c>
      <c r="AD114" s="110" t="s">
        <v>355</v>
      </c>
      <c r="AE114" s="110" t="s">
        <v>355</v>
      </c>
      <c r="AF114" s="84">
        <v>5.29</v>
      </c>
      <c r="AG114" s="84">
        <v>2.97</v>
      </c>
      <c r="AH114" s="84">
        <v>56.37</v>
      </c>
      <c r="AI114" s="86">
        <v>43.628928136098317</v>
      </c>
      <c r="AJ114" s="84">
        <v>2.94</v>
      </c>
      <c r="AK114" s="84">
        <v>19.850000000000001</v>
      </c>
      <c r="AL114" s="84">
        <v>1.347543352601156</v>
      </c>
      <c r="AM114" s="84">
        <v>18.48</v>
      </c>
      <c r="AN114" s="85">
        <v>26215</v>
      </c>
      <c r="AO114" s="85">
        <v>27680</v>
      </c>
      <c r="AP114" s="85">
        <v>1533</v>
      </c>
      <c r="AQ114" s="135">
        <v>490.87415946205573</v>
      </c>
      <c r="AR114" s="85">
        <v>3123</v>
      </c>
      <c r="AS114" s="85">
        <v>4808</v>
      </c>
      <c r="AT114" s="135">
        <v>1749.6360989810771</v>
      </c>
      <c r="AU114" s="85">
        <v>2748</v>
      </c>
      <c r="AV114" s="85">
        <v>274</v>
      </c>
      <c r="AW114" s="135">
        <v>982.07885304659499</v>
      </c>
      <c r="AX114" s="85">
        <v>279</v>
      </c>
      <c r="AY114" s="85">
        <v>2</v>
      </c>
      <c r="AZ114" s="135">
        <v>2000</v>
      </c>
      <c r="BA114" s="89">
        <v>1</v>
      </c>
      <c r="BB114" s="87">
        <v>250.02150521384314</v>
      </c>
      <c r="BC114" s="91">
        <v>20.10886967659302</v>
      </c>
      <c r="BD114" s="85">
        <v>3930</v>
      </c>
      <c r="BE114" s="92">
        <v>14.971428571428572</v>
      </c>
      <c r="BF114" s="85">
        <v>4305</v>
      </c>
      <c r="BG114" s="92">
        <v>16.400000000000002</v>
      </c>
      <c r="BH114" s="85">
        <v>2024</v>
      </c>
      <c r="BI114" s="92">
        <v>7.7104761904761894</v>
      </c>
      <c r="BJ114" s="85">
        <v>1100</v>
      </c>
      <c r="BK114" s="92">
        <v>4.1904761904761907</v>
      </c>
      <c r="BL114" s="85">
        <v>1659</v>
      </c>
      <c r="BM114" s="92">
        <v>6.32</v>
      </c>
      <c r="BN114" s="85">
        <v>7390</v>
      </c>
      <c r="BO114" s="92">
        <v>28.152380952380952</v>
      </c>
      <c r="BP114" s="85">
        <v>5842</v>
      </c>
      <c r="BQ114" s="92">
        <v>22.255238095238095</v>
      </c>
      <c r="BR114" s="165">
        <v>496.90226324440511</v>
      </c>
      <c r="BS114" s="165">
        <v>255.91098748261473</v>
      </c>
      <c r="BT114" s="111">
        <v>403.97016057655833</v>
      </c>
      <c r="BU114" s="165">
        <v>139.08205841446454</v>
      </c>
      <c r="BV114" s="165">
        <v>155.26615248451131</v>
      </c>
      <c r="BW114" s="165">
        <v>140.34644076368693</v>
      </c>
      <c r="BX114" s="165">
        <v>738.65216841572897</v>
      </c>
      <c r="BY114" s="112">
        <v>54.494879251485649</v>
      </c>
      <c r="BZ114" s="165">
        <v>934.37855607535721</v>
      </c>
      <c r="CA114" s="110" t="s">
        <v>355</v>
      </c>
      <c r="CB114" s="112">
        <v>404.06149174416396</v>
      </c>
      <c r="CC114" s="110" t="s">
        <v>355</v>
      </c>
      <c r="CD114" s="110" t="s">
        <v>355</v>
      </c>
      <c r="CE114" s="110" t="s">
        <v>355</v>
      </c>
      <c r="CF114" s="110" t="s">
        <v>355</v>
      </c>
      <c r="CG114" s="110" t="s">
        <v>355</v>
      </c>
      <c r="CH114" s="110" t="s">
        <v>355</v>
      </c>
      <c r="CI114" s="110" t="s">
        <v>355</v>
      </c>
      <c r="CJ114" s="87">
        <v>5168</v>
      </c>
      <c r="CK114" s="92">
        <v>30.901702786377712</v>
      </c>
      <c r="CL114" s="139">
        <v>1985.4</v>
      </c>
      <c r="CM114" s="139">
        <v>251.03047161461626</v>
      </c>
      <c r="CN114" s="139">
        <v>89.06</v>
      </c>
      <c r="CO114" s="115">
        <v>2</v>
      </c>
      <c r="CP114" s="115">
        <v>8</v>
      </c>
      <c r="CQ114" s="110">
        <v>2</v>
      </c>
      <c r="CR114" s="86">
        <v>5.1934135528815704</v>
      </c>
      <c r="CS114" s="85">
        <v>5627</v>
      </c>
      <c r="CT114" s="85">
        <v>5048</v>
      </c>
      <c r="CU114" s="84">
        <v>111.47</v>
      </c>
      <c r="CV114" s="84">
        <v>233.42</v>
      </c>
      <c r="CW114" s="84">
        <v>0.49</v>
      </c>
      <c r="CX114" s="115" t="s">
        <v>339</v>
      </c>
      <c r="CY114" s="114">
        <v>54000</v>
      </c>
      <c r="CZ114" s="129">
        <v>130000</v>
      </c>
      <c r="DA114" s="129">
        <v>0</v>
      </c>
      <c r="DB114" s="129">
        <v>9000</v>
      </c>
      <c r="DC114" s="129">
        <v>0</v>
      </c>
      <c r="DD114" s="129">
        <v>303835</v>
      </c>
      <c r="DE114" s="87">
        <v>4</v>
      </c>
      <c r="DF114" s="87">
        <v>7323</v>
      </c>
      <c r="DG114" s="114">
        <v>0</v>
      </c>
      <c r="DH114" s="162">
        <v>9</v>
      </c>
      <c r="DI114" s="114">
        <v>878.77777777777783</v>
      </c>
      <c r="DJ114" s="114">
        <v>11.111111111111111</v>
      </c>
      <c r="DK114" s="114">
        <v>88.888888888888886</v>
      </c>
      <c r="DL114" s="114">
        <v>0</v>
      </c>
      <c r="DM114" s="114">
        <v>0</v>
      </c>
      <c r="DN114" s="114">
        <v>0</v>
      </c>
      <c r="DO114" s="114">
        <v>44</v>
      </c>
      <c r="DP114" s="114">
        <v>56</v>
      </c>
      <c r="DQ114" s="88">
        <v>138</v>
      </c>
      <c r="DR114" s="147">
        <v>57.311594202898547</v>
      </c>
    </row>
    <row r="115" spans="1:122" ht="15" customHeight="1" thickBot="1">
      <c r="A115" s="100" t="s">
        <v>327</v>
      </c>
      <c r="B115" s="184">
        <v>2017</v>
      </c>
      <c r="C115" s="109">
        <v>10</v>
      </c>
      <c r="D115" s="83" t="s">
        <v>350</v>
      </c>
      <c r="E115" s="83" t="s">
        <v>406</v>
      </c>
      <c r="F115" s="132">
        <v>3226.5</v>
      </c>
      <c r="G115" s="85">
        <v>6103</v>
      </c>
      <c r="H115" s="86">
        <v>-2.8339436395478423</v>
      </c>
      <c r="I115" s="132">
        <v>1.8915233224856656</v>
      </c>
      <c r="J115" s="85">
        <v>2953</v>
      </c>
      <c r="K115" s="173">
        <v>48.386039652629854</v>
      </c>
      <c r="L115" s="85">
        <v>3150</v>
      </c>
      <c r="M115" s="173">
        <v>51.613960347370146</v>
      </c>
      <c r="N115" s="161">
        <v>26.019990168769457</v>
      </c>
      <c r="O115" s="161">
        <v>45.813534327379976</v>
      </c>
      <c r="P115" s="161">
        <v>28.166475503850563</v>
      </c>
      <c r="Q115" s="161">
        <v>33.737506144519088</v>
      </c>
      <c r="R115" s="159">
        <v>38.096018351630349</v>
      </c>
      <c r="S115" s="160">
        <v>28.166475503850563</v>
      </c>
      <c r="T115" s="84">
        <v>6.9</v>
      </c>
      <c r="U115" s="84">
        <v>1.6</v>
      </c>
      <c r="V115" s="89">
        <v>76</v>
      </c>
      <c r="W115" s="90">
        <v>4.4000000000000004</v>
      </c>
      <c r="X115" s="148">
        <v>46021</v>
      </c>
      <c r="Y115" s="89">
        <v>2.4</v>
      </c>
      <c r="Z115" s="89" t="s">
        <v>342</v>
      </c>
      <c r="AA115" s="85">
        <v>654</v>
      </c>
      <c r="AB115" s="110" t="s">
        <v>355</v>
      </c>
      <c r="AC115" s="110" t="s">
        <v>355</v>
      </c>
      <c r="AD115" s="110" t="s">
        <v>355</v>
      </c>
      <c r="AE115" s="110" t="s">
        <v>355</v>
      </c>
      <c r="AF115" s="84">
        <v>2.16</v>
      </c>
      <c r="AG115" s="84">
        <v>2.25</v>
      </c>
      <c r="AH115" s="84">
        <v>69.45</v>
      </c>
      <c r="AI115" s="86">
        <v>43.608342638467711</v>
      </c>
      <c r="AJ115" s="84">
        <v>5.38</v>
      </c>
      <c r="AK115" s="84">
        <v>13.18</v>
      </c>
      <c r="AL115" s="84">
        <v>1.7370228236719853</v>
      </c>
      <c r="AM115" s="84">
        <v>10.26</v>
      </c>
      <c r="AN115" s="85">
        <v>19376</v>
      </c>
      <c r="AO115" s="85">
        <v>19804</v>
      </c>
      <c r="AP115" s="85">
        <v>1482</v>
      </c>
      <c r="AQ115" s="135">
        <v>651.42857142857144</v>
      </c>
      <c r="AR115" s="85">
        <v>2275</v>
      </c>
      <c r="AS115" s="85">
        <v>2013</v>
      </c>
      <c r="AT115" s="135">
        <v>3360.601001669449</v>
      </c>
      <c r="AU115" s="85">
        <v>599</v>
      </c>
      <c r="AV115" s="85">
        <v>101</v>
      </c>
      <c r="AW115" s="135">
        <v>664.47368421052636</v>
      </c>
      <c r="AX115" s="85">
        <v>152</v>
      </c>
      <c r="AY115" s="135" t="s">
        <v>379</v>
      </c>
      <c r="AZ115" s="135" t="s">
        <v>379</v>
      </c>
      <c r="BA115" s="89">
        <v>0</v>
      </c>
      <c r="BB115" s="87">
        <v>224.46547413793104</v>
      </c>
      <c r="BC115" s="91">
        <v>26.065934065934066</v>
      </c>
      <c r="BD115" s="85">
        <v>1847</v>
      </c>
      <c r="BE115" s="92">
        <v>9.4912641315519011</v>
      </c>
      <c r="BF115" s="85">
        <v>2463</v>
      </c>
      <c r="BG115" s="92">
        <v>12.656731757451182</v>
      </c>
      <c r="BH115" s="85">
        <v>1925</v>
      </c>
      <c r="BI115" s="92">
        <v>9.8920863309352516</v>
      </c>
      <c r="BJ115" s="85">
        <v>6517</v>
      </c>
      <c r="BK115" s="92">
        <v>33.489208633093526</v>
      </c>
      <c r="BL115" s="85">
        <v>895</v>
      </c>
      <c r="BM115" s="92">
        <v>4.5991778006166495</v>
      </c>
      <c r="BN115" s="85">
        <v>5106</v>
      </c>
      <c r="BO115" s="92">
        <v>26.238437821171633</v>
      </c>
      <c r="BP115" s="85">
        <v>707</v>
      </c>
      <c r="BQ115" s="92">
        <v>3.6330935251798562</v>
      </c>
      <c r="BR115" s="165">
        <v>302.63804686219891</v>
      </c>
      <c r="BS115" s="165">
        <v>315.41864656726199</v>
      </c>
      <c r="BT115" s="111">
        <v>329.83778469605113</v>
      </c>
      <c r="BU115" s="165">
        <v>1067.8354907422579</v>
      </c>
      <c r="BV115" s="165">
        <v>92.249713255775845</v>
      </c>
      <c r="BW115" s="165">
        <v>73.734229067671635</v>
      </c>
      <c r="BX115" s="165">
        <v>115.84466655743077</v>
      </c>
      <c r="BY115" s="112">
        <v>54.399475667704408</v>
      </c>
      <c r="BZ115" s="165">
        <v>836.63771915451423</v>
      </c>
      <c r="CA115" s="110" t="s">
        <v>355</v>
      </c>
      <c r="CB115" s="112">
        <v>338.77681716298429</v>
      </c>
      <c r="CC115" s="110" t="s">
        <v>355</v>
      </c>
      <c r="CD115" s="110" t="s">
        <v>355</v>
      </c>
      <c r="CE115" s="110" t="s">
        <v>355</v>
      </c>
      <c r="CF115" s="110" t="s">
        <v>355</v>
      </c>
      <c r="CG115" s="110" t="s">
        <v>355</v>
      </c>
      <c r="CH115" s="110" t="s">
        <v>355</v>
      </c>
      <c r="CI115" s="110" t="s">
        <v>355</v>
      </c>
      <c r="CJ115" s="87">
        <v>6060</v>
      </c>
      <c r="CK115" s="92">
        <v>40.181518151815183</v>
      </c>
      <c r="CL115" s="139">
        <v>935.35</v>
      </c>
      <c r="CM115" s="139">
        <v>153.26069146321481</v>
      </c>
      <c r="CN115" s="139">
        <v>30</v>
      </c>
      <c r="CO115" s="115">
        <v>1</v>
      </c>
      <c r="CP115" s="115">
        <v>2</v>
      </c>
      <c r="CQ115" s="110">
        <v>1</v>
      </c>
      <c r="CR115" s="86">
        <v>3.2837285363859361</v>
      </c>
      <c r="CS115" s="85">
        <v>4041.1238499999999</v>
      </c>
      <c r="CT115" s="85">
        <v>4124</v>
      </c>
      <c r="CU115" s="84">
        <v>97.99</v>
      </c>
      <c r="CV115" s="84">
        <v>63.39</v>
      </c>
      <c r="CW115" s="84">
        <v>0.42</v>
      </c>
      <c r="CX115" s="115" t="s">
        <v>339</v>
      </c>
      <c r="CY115" s="114">
        <v>8000</v>
      </c>
      <c r="CZ115" s="129">
        <v>120000</v>
      </c>
      <c r="DA115" s="129">
        <v>0</v>
      </c>
      <c r="DB115" s="129">
        <v>3000</v>
      </c>
      <c r="DC115" s="129">
        <v>1000</v>
      </c>
      <c r="DD115" s="129">
        <v>241765</v>
      </c>
      <c r="DE115" s="87">
        <v>0</v>
      </c>
      <c r="DF115" s="87">
        <v>0</v>
      </c>
      <c r="DG115" s="114">
        <v>0</v>
      </c>
      <c r="DH115" s="162">
        <v>9</v>
      </c>
      <c r="DI115" s="114">
        <v>678.11111111111109</v>
      </c>
      <c r="DJ115" s="114">
        <v>33</v>
      </c>
      <c r="DK115" s="114">
        <v>67</v>
      </c>
      <c r="DL115" s="114">
        <v>0</v>
      </c>
      <c r="DM115" s="114">
        <v>0</v>
      </c>
      <c r="DN115" s="114">
        <v>11</v>
      </c>
      <c r="DO115" s="114">
        <v>33</v>
      </c>
      <c r="DP115" s="114">
        <v>56</v>
      </c>
      <c r="DQ115" s="88">
        <v>136</v>
      </c>
      <c r="DR115" s="147">
        <v>44.875</v>
      </c>
    </row>
    <row r="116" spans="1:122" ht="15" customHeight="1" thickBot="1">
      <c r="A116" s="100" t="s">
        <v>328</v>
      </c>
      <c r="B116" s="184">
        <v>2017</v>
      </c>
      <c r="C116" s="109">
        <v>4</v>
      </c>
      <c r="D116" s="83" t="s">
        <v>347</v>
      </c>
      <c r="E116" s="83"/>
      <c r="F116" s="132">
        <v>4824.5</v>
      </c>
      <c r="G116" s="85">
        <v>64265</v>
      </c>
      <c r="H116" s="86">
        <v>4.0796164933760926</v>
      </c>
      <c r="I116" s="132">
        <v>13.320551352471758</v>
      </c>
      <c r="J116" s="85">
        <v>31367</v>
      </c>
      <c r="K116" s="173">
        <v>48.808838403485566</v>
      </c>
      <c r="L116" s="85">
        <v>32898</v>
      </c>
      <c r="M116" s="173">
        <v>51.191161596514434</v>
      </c>
      <c r="N116" s="161">
        <v>27.652688088384036</v>
      </c>
      <c r="O116" s="161">
        <v>52.075001945071186</v>
      </c>
      <c r="P116" s="161">
        <v>20.272309966544775</v>
      </c>
      <c r="Q116" s="161">
        <v>43.074768536528438</v>
      </c>
      <c r="R116" s="159">
        <v>36.652921496926787</v>
      </c>
      <c r="S116" s="160">
        <v>20.272309966544775</v>
      </c>
      <c r="T116" s="84">
        <v>5.6</v>
      </c>
      <c r="U116" s="84">
        <v>6.6</v>
      </c>
      <c r="V116" s="89">
        <v>88</v>
      </c>
      <c r="W116" s="90">
        <v>6.1</v>
      </c>
      <c r="X116" s="148">
        <v>53209</v>
      </c>
      <c r="Y116" s="89">
        <v>2.5</v>
      </c>
      <c r="Z116" s="89" t="s">
        <v>340</v>
      </c>
      <c r="AA116" s="85">
        <v>5379</v>
      </c>
      <c r="AB116" s="110" t="s">
        <v>355</v>
      </c>
      <c r="AC116" s="110" t="s">
        <v>355</v>
      </c>
      <c r="AD116" s="110" t="s">
        <v>355</v>
      </c>
      <c r="AE116" s="110" t="s">
        <v>355</v>
      </c>
      <c r="AF116" s="84">
        <v>-8.11</v>
      </c>
      <c r="AG116" s="84">
        <v>2.99</v>
      </c>
      <c r="AH116" s="84">
        <v>65.010000000000005</v>
      </c>
      <c r="AI116" s="86">
        <v>34.947621656679125</v>
      </c>
      <c r="AJ116" s="84">
        <v>4.82</v>
      </c>
      <c r="AK116" s="84">
        <v>4.79</v>
      </c>
      <c r="AL116" s="84">
        <v>5.2882580095020488</v>
      </c>
      <c r="AM116" s="84">
        <v>8.89</v>
      </c>
      <c r="AN116" s="85">
        <v>121045.336</v>
      </c>
      <c r="AO116" s="85">
        <v>112146.15</v>
      </c>
      <c r="AP116" s="85">
        <v>25476.391</v>
      </c>
      <c r="AQ116" s="135">
        <v>1038.6233030290675</v>
      </c>
      <c r="AR116" s="85">
        <v>24529</v>
      </c>
      <c r="AS116" s="85">
        <v>4860.0630000000001</v>
      </c>
      <c r="AT116" s="135">
        <v>2665.9698299506308</v>
      </c>
      <c r="AU116" s="85">
        <v>1823</v>
      </c>
      <c r="AV116" s="85">
        <v>10636.374</v>
      </c>
      <c r="AW116" s="135">
        <v>5690.9438202247193</v>
      </c>
      <c r="AX116" s="85">
        <v>1869</v>
      </c>
      <c r="AY116" s="135" t="s">
        <v>379</v>
      </c>
      <c r="AZ116" s="135" t="s">
        <v>379</v>
      </c>
      <c r="BA116" s="89">
        <v>0</v>
      </c>
      <c r="BB116" s="87">
        <v>129.17630230454193</v>
      </c>
      <c r="BC116" s="91">
        <v>12.882710261323332</v>
      </c>
      <c r="BD116" s="85">
        <v>19542.339889999999</v>
      </c>
      <c r="BE116" s="92">
        <v>15.670833893020102</v>
      </c>
      <c r="BF116" s="85">
        <v>20088.172729999998</v>
      </c>
      <c r="BG116" s="92">
        <v>16.108532542063273</v>
      </c>
      <c r="BH116" s="85">
        <v>13289.391039999999</v>
      </c>
      <c r="BI116" s="92">
        <v>10.656648113760223</v>
      </c>
      <c r="BJ116" s="85">
        <v>8050.2358700000004</v>
      </c>
      <c r="BK116" s="92">
        <v>6.4554147470823775</v>
      </c>
      <c r="BL116" s="85">
        <v>19043.907920000001</v>
      </c>
      <c r="BM116" s="92">
        <v>15.271145593010665</v>
      </c>
      <c r="BN116" s="85">
        <v>8481.5065599999944</v>
      </c>
      <c r="BO116" s="92">
        <v>6.80124699562373</v>
      </c>
      <c r="BP116" s="85">
        <v>36209.614990000002</v>
      </c>
      <c r="BQ116" s="92">
        <v>29.036178115439625</v>
      </c>
      <c r="BR116" s="165">
        <v>304.0899383801447</v>
      </c>
      <c r="BS116" s="165">
        <v>206.79049311444797</v>
      </c>
      <c r="BT116" s="111">
        <v>260.09434419979772</v>
      </c>
      <c r="BU116" s="165">
        <v>125.26625488212869</v>
      </c>
      <c r="BV116" s="165">
        <v>260.34452688088385</v>
      </c>
      <c r="BW116" s="165">
        <v>52.489064031743567</v>
      </c>
      <c r="BX116" s="165">
        <v>563.44223123006304</v>
      </c>
      <c r="BY116" s="112">
        <v>35.98952618065821</v>
      </c>
      <c r="BZ116" s="165">
        <v>131.97707243445103</v>
      </c>
      <c r="CA116" s="110" t="s">
        <v>355</v>
      </c>
      <c r="CB116" s="112">
        <v>232.52747252747253</v>
      </c>
      <c r="CC116" s="110" t="s">
        <v>355</v>
      </c>
      <c r="CD116" s="110" t="s">
        <v>355</v>
      </c>
      <c r="CE116" s="110" t="s">
        <v>355</v>
      </c>
      <c r="CF116" s="110" t="s">
        <v>355</v>
      </c>
      <c r="CG116" s="110" t="s">
        <v>355</v>
      </c>
      <c r="CH116" s="110" t="s">
        <v>355</v>
      </c>
      <c r="CI116" s="110" t="s">
        <v>355</v>
      </c>
      <c r="CJ116" s="87">
        <v>45749</v>
      </c>
      <c r="CK116" s="92">
        <v>61.022098843690578</v>
      </c>
      <c r="CL116" s="139">
        <v>2305.71</v>
      </c>
      <c r="CM116" s="139">
        <v>35.878160740683107</v>
      </c>
      <c r="CN116" s="139">
        <v>1822.37</v>
      </c>
      <c r="CO116" s="115">
        <v>1</v>
      </c>
      <c r="CP116" s="115">
        <v>10</v>
      </c>
      <c r="CQ116" s="110">
        <v>2</v>
      </c>
      <c r="CR116" s="86">
        <v>4.7452806756085444</v>
      </c>
      <c r="CS116" s="85">
        <v>15349.716</v>
      </c>
      <c r="CT116" s="85">
        <v>24321.149000000001</v>
      </c>
      <c r="CU116" s="84">
        <v>63.11</v>
      </c>
      <c r="CV116" s="84">
        <v>42.15</v>
      </c>
      <c r="CW116" s="84">
        <v>23.16</v>
      </c>
      <c r="CX116" s="115" t="s">
        <v>339</v>
      </c>
      <c r="CY116" s="114">
        <v>0</v>
      </c>
      <c r="CZ116" s="129">
        <v>215907</v>
      </c>
      <c r="DA116" s="129">
        <v>4000</v>
      </c>
      <c r="DB116" s="129">
        <v>16000</v>
      </c>
      <c r="DC116" s="129">
        <v>3000</v>
      </c>
      <c r="DD116" s="129">
        <v>312271</v>
      </c>
      <c r="DE116" s="87">
        <v>1</v>
      </c>
      <c r="DF116" s="87">
        <v>0</v>
      </c>
      <c r="DG116" s="114">
        <v>0</v>
      </c>
      <c r="DH116" s="163">
        <v>9</v>
      </c>
      <c r="DI116" s="114">
        <v>7140.5555555555557</v>
      </c>
      <c r="DJ116" s="114">
        <v>22</v>
      </c>
      <c r="DK116" s="114">
        <v>78</v>
      </c>
      <c r="DL116" s="114">
        <v>0</v>
      </c>
      <c r="DM116" s="114">
        <v>0</v>
      </c>
      <c r="DN116" s="114">
        <v>0</v>
      </c>
      <c r="DO116" s="114">
        <v>56</v>
      </c>
      <c r="DP116" s="114">
        <v>44</v>
      </c>
      <c r="DQ116" s="88">
        <v>465</v>
      </c>
      <c r="DR116" s="147">
        <v>138.20430107526883</v>
      </c>
    </row>
    <row r="117" spans="1:122" ht="15" customHeight="1" thickBot="1">
      <c r="A117" s="100" t="s">
        <v>38</v>
      </c>
      <c r="B117" s="184">
        <v>2017</v>
      </c>
      <c r="C117" s="109">
        <v>9</v>
      </c>
      <c r="D117" s="83" t="s">
        <v>348</v>
      </c>
      <c r="E117" s="83" t="s">
        <v>414</v>
      </c>
      <c r="F117" s="132">
        <v>6261</v>
      </c>
      <c r="G117" s="85">
        <v>3144</v>
      </c>
      <c r="H117" s="86">
        <v>1.81347150259068</v>
      </c>
      <c r="I117" s="132">
        <v>0.50215620507906089</v>
      </c>
      <c r="J117" s="85">
        <v>1594</v>
      </c>
      <c r="K117" s="173">
        <v>50.699745547073796</v>
      </c>
      <c r="L117" s="85">
        <v>1550</v>
      </c>
      <c r="M117" s="173">
        <v>49.300254452926204</v>
      </c>
      <c r="N117" s="161">
        <v>22.709923664122137</v>
      </c>
      <c r="O117" s="161">
        <v>44.465648854961835</v>
      </c>
      <c r="P117" s="161">
        <v>32.824427480916029</v>
      </c>
      <c r="Q117" s="161">
        <v>32.156488549618324</v>
      </c>
      <c r="R117" s="159">
        <v>35.019083969465647</v>
      </c>
      <c r="S117" s="160">
        <v>32.824427480916029</v>
      </c>
      <c r="T117" s="84">
        <v>6</v>
      </c>
      <c r="U117" s="84">
        <v>1.4</v>
      </c>
      <c r="V117" s="89">
        <v>80</v>
      </c>
      <c r="W117" s="90">
        <v>4.5999999999999996</v>
      </c>
      <c r="X117" s="148">
        <v>41354</v>
      </c>
      <c r="Y117" s="89">
        <v>2.2999999999999998</v>
      </c>
      <c r="Z117" s="89" t="s">
        <v>342</v>
      </c>
      <c r="AA117" s="85">
        <v>622</v>
      </c>
      <c r="AB117" s="110" t="s">
        <v>355</v>
      </c>
      <c r="AC117" s="110" t="s">
        <v>355</v>
      </c>
      <c r="AD117" s="110" t="s">
        <v>355</v>
      </c>
      <c r="AE117" s="110" t="s">
        <v>355</v>
      </c>
      <c r="AF117" s="84">
        <v>7.45</v>
      </c>
      <c r="AG117" s="84">
        <v>6.48</v>
      </c>
      <c r="AH117" s="84">
        <v>59.12</v>
      </c>
      <c r="AI117" s="86">
        <v>40.883673542066006</v>
      </c>
      <c r="AJ117" s="84">
        <v>3.43</v>
      </c>
      <c r="AK117" s="84">
        <v>24.74</v>
      </c>
      <c r="AL117" s="84">
        <v>0.71782099818037259</v>
      </c>
      <c r="AM117" s="84">
        <v>9.65</v>
      </c>
      <c r="AN117" s="85">
        <v>13667</v>
      </c>
      <c r="AO117" s="85">
        <v>14766.912679999999</v>
      </c>
      <c r="AP117" s="85">
        <v>409</v>
      </c>
      <c r="AQ117" s="135">
        <v>445.53376906318084</v>
      </c>
      <c r="AR117" s="85">
        <v>918</v>
      </c>
      <c r="AS117" s="85">
        <v>2755</v>
      </c>
      <c r="AT117" s="135">
        <v>3753.4059945504086</v>
      </c>
      <c r="AU117" s="85">
        <v>734</v>
      </c>
      <c r="AV117" s="85">
        <v>111</v>
      </c>
      <c r="AW117" s="135">
        <v>776.22377622377621</v>
      </c>
      <c r="AX117" s="85">
        <v>143</v>
      </c>
      <c r="AY117" s="85">
        <v>2</v>
      </c>
      <c r="AZ117" s="135">
        <v>666.66666666666663</v>
      </c>
      <c r="BA117" s="89">
        <v>3</v>
      </c>
      <c r="BB117" s="87">
        <v>328.58313060726272</v>
      </c>
      <c r="BC117" s="91">
        <v>26.797385620915033</v>
      </c>
      <c r="BD117" s="85">
        <v>765</v>
      </c>
      <c r="BE117" s="92">
        <v>5.3503986571548472</v>
      </c>
      <c r="BF117" s="85">
        <v>2162</v>
      </c>
      <c r="BG117" s="92">
        <v>15.1209959434886</v>
      </c>
      <c r="BH117" s="85">
        <v>1037</v>
      </c>
      <c r="BI117" s="92">
        <v>7.2527626241432372</v>
      </c>
      <c r="BJ117" s="85">
        <v>1206</v>
      </c>
      <c r="BK117" s="92">
        <v>8.4347461183382286</v>
      </c>
      <c r="BL117" s="85">
        <v>802</v>
      </c>
      <c r="BM117" s="92">
        <v>5.6091761085466496</v>
      </c>
      <c r="BN117" s="85">
        <v>4426</v>
      </c>
      <c r="BO117" s="92">
        <v>30.955378374597846</v>
      </c>
      <c r="BP117" s="85">
        <v>3900</v>
      </c>
      <c r="BQ117" s="92">
        <v>27.27654217373059</v>
      </c>
      <c r="BR117" s="165">
        <v>243.32061068702291</v>
      </c>
      <c r="BS117" s="165">
        <v>329.83460559796436</v>
      </c>
      <c r="BT117" s="111">
        <v>490.13994910941477</v>
      </c>
      <c r="BU117" s="165">
        <v>383.58778625954199</v>
      </c>
      <c r="BV117" s="165">
        <v>200.06361323155215</v>
      </c>
      <c r="BW117" s="165">
        <v>197.51908396946564</v>
      </c>
      <c r="BX117" s="165">
        <v>1240.4580152671756</v>
      </c>
      <c r="BY117" s="112">
        <v>55.025445292620866</v>
      </c>
      <c r="BZ117" s="165">
        <v>1407.7608142493639</v>
      </c>
      <c r="CA117" s="110" t="s">
        <v>355</v>
      </c>
      <c r="CB117" s="112">
        <v>295.35170614374823</v>
      </c>
      <c r="CC117" s="110" t="s">
        <v>355</v>
      </c>
      <c r="CD117" s="110" t="s">
        <v>355</v>
      </c>
      <c r="CE117" s="110" t="s">
        <v>355</v>
      </c>
      <c r="CF117" s="110" t="s">
        <v>355</v>
      </c>
      <c r="CG117" s="110" t="s">
        <v>355</v>
      </c>
      <c r="CH117" s="110" t="s">
        <v>355</v>
      </c>
      <c r="CI117" s="110" t="s">
        <v>355</v>
      </c>
      <c r="CJ117" s="87">
        <v>1874</v>
      </c>
      <c r="CK117" s="92">
        <v>35.965848452508006</v>
      </c>
      <c r="CL117" s="139">
        <v>933.79</v>
      </c>
      <c r="CM117" s="139">
        <v>297.00699745547075</v>
      </c>
      <c r="CN117" s="139">
        <v>32</v>
      </c>
      <c r="CO117" s="115">
        <v>1</v>
      </c>
      <c r="CP117" s="115">
        <v>0</v>
      </c>
      <c r="CQ117" s="110">
        <v>1</v>
      </c>
      <c r="CR117" s="86">
        <v>2.7171365220145707</v>
      </c>
      <c r="CS117" s="85">
        <v>2586.5279999999998</v>
      </c>
      <c r="CT117" s="85">
        <v>2295</v>
      </c>
      <c r="CU117" s="84">
        <v>112.7</v>
      </c>
      <c r="CV117" s="84">
        <v>103.59</v>
      </c>
      <c r="CW117" s="84">
        <v>4.1500000000000004</v>
      </c>
      <c r="CX117" s="115" t="s">
        <v>339</v>
      </c>
      <c r="CY117" s="114">
        <v>75000</v>
      </c>
      <c r="CZ117" s="129">
        <v>114000</v>
      </c>
      <c r="DA117" s="129">
        <v>4000</v>
      </c>
      <c r="DB117" s="129">
        <v>2431</v>
      </c>
      <c r="DC117" s="129">
        <v>11724</v>
      </c>
      <c r="DD117" s="129">
        <v>231137</v>
      </c>
      <c r="DE117" s="87">
        <v>0</v>
      </c>
      <c r="DF117" s="87">
        <v>0</v>
      </c>
      <c r="DG117" s="114">
        <v>0</v>
      </c>
      <c r="DH117" s="162">
        <v>8</v>
      </c>
      <c r="DI117" s="114">
        <v>393</v>
      </c>
      <c r="DJ117" s="114">
        <v>25</v>
      </c>
      <c r="DK117" s="114">
        <v>75</v>
      </c>
      <c r="DL117" s="114">
        <v>0</v>
      </c>
      <c r="DM117" s="114">
        <v>0</v>
      </c>
      <c r="DN117" s="114">
        <v>12.5</v>
      </c>
      <c r="DO117" s="114">
        <v>50</v>
      </c>
      <c r="DP117" s="114">
        <v>37</v>
      </c>
      <c r="DQ117" s="88">
        <v>73</v>
      </c>
      <c r="DR117" s="147">
        <v>43.06849315068493</v>
      </c>
    </row>
    <row r="118" spans="1:122" ht="15" customHeight="1" thickBot="1">
      <c r="A118" s="100" t="s">
        <v>329</v>
      </c>
      <c r="B118" s="184">
        <v>2017</v>
      </c>
      <c r="C118" s="109">
        <v>10</v>
      </c>
      <c r="D118" s="83" t="s">
        <v>350</v>
      </c>
      <c r="E118" s="83" t="s">
        <v>417</v>
      </c>
      <c r="F118" s="132">
        <v>22308.400000000001</v>
      </c>
      <c r="G118" s="85">
        <v>6190</v>
      </c>
      <c r="H118" s="86">
        <v>-8.9438070020594331</v>
      </c>
      <c r="I118" s="132">
        <v>0.27747395599863728</v>
      </c>
      <c r="J118" s="85">
        <v>3284</v>
      </c>
      <c r="K118" s="173">
        <v>53.05331179321486</v>
      </c>
      <c r="L118" s="85">
        <v>2906</v>
      </c>
      <c r="M118" s="173">
        <v>46.94668820678514</v>
      </c>
      <c r="N118" s="161">
        <v>24.959612277867528</v>
      </c>
      <c r="O118" s="161">
        <v>49.224555735056541</v>
      </c>
      <c r="P118" s="161">
        <v>25.815831987075928</v>
      </c>
      <c r="Q118" s="161">
        <v>36.042003231017773</v>
      </c>
      <c r="R118" s="159">
        <v>38.142164781906303</v>
      </c>
      <c r="S118" s="160">
        <v>25.815831987075928</v>
      </c>
      <c r="T118" s="84">
        <v>29.4</v>
      </c>
      <c r="U118" s="84">
        <v>5.3</v>
      </c>
      <c r="V118" s="89">
        <v>3</v>
      </c>
      <c r="W118" s="90">
        <v>6.3</v>
      </c>
      <c r="X118" s="148">
        <v>41523</v>
      </c>
      <c r="Y118" s="89">
        <v>2.2999999999999998</v>
      </c>
      <c r="Z118" s="89" t="s">
        <v>342</v>
      </c>
      <c r="AA118" s="85">
        <v>761</v>
      </c>
      <c r="AB118" s="110" t="s">
        <v>355</v>
      </c>
      <c r="AC118" s="110" t="s">
        <v>355</v>
      </c>
      <c r="AD118" s="110" t="s">
        <v>355</v>
      </c>
      <c r="AE118" s="110" t="s">
        <v>355</v>
      </c>
      <c r="AF118" s="84">
        <v>-3.79</v>
      </c>
      <c r="AG118" s="84">
        <v>5.17</v>
      </c>
      <c r="AH118" s="84">
        <v>51.05</v>
      </c>
      <c r="AI118" s="86">
        <v>48.952933632151215</v>
      </c>
      <c r="AJ118" s="84">
        <v>9.48</v>
      </c>
      <c r="AK118" s="84">
        <v>7.73</v>
      </c>
      <c r="AL118" s="84">
        <v>2.572926909210095</v>
      </c>
      <c r="AM118" s="84">
        <v>17.04</v>
      </c>
      <c r="AN118" s="85">
        <v>31666</v>
      </c>
      <c r="AO118" s="85">
        <v>30510</v>
      </c>
      <c r="AP118" s="85">
        <v>1204</v>
      </c>
      <c r="AQ118" s="135">
        <v>334.63035019455253</v>
      </c>
      <c r="AR118" s="85">
        <v>3598</v>
      </c>
      <c r="AS118" s="85">
        <v>3661</v>
      </c>
      <c r="AT118" s="135">
        <v>4389.6882494004794</v>
      </c>
      <c r="AU118" s="85">
        <v>834</v>
      </c>
      <c r="AV118" s="85">
        <v>322</v>
      </c>
      <c r="AW118" s="135">
        <v>682.20338983050851</v>
      </c>
      <c r="AX118" s="85">
        <v>472</v>
      </c>
      <c r="AY118" s="135" t="s">
        <v>379</v>
      </c>
      <c r="AZ118" s="135" t="s">
        <v>379</v>
      </c>
      <c r="BA118" s="89">
        <v>0</v>
      </c>
      <c r="BB118" s="87">
        <v>239.14437883169461</v>
      </c>
      <c r="BC118" s="91">
        <v>19.038354641467482</v>
      </c>
      <c r="BD118" s="85">
        <v>4608</v>
      </c>
      <c r="BE118" s="92">
        <v>14.551885302848481</v>
      </c>
      <c r="BF118" s="85">
        <v>3392</v>
      </c>
      <c r="BG118" s="92">
        <v>10.711804459041243</v>
      </c>
      <c r="BH118" s="85">
        <v>1532</v>
      </c>
      <c r="BI118" s="92">
        <v>4.8379965894018824</v>
      </c>
      <c r="BJ118" s="85">
        <v>3672</v>
      </c>
      <c r="BK118" s="92">
        <v>11.596033600707385</v>
      </c>
      <c r="BL118" s="85">
        <v>2639</v>
      </c>
      <c r="BM118" s="92">
        <v>8.3338596602033732</v>
      </c>
      <c r="BN118" s="85">
        <v>5589</v>
      </c>
      <c r="BO118" s="92">
        <v>17.649845259900211</v>
      </c>
      <c r="BP118" s="85">
        <v>10234</v>
      </c>
      <c r="BQ118" s="92">
        <v>32.318575127897432</v>
      </c>
      <c r="BR118" s="165">
        <v>744.42649434571888</v>
      </c>
      <c r="BS118" s="165">
        <v>247.49596122778675</v>
      </c>
      <c r="BT118" s="111">
        <v>471.24394184168011</v>
      </c>
      <c r="BU118" s="165">
        <v>593.21486268174476</v>
      </c>
      <c r="BV118" s="165">
        <v>355.25040387722134</v>
      </c>
      <c r="BW118" s="165">
        <v>76.736672051696289</v>
      </c>
      <c r="BX118" s="165">
        <v>1653.3117932148627</v>
      </c>
      <c r="BY118" s="112">
        <v>71.082390953150238</v>
      </c>
      <c r="BZ118" s="165">
        <v>902.90791599353793</v>
      </c>
      <c r="CA118" s="110" t="s">
        <v>355</v>
      </c>
      <c r="CB118" s="112">
        <v>388.88888888888891</v>
      </c>
      <c r="CC118" s="110" t="s">
        <v>355</v>
      </c>
      <c r="CD118" s="110" t="s">
        <v>355</v>
      </c>
      <c r="CE118" s="110" t="s">
        <v>355</v>
      </c>
      <c r="CF118" s="110" t="s">
        <v>355</v>
      </c>
      <c r="CG118" s="110" t="s">
        <v>355</v>
      </c>
      <c r="CH118" s="110" t="s">
        <v>355</v>
      </c>
      <c r="CI118" s="110" t="s">
        <v>355</v>
      </c>
      <c r="CJ118" s="87">
        <v>4111</v>
      </c>
      <c r="CK118" s="92">
        <v>33.471174896618827</v>
      </c>
      <c r="CL118" s="139">
        <v>2376.06</v>
      </c>
      <c r="CM118" s="139">
        <v>383.85460420032308</v>
      </c>
      <c r="CN118" s="139">
        <v>38.799999999999997</v>
      </c>
      <c r="CO118" s="115">
        <v>6</v>
      </c>
      <c r="CP118" s="115">
        <v>5</v>
      </c>
      <c r="CQ118" s="110">
        <v>2</v>
      </c>
      <c r="CR118" s="86">
        <v>1.9723960840956507</v>
      </c>
      <c r="CS118" s="85">
        <v>4356</v>
      </c>
      <c r="CT118" s="85">
        <v>5770</v>
      </c>
      <c r="CU118" s="84">
        <v>75.489999999999995</v>
      </c>
      <c r="CV118" s="84">
        <v>61.92</v>
      </c>
      <c r="CW118" s="84">
        <v>6.47</v>
      </c>
      <c r="CX118" s="115" t="s">
        <v>339</v>
      </c>
      <c r="CY118" s="114">
        <v>38000</v>
      </c>
      <c r="CZ118" s="129">
        <v>124000</v>
      </c>
      <c r="DA118" s="129">
        <v>0</v>
      </c>
      <c r="DB118" s="129">
        <v>12000</v>
      </c>
      <c r="DC118" s="129">
        <v>0</v>
      </c>
      <c r="DD118" s="129">
        <v>214685</v>
      </c>
      <c r="DE118" s="87">
        <v>1</v>
      </c>
      <c r="DF118" s="87">
        <v>8871</v>
      </c>
      <c r="DG118" s="114">
        <v>0</v>
      </c>
      <c r="DH118" s="162">
        <v>9</v>
      </c>
      <c r="DI118" s="114">
        <v>687.77777777777783</v>
      </c>
      <c r="DJ118" s="114">
        <v>22</v>
      </c>
      <c r="DK118" s="114">
        <v>78</v>
      </c>
      <c r="DL118" s="114">
        <v>22.222222222222221</v>
      </c>
      <c r="DM118" s="114">
        <v>11.111111111111111</v>
      </c>
      <c r="DN118" s="114">
        <v>0</v>
      </c>
      <c r="DO118" s="114">
        <v>33</v>
      </c>
      <c r="DP118" s="114">
        <v>67</v>
      </c>
      <c r="DQ118" s="88">
        <v>99</v>
      </c>
      <c r="DR118" s="147">
        <v>62.525252525252526</v>
      </c>
    </row>
    <row r="119" spans="1:122" ht="15" customHeight="1" thickBot="1">
      <c r="A119" s="100" t="s">
        <v>330</v>
      </c>
      <c r="B119" s="184">
        <v>2017</v>
      </c>
      <c r="C119" s="109">
        <v>9</v>
      </c>
      <c r="D119" s="83" t="s">
        <v>348</v>
      </c>
      <c r="E119" s="83" t="s">
        <v>413</v>
      </c>
      <c r="F119" s="132">
        <v>10753.8</v>
      </c>
      <c r="G119" s="85">
        <v>2763</v>
      </c>
      <c r="H119" s="86">
        <v>-4.7241379310344778</v>
      </c>
      <c r="I119" s="132">
        <v>0.25693243318640852</v>
      </c>
      <c r="J119" s="85">
        <v>1353</v>
      </c>
      <c r="K119" s="173">
        <v>48.968512486427798</v>
      </c>
      <c r="L119" s="85">
        <v>1410</v>
      </c>
      <c r="M119" s="173">
        <v>51.031487513572202</v>
      </c>
      <c r="N119" s="161">
        <v>26.637712631197974</v>
      </c>
      <c r="O119" s="161">
        <v>46.724574737604051</v>
      </c>
      <c r="P119" s="161">
        <v>26.637712631197974</v>
      </c>
      <c r="Q119" s="161">
        <v>37.242128121606946</v>
      </c>
      <c r="R119" s="159">
        <v>36.120159247195076</v>
      </c>
      <c r="S119" s="160">
        <v>26.637712631197974</v>
      </c>
      <c r="T119" s="84">
        <v>14.5</v>
      </c>
      <c r="U119" s="84">
        <v>2</v>
      </c>
      <c r="V119" s="89">
        <v>51</v>
      </c>
      <c r="W119" s="90">
        <v>2.9</v>
      </c>
      <c r="X119" s="148">
        <v>45146</v>
      </c>
      <c r="Y119" s="89">
        <v>2.4</v>
      </c>
      <c r="Z119" s="89" t="s">
        <v>342</v>
      </c>
      <c r="AA119" s="85">
        <v>428</v>
      </c>
      <c r="AB119" s="110" t="s">
        <v>355</v>
      </c>
      <c r="AC119" s="110" t="s">
        <v>355</v>
      </c>
      <c r="AD119" s="110" t="s">
        <v>355</v>
      </c>
      <c r="AE119" s="110" t="s">
        <v>355</v>
      </c>
      <c r="AF119" s="84">
        <v>10.91</v>
      </c>
      <c r="AG119" s="84">
        <v>6.76</v>
      </c>
      <c r="AH119" s="84">
        <v>52.67</v>
      </c>
      <c r="AI119" s="86">
        <v>47.332385215994385</v>
      </c>
      <c r="AJ119" s="84">
        <v>3.26</v>
      </c>
      <c r="AK119" s="84">
        <v>44.46</v>
      </c>
      <c r="AL119" s="84">
        <v>0.67100717512622909</v>
      </c>
      <c r="AM119" s="84">
        <v>13.65</v>
      </c>
      <c r="AN119" s="85">
        <v>13410</v>
      </c>
      <c r="AO119" s="85">
        <v>15052</v>
      </c>
      <c r="AP119" s="85">
        <v>565</v>
      </c>
      <c r="AQ119" s="135">
        <v>521.69898430286241</v>
      </c>
      <c r="AR119" s="85">
        <v>1083</v>
      </c>
      <c r="AS119" s="85">
        <v>3786</v>
      </c>
      <c r="AT119" s="135">
        <v>5535.0877192982452</v>
      </c>
      <c r="AU119" s="85">
        <v>684</v>
      </c>
      <c r="AV119" s="85">
        <v>190</v>
      </c>
      <c r="AW119" s="135">
        <v>1338.0281690140846</v>
      </c>
      <c r="AX119" s="85">
        <v>142</v>
      </c>
      <c r="AY119" s="135" t="s">
        <v>379</v>
      </c>
      <c r="AZ119" s="135" t="s">
        <v>379</v>
      </c>
      <c r="BA119" s="89">
        <v>0</v>
      </c>
      <c r="BB119" s="87">
        <v>181.8851167143801</v>
      </c>
      <c r="BC119" s="91">
        <v>19.667590027700832</v>
      </c>
      <c r="BD119" s="85">
        <v>3053</v>
      </c>
      <c r="BE119" s="92">
        <v>20.929594844724754</v>
      </c>
      <c r="BF119" s="85">
        <v>2090</v>
      </c>
      <c r="BG119" s="92">
        <v>14.327826146568862</v>
      </c>
      <c r="BH119" s="85">
        <v>747</v>
      </c>
      <c r="BI119" s="92">
        <v>5.1209981490368133</v>
      </c>
      <c r="BJ119" s="85">
        <v>335</v>
      </c>
      <c r="BK119" s="92">
        <v>2.2965654349763489</v>
      </c>
      <c r="BL119" s="85">
        <v>1593</v>
      </c>
      <c r="BM119" s="92">
        <v>10.920682799753205</v>
      </c>
      <c r="BN119" s="85">
        <v>5064</v>
      </c>
      <c r="BO119" s="92">
        <v>34.715842873791729</v>
      </c>
      <c r="BP119" s="85">
        <v>1705</v>
      </c>
      <c r="BQ119" s="92">
        <v>11.688489751148284</v>
      </c>
      <c r="BR119" s="165">
        <v>1104.9583785740138</v>
      </c>
      <c r="BS119" s="165">
        <v>270.3583061889251</v>
      </c>
      <c r="BT119" s="111">
        <v>573.65182772348896</v>
      </c>
      <c r="BU119" s="165">
        <v>121.24502352515381</v>
      </c>
      <c r="BV119" s="165">
        <v>456.02605863192184</v>
      </c>
      <c r="BW119" s="165">
        <v>182.7723488961274</v>
      </c>
      <c r="BX119" s="165">
        <v>617.08288092652913</v>
      </c>
      <c r="BY119" s="112">
        <v>120.52117263843648</v>
      </c>
      <c r="BZ119" s="165">
        <v>1832.7904451682953</v>
      </c>
      <c r="CA119" s="110" t="s">
        <v>355</v>
      </c>
      <c r="CB119" s="112">
        <v>347.13729849916621</v>
      </c>
      <c r="CC119" s="110" t="s">
        <v>355</v>
      </c>
      <c r="CD119" s="110" t="s">
        <v>355</v>
      </c>
      <c r="CE119" s="110" t="s">
        <v>355</v>
      </c>
      <c r="CF119" s="110" t="s">
        <v>355</v>
      </c>
      <c r="CG119" s="110" t="s">
        <v>355</v>
      </c>
      <c r="CH119" s="110" t="s">
        <v>355</v>
      </c>
      <c r="CI119" s="110" t="s">
        <v>355</v>
      </c>
      <c r="CJ119" s="87">
        <v>1797</v>
      </c>
      <c r="CK119" s="92">
        <v>54.034501947690593</v>
      </c>
      <c r="CL119" s="139">
        <v>1323.96</v>
      </c>
      <c r="CM119" s="139">
        <v>479.17480998914226</v>
      </c>
      <c r="CN119" s="139">
        <v>70</v>
      </c>
      <c r="CO119" s="115">
        <v>1</v>
      </c>
      <c r="CP119" s="115">
        <v>1</v>
      </c>
      <c r="CQ119" s="110">
        <v>1</v>
      </c>
      <c r="CR119" s="86">
        <v>7.291079812206573</v>
      </c>
      <c r="CS119" s="85">
        <v>3385</v>
      </c>
      <c r="CT119" s="85">
        <v>2221</v>
      </c>
      <c r="CU119" s="84">
        <v>152.41</v>
      </c>
      <c r="CV119" s="84">
        <v>101.34</v>
      </c>
      <c r="CW119" s="84">
        <v>0.67</v>
      </c>
      <c r="CX119" s="115" t="s">
        <v>339</v>
      </c>
      <c r="CY119" s="114">
        <v>23000</v>
      </c>
      <c r="CZ119" s="129">
        <v>136000</v>
      </c>
      <c r="DA119" s="129">
        <v>0</v>
      </c>
      <c r="DB119" s="129">
        <v>12000</v>
      </c>
      <c r="DC119" s="129">
        <v>0</v>
      </c>
      <c r="DD119" s="129">
        <v>220000</v>
      </c>
      <c r="DE119" s="87">
        <v>0</v>
      </c>
      <c r="DF119" s="87">
        <v>0</v>
      </c>
      <c r="DG119" s="114">
        <v>0</v>
      </c>
      <c r="DH119" s="162">
        <v>12</v>
      </c>
      <c r="DI119" s="114">
        <v>230.25</v>
      </c>
      <c r="DJ119" s="114">
        <v>42</v>
      </c>
      <c r="DK119" s="114">
        <v>58</v>
      </c>
      <c r="DL119" s="114">
        <v>0</v>
      </c>
      <c r="DM119" s="114">
        <v>0</v>
      </c>
      <c r="DN119" s="114">
        <v>0</v>
      </c>
      <c r="DO119" s="114">
        <v>75</v>
      </c>
      <c r="DP119" s="114">
        <v>25</v>
      </c>
      <c r="DQ119" s="88">
        <v>75</v>
      </c>
      <c r="DR119" s="147">
        <v>36.840000000000003</v>
      </c>
    </row>
    <row r="120" spans="1:122" ht="15" customHeight="1" thickBot="1">
      <c r="A120" s="100" t="s">
        <v>331</v>
      </c>
      <c r="B120" s="184">
        <v>2017</v>
      </c>
      <c r="C120" s="109">
        <v>10</v>
      </c>
      <c r="D120" s="83" t="s">
        <v>350</v>
      </c>
      <c r="E120" s="83" t="s">
        <v>413</v>
      </c>
      <c r="F120" s="132">
        <v>12372.1</v>
      </c>
      <c r="G120" s="85">
        <v>9451</v>
      </c>
      <c r="H120" s="86">
        <v>-3.8751017087062634</v>
      </c>
      <c r="I120" s="132">
        <v>0.76389618577282759</v>
      </c>
      <c r="J120" s="85">
        <v>4750</v>
      </c>
      <c r="K120" s="173">
        <v>50.259231827319859</v>
      </c>
      <c r="L120" s="85">
        <v>4701</v>
      </c>
      <c r="M120" s="173">
        <v>49.740768172680141</v>
      </c>
      <c r="N120" s="161">
        <v>24.135012168024549</v>
      </c>
      <c r="O120" s="161">
        <v>42.492857898635066</v>
      </c>
      <c r="P120" s="161">
        <v>33.372129933340389</v>
      </c>
      <c r="Q120" s="161">
        <v>32.134165696751666</v>
      </c>
      <c r="R120" s="159">
        <v>34.493704369907945</v>
      </c>
      <c r="S120" s="160">
        <v>33.372129933340389</v>
      </c>
      <c r="T120" s="84">
        <v>9.8000000000000007</v>
      </c>
      <c r="U120" s="84">
        <v>2.1</v>
      </c>
      <c r="V120" s="89">
        <v>21</v>
      </c>
      <c r="W120" s="90">
        <v>3.5</v>
      </c>
      <c r="X120" s="148">
        <v>43986</v>
      </c>
      <c r="Y120" s="89">
        <v>2.2999999999999998</v>
      </c>
      <c r="Z120" s="89" t="s">
        <v>342</v>
      </c>
      <c r="AA120" s="85">
        <v>1020</v>
      </c>
      <c r="AB120" s="110" t="s">
        <v>355</v>
      </c>
      <c r="AC120" s="110" t="s">
        <v>355</v>
      </c>
      <c r="AD120" s="110" t="s">
        <v>355</v>
      </c>
      <c r="AE120" s="110" t="s">
        <v>355</v>
      </c>
      <c r="AF120" s="84">
        <v>-8.1</v>
      </c>
      <c r="AG120" s="84">
        <v>4.05</v>
      </c>
      <c r="AH120" s="84">
        <v>47.4</v>
      </c>
      <c r="AI120" s="86">
        <v>52.599805490296347</v>
      </c>
      <c r="AJ120" s="84">
        <v>8.68</v>
      </c>
      <c r="AK120" s="84">
        <v>7.3</v>
      </c>
      <c r="AL120" s="84">
        <v>2.7435693713377693</v>
      </c>
      <c r="AM120" s="84">
        <v>5.76</v>
      </c>
      <c r="AN120" s="85">
        <v>43538</v>
      </c>
      <c r="AO120" s="85">
        <v>40276</v>
      </c>
      <c r="AP120" s="85">
        <v>2068</v>
      </c>
      <c r="AQ120" s="135">
        <v>537.56173641798807</v>
      </c>
      <c r="AR120" s="85">
        <v>3847</v>
      </c>
      <c r="AS120" s="85">
        <v>4962</v>
      </c>
      <c r="AT120" s="135">
        <v>2855.0057537399312</v>
      </c>
      <c r="AU120" s="85">
        <v>1738</v>
      </c>
      <c r="AV120" s="85">
        <v>563</v>
      </c>
      <c r="AW120" s="135">
        <v>1517.5202156334233</v>
      </c>
      <c r="AX120" s="85">
        <v>371</v>
      </c>
      <c r="AY120" s="135" t="s">
        <v>379</v>
      </c>
      <c r="AZ120" s="135" t="s">
        <v>379</v>
      </c>
      <c r="BA120" s="89">
        <v>0</v>
      </c>
      <c r="BB120" s="87">
        <v>151.93876623205585</v>
      </c>
      <c r="BC120" s="91">
        <v>30.387314790746032</v>
      </c>
      <c r="BD120" s="85">
        <v>8121.9489100000001</v>
      </c>
      <c r="BE120" s="92">
        <v>18.13600823324397</v>
      </c>
      <c r="BF120" s="85">
        <v>10697</v>
      </c>
      <c r="BG120" s="92">
        <v>23.8860010350657</v>
      </c>
      <c r="BH120" s="85">
        <v>2996.60437</v>
      </c>
      <c r="BI120" s="92">
        <v>6.6913055140228481</v>
      </c>
      <c r="BJ120" s="85">
        <v>4853</v>
      </c>
      <c r="BK120" s="92">
        <v>10.836567544467968</v>
      </c>
      <c r="BL120" s="85">
        <v>4416</v>
      </c>
      <c r="BM120" s="92">
        <v>9.8607628840656396</v>
      </c>
      <c r="BN120" s="85">
        <v>8511</v>
      </c>
      <c r="BO120" s="92">
        <v>19.004744770444439</v>
      </c>
      <c r="BP120" s="85">
        <v>5188</v>
      </c>
      <c r="BQ120" s="92">
        <v>11.584610018689432</v>
      </c>
      <c r="BR120" s="165">
        <v>859.3745540154481</v>
      </c>
      <c r="BS120" s="165">
        <v>317.06743942439954</v>
      </c>
      <c r="BT120" s="111">
        <v>619.40535393080097</v>
      </c>
      <c r="BU120" s="165">
        <v>513.49063591154379</v>
      </c>
      <c r="BV120" s="165">
        <v>397.73568934504283</v>
      </c>
      <c r="BW120" s="165">
        <v>512.43254682044233</v>
      </c>
      <c r="BX120" s="165">
        <v>548.93662046344298</v>
      </c>
      <c r="BY120" s="112">
        <v>69.516453285366623</v>
      </c>
      <c r="BZ120" s="165">
        <v>900.53962543646173</v>
      </c>
      <c r="CA120" s="110" t="s">
        <v>355</v>
      </c>
      <c r="CB120" s="112">
        <v>206.83287165281624</v>
      </c>
      <c r="CC120" s="110" t="s">
        <v>355</v>
      </c>
      <c r="CD120" s="110" t="s">
        <v>355</v>
      </c>
      <c r="CE120" s="110" t="s">
        <v>355</v>
      </c>
      <c r="CF120" s="110" t="s">
        <v>355</v>
      </c>
      <c r="CG120" s="110" t="s">
        <v>355</v>
      </c>
      <c r="CH120" s="110" t="s">
        <v>355</v>
      </c>
      <c r="CI120" s="110" t="s">
        <v>355</v>
      </c>
      <c r="CJ120" s="87">
        <v>7342</v>
      </c>
      <c r="CK120" s="92">
        <v>51.566330700081721</v>
      </c>
      <c r="CL120" s="139">
        <v>2667.7100000000005</v>
      </c>
      <c r="CM120" s="139">
        <v>282.26748492223049</v>
      </c>
      <c r="CN120" s="139">
        <v>94</v>
      </c>
      <c r="CO120" s="115">
        <v>6</v>
      </c>
      <c r="CP120" s="115">
        <v>10</v>
      </c>
      <c r="CQ120" s="110">
        <v>3</v>
      </c>
      <c r="CR120" s="86">
        <v>4.1976435622545374</v>
      </c>
      <c r="CS120" s="85">
        <v>7181</v>
      </c>
      <c r="CT120" s="85">
        <v>6667</v>
      </c>
      <c r="CU120" s="84">
        <v>107.71</v>
      </c>
      <c r="CV120" s="84">
        <v>54.59</v>
      </c>
      <c r="CW120" s="84">
        <v>0.64</v>
      </c>
      <c r="CX120" s="115" t="s">
        <v>339</v>
      </c>
      <c r="CY120" s="114">
        <v>20000</v>
      </c>
      <c r="CZ120" s="129">
        <v>129000</v>
      </c>
      <c r="DA120" s="129">
        <v>0</v>
      </c>
      <c r="DB120" s="129">
        <v>18000</v>
      </c>
      <c r="DC120" s="129">
        <v>2000</v>
      </c>
      <c r="DD120" s="129">
        <v>490744.48</v>
      </c>
      <c r="DE120" s="87">
        <v>2</v>
      </c>
      <c r="DF120" s="87">
        <v>630</v>
      </c>
      <c r="DG120" s="114">
        <v>1</v>
      </c>
      <c r="DH120" s="162">
        <v>9</v>
      </c>
      <c r="DI120" s="114">
        <v>1050.1111111111111</v>
      </c>
      <c r="DJ120" s="114">
        <v>22</v>
      </c>
      <c r="DK120" s="114">
        <v>78</v>
      </c>
      <c r="DL120" s="114">
        <v>11</v>
      </c>
      <c r="DM120" s="114">
        <v>11</v>
      </c>
      <c r="DN120" s="114">
        <v>0</v>
      </c>
      <c r="DO120" s="114">
        <v>44</v>
      </c>
      <c r="DP120" s="114">
        <v>56</v>
      </c>
      <c r="DQ120" s="88">
        <v>175</v>
      </c>
      <c r="DR120" s="147">
        <v>54.005714285714284</v>
      </c>
    </row>
    <row r="121" spans="1:122" ht="15" customHeight="1" thickBot="1">
      <c r="A121" s="100" t="s">
        <v>43</v>
      </c>
      <c r="B121" s="184">
        <v>2017</v>
      </c>
      <c r="C121" s="109">
        <v>3</v>
      </c>
      <c r="D121" s="83" t="s">
        <v>349</v>
      </c>
      <c r="E121" s="83"/>
      <c r="F121" s="132">
        <v>9.4</v>
      </c>
      <c r="G121" s="85">
        <v>73300</v>
      </c>
      <c r="H121" s="86">
        <v>5.5724388241563672</v>
      </c>
      <c r="I121" s="132">
        <v>7797.8723404255315</v>
      </c>
      <c r="J121" s="85">
        <v>35886</v>
      </c>
      <c r="K121" s="173">
        <v>48.957708049113236</v>
      </c>
      <c r="L121" s="85">
        <v>37414</v>
      </c>
      <c r="M121" s="173">
        <v>51.042291950886764</v>
      </c>
      <c r="N121" s="161">
        <v>19.660300136425647</v>
      </c>
      <c r="O121" s="161">
        <v>63.615279672578438</v>
      </c>
      <c r="P121" s="161">
        <v>16.724420190995907</v>
      </c>
      <c r="Q121" s="161">
        <v>36.851296043656205</v>
      </c>
      <c r="R121" s="159">
        <v>46.424283765347887</v>
      </c>
      <c r="S121" s="160">
        <v>16.724420190995907</v>
      </c>
      <c r="T121" s="84">
        <v>0.4</v>
      </c>
      <c r="U121" s="84">
        <v>21</v>
      </c>
      <c r="V121" s="89">
        <v>124</v>
      </c>
      <c r="W121" s="90">
        <v>2.2999999999999998</v>
      </c>
      <c r="X121" s="148">
        <v>84833</v>
      </c>
      <c r="Y121" s="89">
        <v>2.4</v>
      </c>
      <c r="Z121" s="89" t="s">
        <v>344</v>
      </c>
      <c r="AA121" s="85">
        <v>9992</v>
      </c>
      <c r="AB121" s="110" t="s">
        <v>355</v>
      </c>
      <c r="AC121" s="110" t="s">
        <v>355</v>
      </c>
      <c r="AD121" s="110" t="s">
        <v>355</v>
      </c>
      <c r="AE121" s="110" t="s">
        <v>355</v>
      </c>
      <c r="AF121" s="84">
        <v>1.76</v>
      </c>
      <c r="AG121" s="84">
        <v>10.15</v>
      </c>
      <c r="AH121" s="84">
        <v>86.46</v>
      </c>
      <c r="AI121" s="86">
        <v>13.521401897437119</v>
      </c>
      <c r="AJ121" s="84">
        <v>3.13</v>
      </c>
      <c r="AK121" s="84">
        <v>23.78</v>
      </c>
      <c r="AL121" s="84">
        <v>0.7451921161065107</v>
      </c>
      <c r="AM121" s="84">
        <v>14.82</v>
      </c>
      <c r="AN121" s="85">
        <v>123258</v>
      </c>
      <c r="AO121" s="85">
        <v>125643</v>
      </c>
      <c r="AP121" s="85">
        <v>31152</v>
      </c>
      <c r="AQ121" s="135">
        <v>1065.389876880985</v>
      </c>
      <c r="AR121" s="85">
        <v>29240</v>
      </c>
      <c r="AS121" s="135" t="s">
        <v>379</v>
      </c>
      <c r="AT121" s="135" t="s">
        <v>379</v>
      </c>
      <c r="AU121" s="135" t="s">
        <v>379</v>
      </c>
      <c r="AV121" s="85">
        <v>11728</v>
      </c>
      <c r="AW121" s="135">
        <v>6268.3057188669163</v>
      </c>
      <c r="AX121" s="85">
        <v>1871</v>
      </c>
      <c r="AY121" s="135" t="s">
        <v>379</v>
      </c>
      <c r="AZ121" s="135" t="s">
        <v>379</v>
      </c>
      <c r="BA121" s="89">
        <v>0</v>
      </c>
      <c r="BB121" s="87">
        <v>631.65424358675375</v>
      </c>
      <c r="BC121" s="91">
        <v>6.9049247606019142</v>
      </c>
      <c r="BD121" s="85">
        <v>26715</v>
      </c>
      <c r="BE121" s="92">
        <v>21.035433070866141</v>
      </c>
      <c r="BF121" s="85">
        <v>9731</v>
      </c>
      <c r="BG121" s="92">
        <v>7.6622047244094489</v>
      </c>
      <c r="BH121" s="85">
        <v>25881</v>
      </c>
      <c r="BI121" s="92">
        <v>20.378740157480316</v>
      </c>
      <c r="BJ121" s="85">
        <v>20168</v>
      </c>
      <c r="BK121" s="92">
        <v>15.880314960629921</v>
      </c>
      <c r="BL121" s="85">
        <v>19090</v>
      </c>
      <c r="BM121" s="92">
        <v>15.031496062992126</v>
      </c>
      <c r="BN121" s="85">
        <v>13990</v>
      </c>
      <c r="BO121" s="92">
        <v>11.015748031496063</v>
      </c>
      <c r="BP121" s="85">
        <v>11425</v>
      </c>
      <c r="BQ121" s="92">
        <v>8.9960629921259851</v>
      </c>
      <c r="BR121" s="165">
        <v>364.46111869031375</v>
      </c>
      <c r="BS121" s="165">
        <v>353.0832196452933</v>
      </c>
      <c r="BT121" s="111">
        <v>0</v>
      </c>
      <c r="BU121" s="165">
        <v>275.14324693042295</v>
      </c>
      <c r="BV121" s="165">
        <v>193.15143246930424</v>
      </c>
      <c r="BW121" s="165">
        <v>132.75579809004094</v>
      </c>
      <c r="BX121" s="165">
        <v>155.8663028649386</v>
      </c>
      <c r="BY121" s="112">
        <v>67.285129604365622</v>
      </c>
      <c r="BZ121" s="165">
        <v>190.85948158253751</v>
      </c>
      <c r="CA121" s="110" t="s">
        <v>355</v>
      </c>
      <c r="CB121" s="112">
        <v>373.79776449181179</v>
      </c>
      <c r="CC121" s="110" t="s">
        <v>355</v>
      </c>
      <c r="CD121" s="110" t="s">
        <v>355</v>
      </c>
      <c r="CE121" s="110" t="s">
        <v>355</v>
      </c>
      <c r="CF121" s="110" t="s">
        <v>355</v>
      </c>
      <c r="CG121" s="110" t="s">
        <v>355</v>
      </c>
      <c r="CH121" s="110" t="s">
        <v>355</v>
      </c>
      <c r="CI121" s="110" t="s">
        <v>355</v>
      </c>
      <c r="CJ121" s="87">
        <v>16187</v>
      </c>
      <c r="CK121" s="92">
        <v>56.563909309940072</v>
      </c>
      <c r="CL121" s="139">
        <v>123.46</v>
      </c>
      <c r="CM121" s="139">
        <v>1.6843110504774899</v>
      </c>
      <c r="CN121" s="139">
        <v>115.5</v>
      </c>
      <c r="CO121" s="115">
        <v>2</v>
      </c>
      <c r="CP121" s="115">
        <v>10</v>
      </c>
      <c r="CQ121" s="110">
        <v>1</v>
      </c>
      <c r="CR121" s="86">
        <v>5.6367798185197335</v>
      </c>
      <c r="CS121" s="85">
        <v>19243</v>
      </c>
      <c r="CT121" s="85">
        <v>20418</v>
      </c>
      <c r="CU121" s="84">
        <v>94.25</v>
      </c>
      <c r="CV121" s="84">
        <v>31.24</v>
      </c>
      <c r="CW121" s="84">
        <v>1.05</v>
      </c>
      <c r="CX121" s="115" t="s">
        <v>339</v>
      </c>
      <c r="CY121" s="114">
        <v>160000</v>
      </c>
      <c r="CZ121" s="129">
        <v>266000</v>
      </c>
      <c r="DA121" s="129">
        <v>0</v>
      </c>
      <c r="DB121" s="129">
        <v>12000</v>
      </c>
      <c r="DC121" s="129">
        <v>0</v>
      </c>
      <c r="DD121" s="129">
        <v>443000</v>
      </c>
      <c r="DE121" s="87">
        <v>5</v>
      </c>
      <c r="DF121" s="87">
        <v>2842</v>
      </c>
      <c r="DG121" s="114">
        <v>0</v>
      </c>
      <c r="DH121" s="162">
        <v>12</v>
      </c>
      <c r="DI121" s="114">
        <v>6108.333333333333</v>
      </c>
      <c r="DJ121" s="114">
        <v>42</v>
      </c>
      <c r="DK121" s="114">
        <v>58</v>
      </c>
      <c r="DL121" s="114">
        <v>8</v>
      </c>
      <c r="DM121" s="114">
        <v>8</v>
      </c>
      <c r="DN121" s="114">
        <v>8</v>
      </c>
      <c r="DO121" s="114">
        <v>50</v>
      </c>
      <c r="DP121" s="114">
        <v>41.666666666666671</v>
      </c>
      <c r="DQ121" s="88">
        <v>583</v>
      </c>
      <c r="DR121" s="147">
        <v>125.72898799313894</v>
      </c>
    </row>
    <row r="122" spans="1:122" ht="15" customHeight="1" thickBot="1">
      <c r="A122" s="100" t="s">
        <v>332</v>
      </c>
      <c r="B122" s="184">
        <v>2017</v>
      </c>
      <c r="C122" s="109">
        <v>9</v>
      </c>
      <c r="D122" s="83" t="s">
        <v>348</v>
      </c>
      <c r="E122" s="83" t="s">
        <v>408</v>
      </c>
      <c r="F122" s="132">
        <v>3414.9</v>
      </c>
      <c r="G122" s="85">
        <v>3641</v>
      </c>
      <c r="H122" s="86">
        <v>-2.3860589812332411</v>
      </c>
      <c r="I122" s="132">
        <v>1.0662098450906321</v>
      </c>
      <c r="J122" s="85">
        <v>1822</v>
      </c>
      <c r="K122" s="173">
        <v>50.041197473221644</v>
      </c>
      <c r="L122" s="85">
        <v>1819</v>
      </c>
      <c r="M122" s="173">
        <v>49.958802526778356</v>
      </c>
      <c r="N122" s="161">
        <v>21.917055753913761</v>
      </c>
      <c r="O122" s="161">
        <v>42.021422686075255</v>
      </c>
      <c r="P122" s="161">
        <v>36.061521560010981</v>
      </c>
      <c r="Q122" s="161">
        <v>28.700906344410875</v>
      </c>
      <c r="R122" s="159">
        <v>35.237572095578138</v>
      </c>
      <c r="S122" s="160">
        <v>36.061521560010981</v>
      </c>
      <c r="T122" s="84">
        <v>3.1</v>
      </c>
      <c r="U122" s="84">
        <v>1.3</v>
      </c>
      <c r="V122" s="89">
        <v>56</v>
      </c>
      <c r="W122" s="90">
        <v>4</v>
      </c>
      <c r="X122" s="148">
        <v>39169</v>
      </c>
      <c r="Y122" s="89">
        <v>2.2000000000000002</v>
      </c>
      <c r="Z122" s="89" t="s">
        <v>342</v>
      </c>
      <c r="AA122" s="85">
        <v>503</v>
      </c>
      <c r="AB122" s="110" t="s">
        <v>355</v>
      </c>
      <c r="AC122" s="110" t="s">
        <v>355</v>
      </c>
      <c r="AD122" s="110" t="s">
        <v>355</v>
      </c>
      <c r="AE122" s="110" t="s">
        <v>355</v>
      </c>
      <c r="AF122" s="84">
        <v>-11.12</v>
      </c>
      <c r="AG122" s="84">
        <v>4.09</v>
      </c>
      <c r="AH122" s="84">
        <v>45.59</v>
      </c>
      <c r="AI122" s="86">
        <v>54.408372404533736</v>
      </c>
      <c r="AJ122" s="84">
        <v>5.44</v>
      </c>
      <c r="AK122" s="84">
        <v>5.91</v>
      </c>
      <c r="AL122" s="84">
        <v>2.1166585878170947</v>
      </c>
      <c r="AM122" s="84">
        <v>7.1</v>
      </c>
      <c r="AN122" s="85">
        <v>13755</v>
      </c>
      <c r="AO122" s="85">
        <v>12378</v>
      </c>
      <c r="AP122" s="85">
        <v>764</v>
      </c>
      <c r="AQ122" s="135">
        <v>513.78614660390042</v>
      </c>
      <c r="AR122" s="85">
        <v>1487</v>
      </c>
      <c r="AS122" s="85">
        <v>1543</v>
      </c>
      <c r="AT122" s="135">
        <v>1560.1617795753286</v>
      </c>
      <c r="AU122" s="85">
        <v>989</v>
      </c>
      <c r="AV122" s="85">
        <v>127</v>
      </c>
      <c r="AW122" s="135">
        <v>947.7611940298508</v>
      </c>
      <c r="AX122" s="85">
        <v>134</v>
      </c>
      <c r="AY122" s="85">
        <v>6</v>
      </c>
      <c r="AZ122" s="135">
        <v>6000</v>
      </c>
      <c r="BA122" s="89">
        <v>1</v>
      </c>
      <c r="BB122" s="87">
        <v>254.99939590163933</v>
      </c>
      <c r="BC122" s="91">
        <v>32.414256893073301</v>
      </c>
      <c r="BD122" s="85">
        <v>3281</v>
      </c>
      <c r="BE122" s="92">
        <v>23.821970522035869</v>
      </c>
      <c r="BF122" s="85">
        <v>1096</v>
      </c>
      <c r="BG122" s="92">
        <v>7.9575981993755898</v>
      </c>
      <c r="BH122" s="85">
        <v>696</v>
      </c>
      <c r="BI122" s="92">
        <v>5.0533652798954476</v>
      </c>
      <c r="BJ122" s="85">
        <v>386</v>
      </c>
      <c r="BK122" s="92">
        <v>2.8025847672983373</v>
      </c>
      <c r="BL122" s="85">
        <v>1104</v>
      </c>
      <c r="BM122" s="92">
        <v>8.0156828577651922</v>
      </c>
      <c r="BN122" s="85">
        <v>5220</v>
      </c>
      <c r="BO122" s="92">
        <v>37.900239599215858</v>
      </c>
      <c r="BP122" s="85">
        <v>1990</v>
      </c>
      <c r="BQ122" s="92">
        <v>14.448558774413709</v>
      </c>
      <c r="BR122" s="165">
        <v>901.12606426805826</v>
      </c>
      <c r="BS122" s="165">
        <v>191.15627574842077</v>
      </c>
      <c r="BT122" s="111">
        <v>115.35292502059873</v>
      </c>
      <c r="BU122" s="165">
        <v>106.01483109035979</v>
      </c>
      <c r="BV122" s="165">
        <v>267.50892611919801</v>
      </c>
      <c r="BW122" s="165">
        <v>185.66327931886843</v>
      </c>
      <c r="BX122" s="165">
        <v>546.55314474045588</v>
      </c>
      <c r="BY122" s="112">
        <v>35.704476792090084</v>
      </c>
      <c r="BZ122" s="165">
        <v>1433.6720681131558</v>
      </c>
      <c r="CA122" s="110" t="s">
        <v>355</v>
      </c>
      <c r="CB122" s="112">
        <v>552.87277701778385</v>
      </c>
      <c r="CC122" s="110" t="s">
        <v>355</v>
      </c>
      <c r="CD122" s="110" t="s">
        <v>355</v>
      </c>
      <c r="CE122" s="110" t="s">
        <v>355</v>
      </c>
      <c r="CF122" s="110" t="s">
        <v>355</v>
      </c>
      <c r="CG122" s="110" t="s">
        <v>355</v>
      </c>
      <c r="CH122" s="110" t="s">
        <v>355</v>
      </c>
      <c r="CI122" s="110" t="s">
        <v>355</v>
      </c>
      <c r="CJ122" s="87">
        <v>2411</v>
      </c>
      <c r="CK122" s="92">
        <v>53.007051016175865</v>
      </c>
      <c r="CL122" s="139">
        <v>1084.8900000000001</v>
      </c>
      <c r="CM122" s="139">
        <v>297.96484482285086</v>
      </c>
      <c r="CN122" s="139">
        <v>11.5</v>
      </c>
      <c r="CO122" s="115">
        <v>2</v>
      </c>
      <c r="CP122" s="115">
        <v>2</v>
      </c>
      <c r="CQ122" s="110">
        <v>1</v>
      </c>
      <c r="CR122" s="86">
        <v>3.5529765155652648</v>
      </c>
      <c r="CS122" s="85">
        <v>1259</v>
      </c>
      <c r="CT122" s="85">
        <v>1238</v>
      </c>
      <c r="CU122" s="84">
        <v>101.7</v>
      </c>
      <c r="CV122" s="84">
        <v>223.88</v>
      </c>
      <c r="CW122" s="84">
        <v>1.68</v>
      </c>
      <c r="CX122" s="115" t="s">
        <v>339</v>
      </c>
      <c r="CY122" s="114">
        <v>5000</v>
      </c>
      <c r="CZ122" s="129">
        <v>129000</v>
      </c>
      <c r="DA122" s="129">
        <v>0</v>
      </c>
      <c r="DB122" s="129">
        <v>0</v>
      </c>
      <c r="DC122" s="129">
        <v>0</v>
      </c>
      <c r="DD122" s="129">
        <v>192189</v>
      </c>
      <c r="DE122" s="87">
        <v>0</v>
      </c>
      <c r="DF122" s="87">
        <v>0</v>
      </c>
      <c r="DG122" s="114">
        <v>0</v>
      </c>
      <c r="DH122" s="163">
        <v>9</v>
      </c>
      <c r="DI122" s="114">
        <v>404.55555555555554</v>
      </c>
      <c r="DJ122" s="114">
        <v>22.222222222222221</v>
      </c>
      <c r="DK122" s="114">
        <v>77.777777777777786</v>
      </c>
      <c r="DL122" s="114">
        <v>0</v>
      </c>
      <c r="DM122" s="114">
        <v>0</v>
      </c>
      <c r="DN122" s="114">
        <v>0</v>
      </c>
      <c r="DO122" s="114">
        <v>78</v>
      </c>
      <c r="DP122" s="114">
        <v>22</v>
      </c>
      <c r="DQ122" s="88">
        <v>59</v>
      </c>
      <c r="DR122" s="147">
        <v>61.711864406779661</v>
      </c>
    </row>
    <row r="123" spans="1:122" ht="15" customHeight="1" thickBot="1">
      <c r="A123" s="100" t="s">
        <v>333</v>
      </c>
      <c r="B123" s="184">
        <v>2017</v>
      </c>
      <c r="C123" s="109">
        <v>10</v>
      </c>
      <c r="D123" s="83" t="s">
        <v>350</v>
      </c>
      <c r="E123" s="83" t="s">
        <v>416</v>
      </c>
      <c r="F123" s="132">
        <v>26256.2</v>
      </c>
      <c r="G123" s="85">
        <v>6972</v>
      </c>
      <c r="H123" s="86">
        <v>2.2137516493182741</v>
      </c>
      <c r="I123" s="132">
        <v>0.26553728262277099</v>
      </c>
      <c r="J123" s="85">
        <v>3625</v>
      </c>
      <c r="K123" s="173">
        <v>51.993689041881808</v>
      </c>
      <c r="L123" s="85">
        <v>3347</v>
      </c>
      <c r="M123" s="173">
        <v>48.006310958118185</v>
      </c>
      <c r="N123" s="161">
        <v>25.344234079173837</v>
      </c>
      <c r="O123" s="161">
        <v>46.414228341939186</v>
      </c>
      <c r="P123" s="161">
        <v>28.241537578886977</v>
      </c>
      <c r="Q123" s="161">
        <v>34.667240390131951</v>
      </c>
      <c r="R123" s="159">
        <v>37.091222030981072</v>
      </c>
      <c r="S123" s="160">
        <v>28.241537578886977</v>
      </c>
      <c r="T123" s="84">
        <v>9.6</v>
      </c>
      <c r="U123" s="84">
        <v>3</v>
      </c>
      <c r="V123" s="89">
        <v>49</v>
      </c>
      <c r="W123" s="90">
        <v>11.6</v>
      </c>
      <c r="X123" s="148">
        <v>38231</v>
      </c>
      <c r="Y123" s="89">
        <v>2.4</v>
      </c>
      <c r="Z123" s="89" t="s">
        <v>342</v>
      </c>
      <c r="AA123" s="85">
        <v>764</v>
      </c>
      <c r="AB123" s="110" t="s">
        <v>355</v>
      </c>
      <c r="AC123" s="110" t="s">
        <v>355</v>
      </c>
      <c r="AD123" s="110" t="s">
        <v>355</v>
      </c>
      <c r="AE123" s="110" t="s">
        <v>355</v>
      </c>
      <c r="AF123" s="84">
        <v>1.33</v>
      </c>
      <c r="AG123" s="84">
        <v>7.93</v>
      </c>
      <c r="AH123" s="84">
        <v>58.44</v>
      </c>
      <c r="AI123" s="86">
        <v>41.557324731746021</v>
      </c>
      <c r="AJ123" s="84">
        <v>9.9600000000000009</v>
      </c>
      <c r="AK123" s="84">
        <v>16.940000000000001</v>
      </c>
      <c r="AL123" s="84">
        <v>1.7815791439456188</v>
      </c>
      <c r="AM123" s="84">
        <v>16.28</v>
      </c>
      <c r="AN123" s="85">
        <v>26419</v>
      </c>
      <c r="AO123" s="85">
        <v>26774</v>
      </c>
      <c r="AP123" s="85">
        <v>1845</v>
      </c>
      <c r="AQ123" s="135">
        <v>707.71001150747986</v>
      </c>
      <c r="AR123" s="85">
        <v>2607</v>
      </c>
      <c r="AS123" s="85">
        <v>1671</v>
      </c>
      <c r="AT123" s="135">
        <v>1585.3889943074005</v>
      </c>
      <c r="AU123" s="85">
        <v>1054</v>
      </c>
      <c r="AV123" s="85">
        <v>1406</v>
      </c>
      <c r="AW123" s="135">
        <v>5305.6603773584902</v>
      </c>
      <c r="AX123" s="85">
        <v>265</v>
      </c>
      <c r="AY123" s="85" t="s">
        <v>379</v>
      </c>
      <c r="AZ123" s="135" t="s">
        <v>379</v>
      </c>
      <c r="BA123" s="89">
        <v>0</v>
      </c>
      <c r="BB123" s="87">
        <v>103.99841934173101</v>
      </c>
      <c r="BC123" s="91">
        <v>19.907940161104719</v>
      </c>
      <c r="BD123" s="85">
        <v>4717</v>
      </c>
      <c r="BE123" s="92">
        <v>17.85457435936258</v>
      </c>
      <c r="BF123" s="85">
        <v>4694</v>
      </c>
      <c r="BG123" s="92">
        <v>17.767515803020554</v>
      </c>
      <c r="BH123" s="85">
        <v>2661</v>
      </c>
      <c r="BI123" s="92">
        <v>10.072296453310118</v>
      </c>
      <c r="BJ123" s="85">
        <v>986</v>
      </c>
      <c r="BK123" s="92">
        <v>3.7321624588364433</v>
      </c>
      <c r="BL123" s="85">
        <v>2435</v>
      </c>
      <c r="BM123" s="92">
        <v>9.2168515083841172</v>
      </c>
      <c r="BN123" s="85">
        <v>3444</v>
      </c>
      <c r="BO123" s="92">
        <v>13.036072523562586</v>
      </c>
      <c r="BP123" s="85">
        <v>7482</v>
      </c>
      <c r="BQ123" s="92">
        <v>28.320526893523599</v>
      </c>
      <c r="BR123" s="165">
        <v>676.5633964429145</v>
      </c>
      <c r="BS123" s="165">
        <v>381.66953528399313</v>
      </c>
      <c r="BT123" s="111">
        <v>530.40734366035576</v>
      </c>
      <c r="BU123" s="165">
        <v>141.42283419391853</v>
      </c>
      <c r="BV123" s="165">
        <v>283.13253012048193</v>
      </c>
      <c r="BW123" s="165">
        <v>142.85714285714286</v>
      </c>
      <c r="BX123" s="165">
        <v>1073.1497418244405</v>
      </c>
      <c r="BY123" s="112">
        <v>66.121629374641429</v>
      </c>
      <c r="BZ123" s="165">
        <v>493.97590361445782</v>
      </c>
      <c r="CA123" s="110" t="s">
        <v>355</v>
      </c>
      <c r="CB123" s="112">
        <v>217.2158708809684</v>
      </c>
      <c r="CC123" s="110" t="s">
        <v>355</v>
      </c>
      <c r="CD123" s="110" t="s">
        <v>355</v>
      </c>
      <c r="CE123" s="110" t="s">
        <v>355</v>
      </c>
      <c r="CF123" s="110" t="s">
        <v>355</v>
      </c>
      <c r="CG123" s="110" t="s">
        <v>355</v>
      </c>
      <c r="CH123" s="110" t="s">
        <v>355</v>
      </c>
      <c r="CI123" s="110" t="s">
        <v>355</v>
      </c>
      <c r="CJ123" s="87">
        <v>4570</v>
      </c>
      <c r="CK123" s="92">
        <v>79.934354485776808</v>
      </c>
      <c r="CL123" s="139">
        <v>2319.58</v>
      </c>
      <c r="CM123" s="139">
        <v>332.7</v>
      </c>
      <c r="CN123" s="139">
        <v>178</v>
      </c>
      <c r="CO123" s="115">
        <v>2</v>
      </c>
      <c r="CP123" s="115">
        <v>9</v>
      </c>
      <c r="CQ123" s="110">
        <v>3</v>
      </c>
      <c r="CR123" s="86">
        <v>2.6792235801581596</v>
      </c>
      <c r="CS123" s="85">
        <v>3655</v>
      </c>
      <c r="CT123" s="85">
        <v>4574</v>
      </c>
      <c r="CU123" s="84">
        <v>79.91</v>
      </c>
      <c r="CV123" s="84">
        <v>58.53</v>
      </c>
      <c r="CW123" s="84">
        <v>6.83</v>
      </c>
      <c r="CX123" s="115" t="s">
        <v>339</v>
      </c>
      <c r="CY123" s="114">
        <v>102000</v>
      </c>
      <c r="CZ123" s="129">
        <v>130000</v>
      </c>
      <c r="DA123" s="129">
        <v>0</v>
      </c>
      <c r="DB123" s="129">
        <v>15000</v>
      </c>
      <c r="DC123" s="129">
        <v>0</v>
      </c>
      <c r="DD123" s="129">
        <v>225353</v>
      </c>
      <c r="DE123" s="87">
        <v>0</v>
      </c>
      <c r="DF123" s="87">
        <v>0</v>
      </c>
      <c r="DG123" s="114">
        <v>0</v>
      </c>
      <c r="DH123" s="162">
        <v>9</v>
      </c>
      <c r="DI123" s="114">
        <v>774.66666666666663</v>
      </c>
      <c r="DJ123" s="114">
        <v>33</v>
      </c>
      <c r="DK123" s="114">
        <v>67</v>
      </c>
      <c r="DL123" s="114">
        <v>0</v>
      </c>
      <c r="DM123" s="114">
        <v>0</v>
      </c>
      <c r="DN123" s="114">
        <v>0</v>
      </c>
      <c r="DO123" s="114">
        <v>44</v>
      </c>
      <c r="DP123" s="114">
        <v>56</v>
      </c>
      <c r="DQ123" s="88">
        <v>109</v>
      </c>
      <c r="DR123" s="147">
        <v>63.963302752293579</v>
      </c>
    </row>
    <row r="124" spans="1:122" ht="15" customHeight="1" thickBot="1">
      <c r="A124" s="100" t="s">
        <v>334</v>
      </c>
      <c r="B124" s="184">
        <v>2017</v>
      </c>
      <c r="C124" s="109">
        <v>3</v>
      </c>
      <c r="D124" s="83" t="s">
        <v>349</v>
      </c>
      <c r="E124" s="83"/>
      <c r="F124" s="132">
        <v>22.4</v>
      </c>
      <c r="G124" s="85">
        <v>79681</v>
      </c>
      <c r="H124" s="86">
        <v>10.771134249927016</v>
      </c>
      <c r="I124" s="132">
        <v>3557.1875</v>
      </c>
      <c r="J124" s="85">
        <v>38651</v>
      </c>
      <c r="K124" s="173">
        <v>48.507172349744607</v>
      </c>
      <c r="L124" s="85">
        <v>41030</v>
      </c>
      <c r="M124" s="173">
        <v>51.492827650255393</v>
      </c>
      <c r="N124" s="161">
        <v>24.805160577803996</v>
      </c>
      <c r="O124" s="161">
        <v>56.918211367829215</v>
      </c>
      <c r="P124" s="161">
        <v>18.276628054366785</v>
      </c>
      <c r="Q124" s="161">
        <v>38.335362256999787</v>
      </c>
      <c r="R124" s="159">
        <v>43.388009688633424</v>
      </c>
      <c r="S124" s="160">
        <v>18.276628054366785</v>
      </c>
      <c r="T124" s="84">
        <v>0.2</v>
      </c>
      <c r="U124" s="84">
        <v>40.200000000000003</v>
      </c>
      <c r="V124" s="89">
        <v>123</v>
      </c>
      <c r="W124" s="90">
        <v>3.9</v>
      </c>
      <c r="X124" s="148">
        <v>91982</v>
      </c>
      <c r="Y124" s="89">
        <v>2.7</v>
      </c>
      <c r="Z124" s="89" t="s">
        <v>344</v>
      </c>
      <c r="AA124" s="85">
        <v>12213</v>
      </c>
      <c r="AB124" s="110" t="s">
        <v>355</v>
      </c>
      <c r="AC124" s="110" t="s">
        <v>355</v>
      </c>
      <c r="AD124" s="110" t="s">
        <v>355</v>
      </c>
      <c r="AE124" s="110" t="s">
        <v>355</v>
      </c>
      <c r="AF124" s="84">
        <v>10.74</v>
      </c>
      <c r="AG124" s="84">
        <v>4.66</v>
      </c>
      <c r="AH124" s="84">
        <v>78.760000000000005</v>
      </c>
      <c r="AI124" s="86">
        <v>21.242107880326547</v>
      </c>
      <c r="AJ124" s="84">
        <v>1.33</v>
      </c>
      <c r="AK124" s="84">
        <v>6.8</v>
      </c>
      <c r="AL124" s="84">
        <v>3.5725430408074104</v>
      </c>
      <c r="AM124" s="84">
        <v>18.61</v>
      </c>
      <c r="AN124" s="85">
        <v>100116</v>
      </c>
      <c r="AO124" s="85">
        <v>112153</v>
      </c>
      <c r="AP124" s="85">
        <v>29070</v>
      </c>
      <c r="AQ124" s="135">
        <v>1009.4801541827273</v>
      </c>
      <c r="AR124" s="85">
        <v>28797</v>
      </c>
      <c r="AS124" s="135" t="s">
        <v>379</v>
      </c>
      <c r="AT124" s="135" t="s">
        <v>379</v>
      </c>
      <c r="AU124" s="135" t="s">
        <v>379</v>
      </c>
      <c r="AV124" s="85">
        <v>20159</v>
      </c>
      <c r="AW124" s="135">
        <v>6717.4275241586138</v>
      </c>
      <c r="AX124" s="85">
        <v>3001</v>
      </c>
      <c r="AY124" s="135" t="s">
        <v>379</v>
      </c>
      <c r="AZ124" s="135" t="s">
        <v>379</v>
      </c>
      <c r="BA124" s="89">
        <v>0</v>
      </c>
      <c r="BB124" s="87">
        <v>570.37025405756765</v>
      </c>
      <c r="BC124" s="91">
        <v>6.7854290377469875</v>
      </c>
      <c r="BD124" s="85">
        <v>23294</v>
      </c>
      <c r="BE124" s="92">
        <v>23.154379094062801</v>
      </c>
      <c r="BF124" s="85">
        <v>5075</v>
      </c>
      <c r="BG124" s="92">
        <v>5.0445811755116647</v>
      </c>
      <c r="BH124" s="85">
        <v>19480</v>
      </c>
      <c r="BI124" s="92">
        <v>19.363239664821126</v>
      </c>
      <c r="BJ124" s="85">
        <v>12867</v>
      </c>
      <c r="BK124" s="92">
        <v>12.789877041440114</v>
      </c>
      <c r="BL124" s="85">
        <v>26460</v>
      </c>
      <c r="BM124" s="92">
        <v>26.301402542667713</v>
      </c>
      <c r="BN124" s="85">
        <v>7880</v>
      </c>
      <c r="BO124" s="92">
        <v>7.8327684065087526</v>
      </c>
      <c r="BP124" s="85">
        <v>5547</v>
      </c>
      <c r="BQ124" s="92">
        <v>5.5137520749878233</v>
      </c>
      <c r="BR124" s="165">
        <v>292.34070857544458</v>
      </c>
      <c r="BS124" s="165">
        <v>244.47484343820986</v>
      </c>
      <c r="BT124" s="111">
        <v>0</v>
      </c>
      <c r="BU124" s="165">
        <v>161.48140711085452</v>
      </c>
      <c r="BV124" s="165">
        <v>274.74554787214015</v>
      </c>
      <c r="BW124" s="165">
        <v>63.691469735570585</v>
      </c>
      <c r="BX124" s="165">
        <v>69.615090172061088</v>
      </c>
      <c r="BY124" s="112">
        <v>57.328597783662353</v>
      </c>
      <c r="BZ124" s="165">
        <v>98.894341185477089</v>
      </c>
      <c r="CA124" s="110" t="s">
        <v>355</v>
      </c>
      <c r="CB124" s="112">
        <v>255.46605293440737</v>
      </c>
      <c r="CC124" s="110" t="s">
        <v>355</v>
      </c>
      <c r="CD124" s="110" t="s">
        <v>355</v>
      </c>
      <c r="CE124" s="110" t="s">
        <v>355</v>
      </c>
      <c r="CF124" s="110" t="s">
        <v>355</v>
      </c>
      <c r="CG124" s="110" t="s">
        <v>355</v>
      </c>
      <c r="CH124" s="110" t="s">
        <v>355</v>
      </c>
      <c r="CI124" s="110" t="s">
        <v>355</v>
      </c>
      <c r="CJ124" s="87">
        <v>16386</v>
      </c>
      <c r="CK124" s="92">
        <v>64.823629927987298</v>
      </c>
      <c r="CL124" s="139">
        <v>211.51000000000002</v>
      </c>
      <c r="CM124" s="139">
        <v>2.6544596578858202</v>
      </c>
      <c r="CN124" s="139">
        <v>361.6</v>
      </c>
      <c r="CO124" s="115">
        <v>3</v>
      </c>
      <c r="CP124" s="115">
        <v>17</v>
      </c>
      <c r="CQ124" s="110">
        <v>6</v>
      </c>
      <c r="CR124" s="86">
        <v>12.425025762183628</v>
      </c>
      <c r="CS124" s="85">
        <v>14283</v>
      </c>
      <c r="CT124" s="85">
        <v>14283</v>
      </c>
      <c r="CU124" s="84">
        <v>100</v>
      </c>
      <c r="CV124" s="84">
        <v>100.95</v>
      </c>
      <c r="CW124" s="84">
        <v>1.4</v>
      </c>
      <c r="CX124" s="115" t="s">
        <v>339</v>
      </c>
      <c r="CY124" s="114">
        <v>0</v>
      </c>
      <c r="CZ124" s="129">
        <v>332000</v>
      </c>
      <c r="DA124" s="129">
        <v>0</v>
      </c>
      <c r="DB124" s="129">
        <v>13188</v>
      </c>
      <c r="DC124" s="129">
        <v>0</v>
      </c>
      <c r="DD124" s="129">
        <v>351884</v>
      </c>
      <c r="DE124" s="87">
        <v>15</v>
      </c>
      <c r="DF124" s="87">
        <v>49352</v>
      </c>
      <c r="DG124" s="114">
        <v>2</v>
      </c>
      <c r="DH124" s="162">
        <v>13</v>
      </c>
      <c r="DI124" s="114">
        <v>6129.3076923076924</v>
      </c>
      <c r="DJ124" s="114">
        <v>38</v>
      </c>
      <c r="DK124" s="114">
        <v>62</v>
      </c>
      <c r="DL124" s="114">
        <v>0</v>
      </c>
      <c r="DM124" s="114">
        <v>0</v>
      </c>
      <c r="DN124" s="114">
        <v>8</v>
      </c>
      <c r="DO124" s="114">
        <v>54</v>
      </c>
      <c r="DP124" s="114">
        <v>38.461538461538467</v>
      </c>
      <c r="DQ124" s="88">
        <v>369</v>
      </c>
      <c r="DR124" s="147">
        <v>215.93766937669378</v>
      </c>
    </row>
    <row r="125" spans="1:122" ht="15" customHeight="1" thickBot="1">
      <c r="A125" s="100" t="s">
        <v>335</v>
      </c>
      <c r="B125" s="184">
        <v>2017</v>
      </c>
      <c r="C125" s="109">
        <v>4</v>
      </c>
      <c r="D125" s="83" t="s">
        <v>347</v>
      </c>
      <c r="E125" s="83" t="s">
        <v>409</v>
      </c>
      <c r="F125" s="132">
        <v>2689.3</v>
      </c>
      <c r="G125" s="85">
        <v>49649</v>
      </c>
      <c r="H125" s="86">
        <v>6.9652705963460848</v>
      </c>
      <c r="I125" s="132">
        <v>18.461681478451641</v>
      </c>
      <c r="J125" s="85">
        <v>23836</v>
      </c>
      <c r="K125" s="173">
        <v>48.009023343873999</v>
      </c>
      <c r="L125" s="85">
        <v>25813</v>
      </c>
      <c r="M125" s="173">
        <v>51.990976656126008</v>
      </c>
      <c r="N125" s="161">
        <v>24.54832927148583</v>
      </c>
      <c r="O125" s="161">
        <v>43.559789723861506</v>
      </c>
      <c r="P125" s="161">
        <v>31.89188100465266</v>
      </c>
      <c r="Q125" s="161">
        <v>33.158774597675681</v>
      </c>
      <c r="R125" s="159">
        <v>34.949344397671652</v>
      </c>
      <c r="S125" s="160">
        <v>31.89188100465266</v>
      </c>
      <c r="T125" s="84">
        <v>2</v>
      </c>
      <c r="U125" s="84">
        <v>5.6</v>
      </c>
      <c r="V125" s="89">
        <v>100</v>
      </c>
      <c r="W125" s="90">
        <v>3</v>
      </c>
      <c r="X125" s="148">
        <v>56904</v>
      </c>
      <c r="Y125" s="89">
        <v>2.4</v>
      </c>
      <c r="Z125" s="89" t="s">
        <v>340</v>
      </c>
      <c r="AA125" s="85">
        <v>5350</v>
      </c>
      <c r="AB125" s="110" t="s">
        <v>355</v>
      </c>
      <c r="AC125" s="110" t="s">
        <v>355</v>
      </c>
      <c r="AD125" s="110" t="s">
        <v>355</v>
      </c>
      <c r="AE125" s="110" t="s">
        <v>355</v>
      </c>
      <c r="AF125" s="84">
        <v>6.07</v>
      </c>
      <c r="AG125" s="84">
        <v>4.53</v>
      </c>
      <c r="AH125" s="84">
        <v>63.46</v>
      </c>
      <c r="AI125" s="86">
        <v>36.535053828562411</v>
      </c>
      <c r="AJ125" s="84">
        <v>2.17</v>
      </c>
      <c r="AK125" s="84">
        <v>6.18</v>
      </c>
      <c r="AL125" s="84">
        <v>5.2959559163446075</v>
      </c>
      <c r="AM125" s="84">
        <v>22.07</v>
      </c>
      <c r="AN125" s="85">
        <v>101592</v>
      </c>
      <c r="AO125" s="85">
        <v>108158</v>
      </c>
      <c r="AP125" s="85">
        <v>31068</v>
      </c>
      <c r="AQ125" s="135">
        <v>1463.7455830388692</v>
      </c>
      <c r="AR125" s="85">
        <v>21225</v>
      </c>
      <c r="AS125" s="85">
        <v>4403</v>
      </c>
      <c r="AT125" s="135">
        <v>3363.6363636363635</v>
      </c>
      <c r="AU125" s="85">
        <v>1309</v>
      </c>
      <c r="AV125" s="85">
        <v>5174</v>
      </c>
      <c r="AW125" s="135">
        <v>4152.4879614767251</v>
      </c>
      <c r="AX125" s="85">
        <v>1246</v>
      </c>
      <c r="AY125" s="85">
        <v>112</v>
      </c>
      <c r="AZ125" s="135">
        <v>16013</v>
      </c>
      <c r="BA125" s="89">
        <v>7</v>
      </c>
      <c r="BB125" s="87">
        <v>245.75320936280883</v>
      </c>
      <c r="BC125" s="91">
        <v>21.583038869257951</v>
      </c>
      <c r="BD125" s="85">
        <v>19697</v>
      </c>
      <c r="BE125" s="92">
        <v>18.851148946758929</v>
      </c>
      <c r="BF125" s="85">
        <v>28431</v>
      </c>
      <c r="BG125" s="92">
        <v>27.210083551063768</v>
      </c>
      <c r="BH125" s="85">
        <v>15098</v>
      </c>
      <c r="BI125" s="92">
        <v>14.449644453376976</v>
      </c>
      <c r="BJ125" s="85">
        <v>6489</v>
      </c>
      <c r="BK125" s="92">
        <v>6.2103419564156308</v>
      </c>
      <c r="BL125" s="85">
        <v>10589</v>
      </c>
      <c r="BM125" s="92">
        <v>10.134275077282341</v>
      </c>
      <c r="BN125" s="85">
        <v>14187</v>
      </c>
      <c r="BO125" s="92">
        <v>13.577765655057567</v>
      </c>
      <c r="BP125" s="85">
        <v>9996</v>
      </c>
      <c r="BQ125" s="92">
        <v>9.5667403600447898</v>
      </c>
      <c r="BR125" s="165">
        <v>396.72500956716146</v>
      </c>
      <c r="BS125" s="165">
        <v>304.09474511067697</v>
      </c>
      <c r="BT125" s="111">
        <v>505.62951922495921</v>
      </c>
      <c r="BU125" s="165">
        <v>130.69749642490282</v>
      </c>
      <c r="BV125" s="165">
        <v>186.61000221555318</v>
      </c>
      <c r="BW125" s="165">
        <v>67.010413099961738</v>
      </c>
      <c r="BX125" s="165">
        <v>201.33336018852344</v>
      </c>
      <c r="BY125" s="112">
        <v>26.667203770468689</v>
      </c>
      <c r="BZ125" s="165">
        <v>285.74593647404782</v>
      </c>
      <c r="CA125" s="110" t="s">
        <v>355</v>
      </c>
      <c r="CB125" s="112">
        <v>525.88811334514014</v>
      </c>
      <c r="CC125" s="110" t="s">
        <v>355</v>
      </c>
      <c r="CD125" s="110" t="s">
        <v>355</v>
      </c>
      <c r="CE125" s="110" t="s">
        <v>355</v>
      </c>
      <c r="CF125" s="110" t="s">
        <v>355</v>
      </c>
      <c r="CG125" s="110" t="s">
        <v>355</v>
      </c>
      <c r="CH125" s="110" t="s">
        <v>355</v>
      </c>
      <c r="CI125" s="110" t="s">
        <v>355</v>
      </c>
      <c r="CJ125" s="87">
        <v>32299</v>
      </c>
      <c r="CK125" s="92">
        <v>75.376946654695189</v>
      </c>
      <c r="CL125" s="139">
        <v>1214.8399999999999</v>
      </c>
      <c r="CM125" s="139">
        <v>24.468569356885336</v>
      </c>
      <c r="CN125" s="139">
        <v>549.79</v>
      </c>
      <c r="CO125" s="115">
        <v>4</v>
      </c>
      <c r="CP125" s="115">
        <v>24</v>
      </c>
      <c r="CQ125" s="110">
        <v>3</v>
      </c>
      <c r="CR125" s="86">
        <v>4.9711526855763424</v>
      </c>
      <c r="CS125" s="85">
        <v>15997</v>
      </c>
      <c r="CT125" s="85">
        <v>18677</v>
      </c>
      <c r="CU125" s="84">
        <v>85.65</v>
      </c>
      <c r="CV125" s="84">
        <v>63.97</v>
      </c>
      <c r="CW125" s="84">
        <v>1.62</v>
      </c>
      <c r="CX125" s="115" t="s">
        <v>339</v>
      </c>
      <c r="CY125" s="114">
        <v>0</v>
      </c>
      <c r="CZ125" s="129">
        <v>215910</v>
      </c>
      <c r="DA125" s="129">
        <v>0</v>
      </c>
      <c r="DB125" s="129">
        <v>1715</v>
      </c>
      <c r="DC125" s="129">
        <v>0</v>
      </c>
      <c r="DD125" s="129">
        <v>312298</v>
      </c>
      <c r="DE125" s="87">
        <v>6</v>
      </c>
      <c r="DF125" s="87">
        <v>28369</v>
      </c>
      <c r="DG125" s="114">
        <v>1</v>
      </c>
      <c r="DH125" s="162">
        <v>9</v>
      </c>
      <c r="DI125" s="114">
        <v>5516.5555555555557</v>
      </c>
      <c r="DJ125" s="114">
        <v>0</v>
      </c>
      <c r="DK125" s="114">
        <v>100</v>
      </c>
      <c r="DL125" s="114">
        <v>0</v>
      </c>
      <c r="DM125" s="114">
        <v>0</v>
      </c>
      <c r="DN125" s="114">
        <v>0</v>
      </c>
      <c r="DO125" s="114">
        <v>0</v>
      </c>
      <c r="DP125" s="114">
        <v>100</v>
      </c>
      <c r="DQ125" s="88">
        <v>430</v>
      </c>
      <c r="DR125" s="147">
        <v>115.46279069767442</v>
      </c>
    </row>
    <row r="126" spans="1:122" ht="15" customHeight="1" thickBot="1">
      <c r="A126" s="100" t="s">
        <v>336</v>
      </c>
      <c r="B126" s="184">
        <v>2017</v>
      </c>
      <c r="C126" s="109">
        <v>6</v>
      </c>
      <c r="D126" s="83" t="s">
        <v>351</v>
      </c>
      <c r="E126" s="83"/>
      <c r="F126" s="132">
        <v>2555.4</v>
      </c>
      <c r="G126" s="85">
        <v>51002</v>
      </c>
      <c r="H126" s="86">
        <v>12.53254490093112</v>
      </c>
      <c r="I126" s="132">
        <v>19.958519214213037</v>
      </c>
      <c r="J126" s="85">
        <v>25641</v>
      </c>
      <c r="K126" s="173">
        <v>50.274499039253364</v>
      </c>
      <c r="L126" s="85">
        <v>25361</v>
      </c>
      <c r="M126" s="173">
        <v>49.725500960746636</v>
      </c>
      <c r="N126" s="161">
        <v>29.255715462138738</v>
      </c>
      <c r="O126" s="161">
        <v>51.845025685267245</v>
      </c>
      <c r="P126" s="161">
        <v>18.899258852594016</v>
      </c>
      <c r="Q126" s="161">
        <v>41.498372612838715</v>
      </c>
      <c r="R126" s="159">
        <v>39.602368534567276</v>
      </c>
      <c r="S126" s="160">
        <v>18.899258852594016</v>
      </c>
      <c r="T126" s="84">
        <v>3.2</v>
      </c>
      <c r="U126" s="84">
        <v>5.7</v>
      </c>
      <c r="V126" s="89">
        <v>104</v>
      </c>
      <c r="W126" s="90">
        <v>2.2999999999999998</v>
      </c>
      <c r="X126" s="148">
        <v>61156</v>
      </c>
      <c r="Y126" s="89">
        <v>3</v>
      </c>
      <c r="Z126" s="89" t="s">
        <v>352</v>
      </c>
      <c r="AA126" s="85">
        <v>4341</v>
      </c>
      <c r="AB126" s="110" t="s">
        <v>355</v>
      </c>
      <c r="AC126" s="110" t="s">
        <v>355</v>
      </c>
      <c r="AD126" s="110" t="s">
        <v>355</v>
      </c>
      <c r="AE126" s="110" t="s">
        <v>355</v>
      </c>
      <c r="AF126" s="84">
        <v>-26.58</v>
      </c>
      <c r="AG126" s="84">
        <v>2.69</v>
      </c>
      <c r="AH126" s="84">
        <v>69.489999999999995</v>
      </c>
      <c r="AI126" s="86">
        <v>30.507432212210844</v>
      </c>
      <c r="AJ126" s="84">
        <v>5.08</v>
      </c>
      <c r="AK126" s="84">
        <v>1.46</v>
      </c>
      <c r="AL126" s="84">
        <v>4.1317125067582889</v>
      </c>
      <c r="AM126" s="84">
        <v>9.9</v>
      </c>
      <c r="AN126" s="85">
        <v>72578</v>
      </c>
      <c r="AO126" s="85">
        <v>57337</v>
      </c>
      <c r="AP126" s="85">
        <v>28164</v>
      </c>
      <c r="AQ126" s="135">
        <v>1619.8309081497671</v>
      </c>
      <c r="AR126" s="85">
        <v>17387</v>
      </c>
      <c r="AS126" s="85">
        <v>932</v>
      </c>
      <c r="AT126" s="135">
        <v>3035.830618892508</v>
      </c>
      <c r="AU126" s="85">
        <v>307</v>
      </c>
      <c r="AV126" s="85">
        <v>1524</v>
      </c>
      <c r="AW126" s="135">
        <v>2523.1788079470198</v>
      </c>
      <c r="AX126" s="85">
        <v>604</v>
      </c>
      <c r="AY126" s="85">
        <v>1468</v>
      </c>
      <c r="AZ126" s="135">
        <v>183500</v>
      </c>
      <c r="BA126" s="89">
        <v>8</v>
      </c>
      <c r="BB126" s="87">
        <v>272.08017701321364</v>
      </c>
      <c r="BC126" s="91">
        <v>13.883936274227871</v>
      </c>
      <c r="BD126" s="85">
        <v>6603</v>
      </c>
      <c r="BE126" s="92">
        <v>9.0977982308688592</v>
      </c>
      <c r="BF126" s="85">
        <v>4792</v>
      </c>
      <c r="BG126" s="92">
        <v>6.6025517374410985</v>
      </c>
      <c r="BH126" s="85">
        <v>23776</v>
      </c>
      <c r="BI126" s="92">
        <v>32.759238336686046</v>
      </c>
      <c r="BJ126" s="85">
        <v>8302</v>
      </c>
      <c r="BK126" s="92">
        <v>11.43872798919783</v>
      </c>
      <c r="BL126" s="85">
        <v>9713</v>
      </c>
      <c r="BM126" s="92">
        <v>13.382843285844196</v>
      </c>
      <c r="BN126" s="85">
        <v>16368</v>
      </c>
      <c r="BO126" s="92">
        <v>22.552288572294636</v>
      </c>
      <c r="BP126" s="85">
        <v>3024</v>
      </c>
      <c r="BQ126" s="92">
        <v>4.1665518476673373</v>
      </c>
      <c r="BR126" s="165">
        <v>129.46551115642524</v>
      </c>
      <c r="BS126" s="165">
        <v>466.17779694913924</v>
      </c>
      <c r="BT126" s="111">
        <v>0</v>
      </c>
      <c r="BU126" s="165">
        <v>162.77793027724402</v>
      </c>
      <c r="BV126" s="165">
        <v>164.67981647778518</v>
      </c>
      <c r="BW126" s="165">
        <v>93.957099721579553</v>
      </c>
      <c r="BX126" s="165">
        <v>59.291792478726322</v>
      </c>
      <c r="BY126" s="112">
        <v>25.763695541351318</v>
      </c>
      <c r="BZ126" s="165">
        <v>320.92859103564564</v>
      </c>
      <c r="CA126" s="110" t="s">
        <v>355</v>
      </c>
      <c r="CB126" s="112">
        <v>366.45465253239104</v>
      </c>
      <c r="CC126" s="110" t="s">
        <v>355</v>
      </c>
      <c r="CD126" s="110" t="s">
        <v>355</v>
      </c>
      <c r="CE126" s="110" t="s">
        <v>355</v>
      </c>
      <c r="CF126" s="110" t="s">
        <v>355</v>
      </c>
      <c r="CG126" s="110" t="s">
        <v>355</v>
      </c>
      <c r="CH126" s="110" t="s">
        <v>355</v>
      </c>
      <c r="CI126" s="110" t="s">
        <v>355</v>
      </c>
      <c r="CJ126" s="87">
        <v>35447</v>
      </c>
      <c r="CK126" s="92">
        <v>67.909837221767717</v>
      </c>
      <c r="CL126" s="139">
        <v>865.86309999999992</v>
      </c>
      <c r="CM126" s="139">
        <v>16.977042076781299</v>
      </c>
      <c r="CN126" s="139">
        <v>346.54</v>
      </c>
      <c r="CO126" s="115">
        <v>2</v>
      </c>
      <c r="CP126" s="115">
        <v>10</v>
      </c>
      <c r="CQ126" s="110">
        <v>1</v>
      </c>
      <c r="CR126" s="86">
        <v>1.7331407119130451</v>
      </c>
      <c r="CS126" s="85">
        <v>28558</v>
      </c>
      <c r="CT126" s="85">
        <v>15092</v>
      </c>
      <c r="CU126" s="84">
        <v>189.23</v>
      </c>
      <c r="CV126" s="84">
        <v>100.65</v>
      </c>
      <c r="CW126" s="84">
        <v>11.95</v>
      </c>
      <c r="CX126" s="115" t="s">
        <v>339</v>
      </c>
      <c r="CY126" s="114">
        <v>22000</v>
      </c>
      <c r="CZ126" s="129">
        <v>231000</v>
      </c>
      <c r="DA126" s="129">
        <v>0</v>
      </c>
      <c r="DB126" s="129">
        <v>5062</v>
      </c>
      <c r="DC126" s="129">
        <v>4352</v>
      </c>
      <c r="DD126" s="129">
        <v>353129</v>
      </c>
      <c r="DE126" s="87">
        <v>2</v>
      </c>
      <c r="DF126" s="87">
        <v>2500</v>
      </c>
      <c r="DG126" s="114">
        <v>0</v>
      </c>
      <c r="DH126" s="162">
        <v>9</v>
      </c>
      <c r="DI126" s="114">
        <v>5666.8888888888887</v>
      </c>
      <c r="DJ126" s="114">
        <v>11</v>
      </c>
      <c r="DK126" s="114">
        <v>89</v>
      </c>
      <c r="DL126" s="114">
        <v>0</v>
      </c>
      <c r="DM126" s="114">
        <v>0</v>
      </c>
      <c r="DN126" s="114">
        <v>0</v>
      </c>
      <c r="DO126" s="114">
        <v>89</v>
      </c>
      <c r="DP126" s="114">
        <v>11</v>
      </c>
      <c r="DQ126" s="88">
        <v>241</v>
      </c>
      <c r="DR126" s="147">
        <v>211.6265560165975</v>
      </c>
    </row>
    <row r="127" spans="1:122" ht="15" customHeight="1" thickBot="1">
      <c r="A127" s="100" t="s">
        <v>337</v>
      </c>
      <c r="B127" s="184">
        <v>2017</v>
      </c>
      <c r="C127" s="109">
        <v>5</v>
      </c>
      <c r="D127" s="83" t="s">
        <v>347</v>
      </c>
      <c r="E127" s="83" t="s">
        <v>415</v>
      </c>
      <c r="F127" s="132">
        <v>684</v>
      </c>
      <c r="G127" s="85">
        <v>213132</v>
      </c>
      <c r="H127" s="86">
        <v>4.9782046545991943</v>
      </c>
      <c r="I127" s="132">
        <v>311.59649122807019</v>
      </c>
      <c r="J127" s="85">
        <v>105680</v>
      </c>
      <c r="K127" s="173">
        <v>49.584295178574777</v>
      </c>
      <c r="L127" s="85">
        <v>107452</v>
      </c>
      <c r="M127" s="173">
        <v>50.415704821425223</v>
      </c>
      <c r="N127" s="161">
        <v>24.251168290073757</v>
      </c>
      <c r="O127" s="161">
        <v>53.250098530488145</v>
      </c>
      <c r="P127" s="161">
        <v>22.498733179438094</v>
      </c>
      <c r="Q127" s="161">
        <v>39.604095114764561</v>
      </c>
      <c r="R127" s="159">
        <v>37.897171705797348</v>
      </c>
      <c r="S127" s="160">
        <v>22.498733179438094</v>
      </c>
      <c r="T127" s="84">
        <v>2.6</v>
      </c>
      <c r="U127" s="84">
        <v>16.8</v>
      </c>
      <c r="V127" s="89">
        <v>94</v>
      </c>
      <c r="W127" s="90">
        <v>4.5999999999999996</v>
      </c>
      <c r="X127" s="148">
        <v>59856</v>
      </c>
      <c r="Y127" s="89">
        <v>2.6</v>
      </c>
      <c r="Z127" s="89" t="s">
        <v>340</v>
      </c>
      <c r="AA127" s="85">
        <v>12911</v>
      </c>
      <c r="AB127" s="110" t="s">
        <v>355</v>
      </c>
      <c r="AC127" s="110" t="s">
        <v>355</v>
      </c>
      <c r="AD127" s="110" t="s">
        <v>355</v>
      </c>
      <c r="AE127" s="110" t="s">
        <v>355</v>
      </c>
      <c r="AF127" s="84">
        <v>2.76</v>
      </c>
      <c r="AG127" s="84">
        <v>2.93</v>
      </c>
      <c r="AH127" s="84">
        <v>77.06</v>
      </c>
      <c r="AI127" s="86">
        <v>22.932591516123058</v>
      </c>
      <c r="AJ127" s="84">
        <v>4.66</v>
      </c>
      <c r="AK127" s="84">
        <v>6.3</v>
      </c>
      <c r="AL127" s="84">
        <v>3.2122869242791938</v>
      </c>
      <c r="AM127" s="84">
        <v>5.83</v>
      </c>
      <c r="AN127" s="85">
        <v>265649</v>
      </c>
      <c r="AO127" s="85">
        <v>273331</v>
      </c>
      <c r="AP127" s="85">
        <v>108969</v>
      </c>
      <c r="AQ127" s="135">
        <v>1399.4606048930841</v>
      </c>
      <c r="AR127" s="85">
        <v>77865</v>
      </c>
      <c r="AS127" s="85">
        <v>302</v>
      </c>
      <c r="AT127" s="135">
        <v>2475.4098360655739</v>
      </c>
      <c r="AU127" s="85">
        <v>122</v>
      </c>
      <c r="AV127" s="85">
        <v>46875</v>
      </c>
      <c r="AW127" s="135">
        <v>11469.29287986298</v>
      </c>
      <c r="AX127" s="85">
        <v>4087</v>
      </c>
      <c r="AY127" s="85">
        <v>803</v>
      </c>
      <c r="AZ127" s="135">
        <v>53533.333333333336</v>
      </c>
      <c r="BA127" s="89">
        <v>15</v>
      </c>
      <c r="BB127" s="87">
        <v>162.07328465297644</v>
      </c>
      <c r="BC127" s="91">
        <v>18.982854941244462</v>
      </c>
      <c r="BD127" s="85">
        <v>32752</v>
      </c>
      <c r="BE127" s="92">
        <v>12.312319085748657</v>
      </c>
      <c r="BF127" s="85">
        <v>16101</v>
      </c>
      <c r="BG127" s="92">
        <v>6.0527799706777943</v>
      </c>
      <c r="BH127" s="85">
        <v>63237</v>
      </c>
      <c r="BI127" s="92">
        <v>23.772414570880791</v>
      </c>
      <c r="BJ127" s="85">
        <v>32195</v>
      </c>
      <c r="BK127" s="92">
        <v>12.10292846133604</v>
      </c>
      <c r="BL127" s="85">
        <v>57049</v>
      </c>
      <c r="BM127" s="92">
        <v>21.44618623360024</v>
      </c>
      <c r="BN127" s="85">
        <v>50294</v>
      </c>
      <c r="BO127" s="92">
        <v>18.906808014736288</v>
      </c>
      <c r="BP127" s="85">
        <v>14382</v>
      </c>
      <c r="BQ127" s="92">
        <v>5.4065636630201874</v>
      </c>
      <c r="BR127" s="165">
        <v>153.67002608711971</v>
      </c>
      <c r="BS127" s="165">
        <v>296.70345138224201</v>
      </c>
      <c r="BT127" s="111">
        <v>0</v>
      </c>
      <c r="BU127" s="165">
        <v>151.05662218718916</v>
      </c>
      <c r="BV127" s="165">
        <v>211.83116566259406</v>
      </c>
      <c r="BW127" s="165">
        <v>75.544732841619279</v>
      </c>
      <c r="BX127" s="165">
        <v>67.479308597488881</v>
      </c>
      <c r="BY127" s="112">
        <v>55.838635211981305</v>
      </c>
      <c r="BZ127" s="165">
        <v>235.97582718690765</v>
      </c>
      <c r="CA127" s="110" t="s">
        <v>355</v>
      </c>
      <c r="CB127" s="112">
        <v>452.00437108184275</v>
      </c>
      <c r="CC127" s="110" t="s">
        <v>355</v>
      </c>
      <c r="CD127" s="110" t="s">
        <v>355</v>
      </c>
      <c r="CE127" s="110" t="s">
        <v>355</v>
      </c>
      <c r="CF127" s="110" t="s">
        <v>355</v>
      </c>
      <c r="CG127" s="110" t="s">
        <v>355</v>
      </c>
      <c r="CH127" s="110" t="s">
        <v>355</v>
      </c>
      <c r="CI127" s="110" t="s">
        <v>355</v>
      </c>
      <c r="CJ127" s="87">
        <v>80303</v>
      </c>
      <c r="CK127" s="92">
        <v>72.768140667222895</v>
      </c>
      <c r="CL127" s="139">
        <v>1029.1000000000001</v>
      </c>
      <c r="CM127" s="139">
        <v>4.8284631120620087</v>
      </c>
      <c r="CN127" s="139">
        <v>2464</v>
      </c>
      <c r="CO127" s="115">
        <v>18</v>
      </c>
      <c r="CP127" s="115">
        <v>36</v>
      </c>
      <c r="CQ127" s="110">
        <v>7</v>
      </c>
      <c r="CR127" s="86">
        <v>6.0464410473202053</v>
      </c>
      <c r="CS127" s="85">
        <v>67951</v>
      </c>
      <c r="CT127" s="85">
        <v>68961</v>
      </c>
      <c r="CU127" s="84">
        <v>98.54</v>
      </c>
      <c r="CV127" s="84">
        <v>56</v>
      </c>
      <c r="CW127" s="84">
        <v>5.5</v>
      </c>
      <c r="CX127" s="115" t="s">
        <v>339</v>
      </c>
      <c r="CY127" s="114">
        <v>106000</v>
      </c>
      <c r="CZ127" s="129">
        <v>482000</v>
      </c>
      <c r="DA127" s="129">
        <v>13948</v>
      </c>
      <c r="DB127" s="129">
        <v>34228</v>
      </c>
      <c r="DC127" s="129">
        <v>0</v>
      </c>
      <c r="DD127" s="129">
        <v>401044</v>
      </c>
      <c r="DE127" s="87">
        <v>1</v>
      </c>
      <c r="DF127" s="87">
        <v>0</v>
      </c>
      <c r="DG127" s="114">
        <v>0</v>
      </c>
      <c r="DH127" s="162">
        <v>13</v>
      </c>
      <c r="DI127" s="114">
        <v>16394.76923076923</v>
      </c>
      <c r="DJ127" s="114">
        <v>46</v>
      </c>
      <c r="DK127" s="114">
        <v>54</v>
      </c>
      <c r="DL127" s="114">
        <v>0</v>
      </c>
      <c r="DM127" s="114">
        <v>0</v>
      </c>
      <c r="DN127" s="114">
        <v>8</v>
      </c>
      <c r="DO127" s="114">
        <v>46</v>
      </c>
      <c r="DP127" s="114">
        <v>46</v>
      </c>
      <c r="DQ127" s="88">
        <v>1175</v>
      </c>
      <c r="DR127" s="147">
        <v>181.38893617021276</v>
      </c>
    </row>
    <row r="128" spans="1:122" ht="15" customHeight="1" thickBot="1">
      <c r="A128" s="100" t="s">
        <v>338</v>
      </c>
      <c r="B128" s="184">
        <v>2017</v>
      </c>
      <c r="C128" s="109">
        <v>2</v>
      </c>
      <c r="D128" s="83" t="s">
        <v>349</v>
      </c>
      <c r="E128" s="83"/>
      <c r="F128" s="132">
        <v>12.3</v>
      </c>
      <c r="G128" s="85">
        <v>58456</v>
      </c>
      <c r="H128" s="86">
        <v>2.5795809497069389</v>
      </c>
      <c r="I128" s="132">
        <v>4752.5203252032516</v>
      </c>
      <c r="J128" s="85">
        <v>27380</v>
      </c>
      <c r="K128" s="173">
        <v>46.838647871903653</v>
      </c>
      <c r="L128" s="85">
        <v>31076</v>
      </c>
      <c r="M128" s="173">
        <v>53.161352128096354</v>
      </c>
      <c r="N128" s="161">
        <v>20.377719994525798</v>
      </c>
      <c r="O128" s="161">
        <v>56.336389763240724</v>
      </c>
      <c r="P128" s="161">
        <v>23.285890242233474</v>
      </c>
      <c r="Q128" s="161">
        <v>35.400985356507455</v>
      </c>
      <c r="R128" s="159">
        <v>41.313124401259067</v>
      </c>
      <c r="S128" s="160">
        <v>23.285890242233474</v>
      </c>
      <c r="T128" s="84">
        <v>0.3</v>
      </c>
      <c r="U128" s="84">
        <v>15.4</v>
      </c>
      <c r="V128" s="89">
        <v>129</v>
      </c>
      <c r="W128" s="90">
        <v>1.6</v>
      </c>
      <c r="X128" s="148">
        <v>114376</v>
      </c>
      <c r="Y128" s="89">
        <v>2.2999999999999998</v>
      </c>
      <c r="Z128" s="89" t="s">
        <v>344</v>
      </c>
      <c r="AA128" s="85">
        <v>9989</v>
      </c>
      <c r="AB128" s="110" t="s">
        <v>355</v>
      </c>
      <c r="AC128" s="110" t="s">
        <v>355</v>
      </c>
      <c r="AD128" s="110" t="s">
        <v>355</v>
      </c>
      <c r="AE128" s="110" t="s">
        <v>355</v>
      </c>
      <c r="AF128" s="84">
        <v>3.73</v>
      </c>
      <c r="AG128" s="84">
        <v>4.46</v>
      </c>
      <c r="AH128" s="84">
        <v>91.55</v>
      </c>
      <c r="AI128" s="86">
        <v>8.4475022875462464</v>
      </c>
      <c r="AJ128" s="84">
        <v>3.74</v>
      </c>
      <c r="AK128" s="84">
        <v>2.94</v>
      </c>
      <c r="AL128" s="84">
        <v>7.110172851677615</v>
      </c>
      <c r="AM128" s="84">
        <v>8.6</v>
      </c>
      <c r="AN128" s="85">
        <v>89832</v>
      </c>
      <c r="AO128" s="85">
        <v>93316</v>
      </c>
      <c r="AP128" s="85">
        <v>32819</v>
      </c>
      <c r="AQ128" s="135">
        <v>1335.8977490129034</v>
      </c>
      <c r="AR128" s="85">
        <v>24567</v>
      </c>
      <c r="AS128" s="135" t="s">
        <v>379</v>
      </c>
      <c r="AT128" s="135" t="s">
        <v>379</v>
      </c>
      <c r="AU128" s="135" t="s">
        <v>379</v>
      </c>
      <c r="AV128" s="85">
        <v>4868</v>
      </c>
      <c r="AW128" s="135">
        <v>3452.4822695035459</v>
      </c>
      <c r="AX128" s="85">
        <v>1410</v>
      </c>
      <c r="AY128" s="135" t="s">
        <v>379</v>
      </c>
      <c r="AZ128" s="135" t="s">
        <v>379</v>
      </c>
      <c r="BA128" s="89">
        <v>0</v>
      </c>
      <c r="BB128" s="87">
        <v>910.86400695199939</v>
      </c>
      <c r="BC128" s="91">
        <v>3.3866568974640776</v>
      </c>
      <c r="BD128" s="85">
        <v>21232</v>
      </c>
      <c r="BE128" s="92">
        <v>23.008235804074555</v>
      </c>
      <c r="BF128" s="85">
        <v>6236</v>
      </c>
      <c r="BG128" s="92">
        <v>6.7576939748591247</v>
      </c>
      <c r="BH128" s="85">
        <v>16477</v>
      </c>
      <c r="BI128" s="92">
        <v>17.85543996532293</v>
      </c>
      <c r="BJ128" s="85">
        <v>10605</v>
      </c>
      <c r="BK128" s="92">
        <v>11.492197659297791</v>
      </c>
      <c r="BL128" s="85">
        <v>14721</v>
      </c>
      <c r="BM128" s="92">
        <v>15.952535760728217</v>
      </c>
      <c r="BN128" s="85">
        <v>8713</v>
      </c>
      <c r="BO128" s="92">
        <v>9.4419159081057646</v>
      </c>
      <c r="BP128" s="85">
        <v>14296</v>
      </c>
      <c r="BQ128" s="92">
        <v>15.491980927611618</v>
      </c>
      <c r="BR128" s="165">
        <v>363.21335705487888</v>
      </c>
      <c r="BS128" s="165">
        <v>281.87012453811411</v>
      </c>
      <c r="BT128" s="111">
        <v>0</v>
      </c>
      <c r="BU128" s="165">
        <v>181.41850280552893</v>
      </c>
      <c r="BV128" s="165">
        <v>161.31791432872589</v>
      </c>
      <c r="BW128" s="165">
        <v>106.67852743944164</v>
      </c>
      <c r="BX128" s="165">
        <v>244.56001094840565</v>
      </c>
      <c r="BY128" s="112">
        <v>90.512522238948947</v>
      </c>
      <c r="BZ128" s="165">
        <v>149.05227863692349</v>
      </c>
      <c r="CA128" s="110" t="s">
        <v>355</v>
      </c>
      <c r="CB128" s="112">
        <v>419.90624799332176</v>
      </c>
      <c r="CC128" s="110" t="s">
        <v>355</v>
      </c>
      <c r="CD128" s="110" t="s">
        <v>355</v>
      </c>
      <c r="CE128" s="110" t="s">
        <v>355</v>
      </c>
      <c r="CF128" s="110" t="s">
        <v>355</v>
      </c>
      <c r="CG128" s="110" t="s">
        <v>355</v>
      </c>
      <c r="CH128" s="110" t="s">
        <v>355</v>
      </c>
      <c r="CI128" s="110" t="s">
        <v>355</v>
      </c>
      <c r="CJ128" s="87">
        <v>15314</v>
      </c>
      <c r="CK128" s="92">
        <v>55.334987593052112</v>
      </c>
      <c r="CL128" s="139">
        <v>145.82</v>
      </c>
      <c r="CM128" s="139">
        <v>2.4945257971807857</v>
      </c>
      <c r="CN128" s="139">
        <v>102</v>
      </c>
      <c r="CO128" s="115">
        <v>3</v>
      </c>
      <c r="CP128" s="115">
        <v>15</v>
      </c>
      <c r="CQ128" s="110">
        <v>3</v>
      </c>
      <c r="CR128" s="86">
        <v>10.674388193536334</v>
      </c>
      <c r="CS128" s="85">
        <v>9170</v>
      </c>
      <c r="CT128" s="85">
        <v>8551</v>
      </c>
      <c r="CU128" s="84">
        <v>107.24</v>
      </c>
      <c r="CV128" s="84">
        <v>87.95</v>
      </c>
      <c r="CW128" s="84">
        <v>1.27</v>
      </c>
      <c r="CX128" s="115" t="s">
        <v>339</v>
      </c>
      <c r="CY128" s="114">
        <v>14000</v>
      </c>
      <c r="CZ128" s="129">
        <v>312000</v>
      </c>
      <c r="DA128" s="129">
        <v>0</v>
      </c>
      <c r="DB128" s="129">
        <v>10000</v>
      </c>
      <c r="DC128" s="129">
        <v>2000</v>
      </c>
      <c r="DD128" s="129">
        <v>365335</v>
      </c>
      <c r="DE128" s="87">
        <v>0</v>
      </c>
      <c r="DF128" s="87">
        <v>0</v>
      </c>
      <c r="DG128" s="114">
        <v>0</v>
      </c>
      <c r="DH128" s="162">
        <v>15</v>
      </c>
      <c r="DI128" s="114">
        <v>3897.0666666666666</v>
      </c>
      <c r="DJ128" s="114">
        <v>60</v>
      </c>
      <c r="DK128" s="114">
        <v>40</v>
      </c>
      <c r="DL128" s="114">
        <v>0</v>
      </c>
      <c r="DM128" s="114">
        <v>0</v>
      </c>
      <c r="DN128" s="114">
        <v>0</v>
      </c>
      <c r="DO128" s="114">
        <v>80</v>
      </c>
      <c r="DP128" s="114">
        <v>20</v>
      </c>
      <c r="DQ128" s="88">
        <v>365</v>
      </c>
      <c r="DR128" s="147">
        <v>160.15342465753426</v>
      </c>
    </row>
    <row r="129" spans="1:122" ht="15.75" customHeight="1" thickBot="1">
      <c r="A129" s="101" t="s">
        <v>94</v>
      </c>
      <c r="B129" s="184">
        <v>2017</v>
      </c>
      <c r="C129" s="116">
        <v>11</v>
      </c>
      <c r="D129" s="94" t="s">
        <v>350</v>
      </c>
      <c r="E129" s="94" t="s">
        <v>409</v>
      </c>
      <c r="F129" s="133">
        <v>3995.3</v>
      </c>
      <c r="G129" s="96">
        <v>16739</v>
      </c>
      <c r="H129" s="97">
        <v>4.7431324698078869</v>
      </c>
      <c r="I129" s="133">
        <v>4.1896728656170996</v>
      </c>
      <c r="J129" s="96">
        <v>8251</v>
      </c>
      <c r="K129" s="174">
        <v>49.292072405759008</v>
      </c>
      <c r="L129" s="96">
        <v>8488</v>
      </c>
      <c r="M129" s="174">
        <v>50.707927594240999</v>
      </c>
      <c r="N129" s="175">
        <v>27.7316446621662</v>
      </c>
      <c r="O129" s="175">
        <v>50.086624051615992</v>
      </c>
      <c r="P129" s="175">
        <v>22.181731286217815</v>
      </c>
      <c r="Q129" s="175">
        <v>37.140808889419915</v>
      </c>
      <c r="R129" s="176">
        <v>40.677459824362266</v>
      </c>
      <c r="S129" s="177">
        <v>22.181731286217815</v>
      </c>
      <c r="T129" s="95">
        <v>2.5</v>
      </c>
      <c r="U129" s="95">
        <v>3.6</v>
      </c>
      <c r="V129" s="117">
        <v>111</v>
      </c>
      <c r="W129" s="118">
        <v>2.5</v>
      </c>
      <c r="X129" s="149">
        <v>66321</v>
      </c>
      <c r="Y129" s="117">
        <v>2.7</v>
      </c>
      <c r="Z129" s="117" t="s">
        <v>346</v>
      </c>
      <c r="AA129" s="96">
        <v>1931</v>
      </c>
      <c r="AB129" s="119" t="s">
        <v>355</v>
      </c>
      <c r="AC129" s="119" t="s">
        <v>355</v>
      </c>
      <c r="AD129" s="119" t="s">
        <v>355</v>
      </c>
      <c r="AE129" s="119" t="s">
        <v>355</v>
      </c>
      <c r="AF129" s="95">
        <v>5.49</v>
      </c>
      <c r="AG129" s="95">
        <v>2.86</v>
      </c>
      <c r="AH129" s="95">
        <v>61.46</v>
      </c>
      <c r="AI129" s="95">
        <v>38.540071365380648</v>
      </c>
      <c r="AJ129" s="95">
        <v>4.07</v>
      </c>
      <c r="AK129" s="95">
        <v>3.14</v>
      </c>
      <c r="AL129" s="95">
        <v>8.6566661048373508</v>
      </c>
      <c r="AM129" s="95">
        <v>8.83</v>
      </c>
      <c r="AN129" s="96">
        <v>28036</v>
      </c>
      <c r="AO129" s="96">
        <v>29665</v>
      </c>
      <c r="AP129" s="96">
        <v>4778</v>
      </c>
      <c r="AQ129" s="150">
        <v>846.86281460475004</v>
      </c>
      <c r="AR129" s="96">
        <v>5642</v>
      </c>
      <c r="AS129" s="96">
        <v>3562</v>
      </c>
      <c r="AT129" s="150">
        <v>2458.2470669427189</v>
      </c>
      <c r="AU129" s="96">
        <v>1449</v>
      </c>
      <c r="AV129" s="96">
        <v>728</v>
      </c>
      <c r="AW129" s="150">
        <v>2572.4381625441697</v>
      </c>
      <c r="AX129" s="96">
        <v>283</v>
      </c>
      <c r="AY129" s="150" t="s">
        <v>379</v>
      </c>
      <c r="AZ129" s="150" t="s">
        <v>379</v>
      </c>
      <c r="BA129" s="117">
        <v>0</v>
      </c>
      <c r="BB129" s="120">
        <v>292.72963608292901</v>
      </c>
      <c r="BC129" s="121">
        <v>13.080467919177597</v>
      </c>
      <c r="BD129" s="96">
        <v>3479</v>
      </c>
      <c r="BE129" s="125">
        <v>11.879801946388936</v>
      </c>
      <c r="BF129" s="96">
        <v>6482</v>
      </c>
      <c r="BG129" s="125">
        <v>22.134198395082809</v>
      </c>
      <c r="BH129" s="96">
        <v>3738</v>
      </c>
      <c r="BI129" s="125">
        <v>12.764213761311252</v>
      </c>
      <c r="BJ129" s="96">
        <v>2417</v>
      </c>
      <c r="BK129" s="125">
        <v>8.2533720334642311</v>
      </c>
      <c r="BL129" s="96">
        <v>2575</v>
      </c>
      <c r="BM129" s="125">
        <v>8.7928973877411654</v>
      </c>
      <c r="BN129" s="96">
        <v>4172</v>
      </c>
      <c r="BO129" s="125">
        <v>14.246201126856754</v>
      </c>
      <c r="BP129" s="96">
        <v>6422</v>
      </c>
      <c r="BQ129" s="125">
        <v>21.929315349154859</v>
      </c>
      <c r="BR129" s="122">
        <v>207.83798315311549</v>
      </c>
      <c r="BS129" s="122">
        <v>223.31083099348825</v>
      </c>
      <c r="BT129" s="122">
        <v>309.33747535695085</v>
      </c>
      <c r="BU129" s="122">
        <v>144.39333293506184</v>
      </c>
      <c r="BV129" s="122">
        <v>128.2035963916602</v>
      </c>
      <c r="BW129" s="122">
        <v>77.901905729135549</v>
      </c>
      <c r="BX129" s="122">
        <v>383.65493757094214</v>
      </c>
      <c r="BY129" s="123">
        <v>25.628771133281557</v>
      </c>
      <c r="BZ129" s="122">
        <v>249.23830575303185</v>
      </c>
      <c r="CA129" s="119" t="s">
        <v>355</v>
      </c>
      <c r="CB129" s="112">
        <v>565.71823991533358</v>
      </c>
      <c r="CC129" s="119" t="s">
        <v>355</v>
      </c>
      <c r="CD129" s="119" t="s">
        <v>355</v>
      </c>
      <c r="CE129" s="119" t="s">
        <v>355</v>
      </c>
      <c r="CF129" s="119" t="s">
        <v>355</v>
      </c>
      <c r="CG129" s="119" t="s">
        <v>355</v>
      </c>
      <c r="CH129" s="119" t="s">
        <v>355</v>
      </c>
      <c r="CI129" s="119" t="s">
        <v>355</v>
      </c>
      <c r="CJ129" s="120">
        <v>10734</v>
      </c>
      <c r="CK129" s="125">
        <v>48.285820756474749</v>
      </c>
      <c r="CL129" s="140">
        <v>1240.03</v>
      </c>
      <c r="CM129" s="140">
        <v>74.080291534739231</v>
      </c>
      <c r="CN129" s="140">
        <v>256</v>
      </c>
      <c r="CO129" s="124">
        <v>2</v>
      </c>
      <c r="CP129" s="124">
        <v>4</v>
      </c>
      <c r="CQ129" s="119">
        <v>1</v>
      </c>
      <c r="CR129" s="95">
        <v>4.4574455421973571</v>
      </c>
      <c r="CS129" s="96">
        <v>7329</v>
      </c>
      <c r="CT129" s="96">
        <v>7448</v>
      </c>
      <c r="CU129" s="95">
        <v>98.4</v>
      </c>
      <c r="CV129" s="95">
        <v>76.02</v>
      </c>
      <c r="CW129" s="95">
        <v>1.95</v>
      </c>
      <c r="CX129" s="124" t="s">
        <v>339</v>
      </c>
      <c r="CY129" s="120">
        <v>18000</v>
      </c>
      <c r="CZ129" s="130">
        <v>133000</v>
      </c>
      <c r="DA129" s="130">
        <v>4000</v>
      </c>
      <c r="DB129" s="130">
        <v>9000</v>
      </c>
      <c r="DC129" s="130">
        <v>0</v>
      </c>
      <c r="DD129" s="130">
        <v>254000</v>
      </c>
      <c r="DE129" s="120">
        <v>0</v>
      </c>
      <c r="DF129" s="120">
        <v>0</v>
      </c>
      <c r="DG129" s="120">
        <v>0</v>
      </c>
      <c r="DH129" s="167">
        <v>9</v>
      </c>
      <c r="DI129" s="120">
        <v>1859.8888888888889</v>
      </c>
      <c r="DJ129" s="126">
        <v>33.333333333333329</v>
      </c>
      <c r="DK129" s="126">
        <v>66.666666666666657</v>
      </c>
      <c r="DL129" s="126">
        <v>0</v>
      </c>
      <c r="DM129" s="126">
        <v>0</v>
      </c>
      <c r="DN129" s="126">
        <v>12</v>
      </c>
      <c r="DO129" s="126">
        <v>44</v>
      </c>
      <c r="DP129" s="126">
        <v>44</v>
      </c>
      <c r="DQ129" s="98">
        <v>126</v>
      </c>
      <c r="DR129" s="151">
        <v>132.84920634920636</v>
      </c>
    </row>
    <row r="130" spans="1:122" ht="15" customHeight="1" thickBot="1">
      <c r="J130" s="152"/>
      <c r="K130" s="46"/>
      <c r="L130" s="152"/>
      <c r="M130" s="46"/>
      <c r="Q130" s="38"/>
      <c r="R130" s="38"/>
      <c r="S130" s="38"/>
      <c r="AB130" s="35"/>
      <c r="AC130" s="33"/>
      <c r="AE130" s="33"/>
      <c r="AF130" s="35"/>
      <c r="AG130" s="35"/>
      <c r="AH130" s="35"/>
      <c r="AI130" s="153"/>
      <c r="AJ130" s="35"/>
      <c r="AK130" s="35"/>
      <c r="AL130" s="35"/>
      <c r="AM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53"/>
      <c r="BC130" s="154"/>
      <c r="BD130" s="152"/>
      <c r="BE130" s="152"/>
      <c r="BF130" s="152"/>
      <c r="BG130" s="152"/>
      <c r="BH130" s="152"/>
      <c r="BI130" s="152"/>
      <c r="BJ130" s="152"/>
      <c r="BK130" s="152"/>
      <c r="BL130" s="152"/>
      <c r="BM130" s="152"/>
      <c r="BN130" s="152"/>
      <c r="BO130" s="152"/>
      <c r="BP130" s="152"/>
      <c r="BR130" s="35"/>
      <c r="BS130" s="35"/>
      <c r="BT130" s="35"/>
      <c r="BU130" s="35"/>
      <c r="BV130" s="35"/>
      <c r="BW130" s="35"/>
      <c r="BX130" s="35"/>
      <c r="BY130" s="33"/>
      <c r="BZ130" s="35"/>
      <c r="CA130" s="37"/>
      <c r="CB130" s="143">
        <v>252.21552640907478</v>
      </c>
      <c r="CC130" s="155"/>
      <c r="CJ130" s="64"/>
      <c r="CK130" s="33"/>
      <c r="CL130" s="39"/>
      <c r="CM130" s="35"/>
      <c r="CN130" s="142"/>
      <c r="CO130" s="142"/>
      <c r="CP130" s="142"/>
      <c r="CR130" s="33"/>
      <c r="CS130" s="63"/>
      <c r="CU130" s="37"/>
      <c r="CV130" s="37"/>
      <c r="CW130" s="37"/>
      <c r="CX130" s="156"/>
      <c r="CY130" s="64"/>
      <c r="CZ130" s="64"/>
      <c r="DA130" s="64"/>
      <c r="DB130" s="64"/>
      <c r="DC130" s="64"/>
      <c r="DD130" s="53"/>
      <c r="DE130" s="157"/>
      <c r="DF130" s="157"/>
      <c r="DG130" s="182"/>
      <c r="DJ130" s="46"/>
      <c r="DK130" s="46"/>
      <c r="DL130" s="46"/>
      <c r="DM130" s="46"/>
      <c r="DN130" s="35"/>
      <c r="DO130" s="35"/>
      <c r="DP130" s="35"/>
      <c r="DR130" s="144"/>
    </row>
    <row r="131" spans="1:122" ht="43.5">
      <c r="A131" s="178" t="s">
        <v>389</v>
      </c>
      <c r="B131" s="178"/>
      <c r="J131" s="35"/>
      <c r="K131" s="46"/>
      <c r="L131" s="35"/>
      <c r="M131" s="46"/>
      <c r="Q131" s="38"/>
      <c r="R131" s="38"/>
      <c r="S131" s="38"/>
      <c r="AB131" s="35"/>
      <c r="AC131" s="33"/>
      <c r="AE131" s="33"/>
      <c r="AF131" s="35"/>
      <c r="AG131" s="35"/>
      <c r="AH131" s="35"/>
      <c r="AI131" s="153"/>
      <c r="AJ131" s="35"/>
      <c r="AK131" s="35"/>
      <c r="AL131" s="35"/>
      <c r="AM131" s="35"/>
      <c r="AS131" s="35"/>
      <c r="AT131" s="35"/>
      <c r="AU131" s="35"/>
      <c r="AV131" s="35"/>
      <c r="AW131" s="35"/>
      <c r="AX131" s="35"/>
      <c r="AY131" s="35"/>
      <c r="AZ131" s="53"/>
      <c r="BA131" s="35"/>
      <c r="BB131" s="53"/>
      <c r="BC131" s="154"/>
      <c r="BD131" s="152">
        <f>BD74+BF74+BH74+BJ74+BL74+BN74+BP74</f>
        <v>9867</v>
      </c>
      <c r="BE131" s="180">
        <f>BN74/BD131</f>
        <v>0.32988750380054727</v>
      </c>
      <c r="BR131" s="35"/>
      <c r="BS131" s="35"/>
      <c r="BT131" s="35"/>
      <c r="BU131" s="35"/>
      <c r="BV131" s="35"/>
      <c r="BW131" s="35"/>
      <c r="BX131" s="35"/>
      <c r="BY131" s="33"/>
      <c r="BZ131" s="35"/>
      <c r="CA131" s="37"/>
      <c r="CB131" s="35"/>
      <c r="CC131" s="155"/>
      <c r="CJ131" s="33"/>
      <c r="CK131" s="33"/>
      <c r="CM131" s="35"/>
      <c r="CR131" s="33"/>
      <c r="CU131" s="37"/>
      <c r="CV131" s="37"/>
      <c r="CW131" s="37"/>
      <c r="CX131" s="156"/>
      <c r="DD131" s="35"/>
      <c r="DE131" s="157"/>
      <c r="DF131" s="156"/>
      <c r="DG131" s="156"/>
      <c r="DJ131" s="46"/>
      <c r="DK131" s="46"/>
      <c r="DL131" s="46"/>
      <c r="DM131" s="46"/>
      <c r="DN131" s="35"/>
      <c r="DO131" s="35"/>
      <c r="DP131" s="35"/>
      <c r="DR131" s="144"/>
    </row>
    <row r="132" spans="1:122">
      <c r="J132" s="35"/>
      <c r="K132" s="46"/>
      <c r="L132" s="35"/>
      <c r="M132" s="46"/>
      <c r="Q132" s="38"/>
      <c r="R132" s="38"/>
      <c r="S132" s="38"/>
      <c r="AB132" s="35"/>
      <c r="AC132" s="33"/>
      <c r="AE132" s="33"/>
      <c r="AF132" s="35"/>
      <c r="AG132" s="35"/>
      <c r="AH132" s="35"/>
      <c r="AI132" s="153"/>
      <c r="AJ132" s="35"/>
      <c r="AK132" s="35"/>
      <c r="AL132" s="35"/>
      <c r="AM132" s="35"/>
      <c r="AS132" s="35"/>
      <c r="AT132" s="35"/>
      <c r="AU132" s="35"/>
      <c r="AV132" s="35"/>
      <c r="AW132" s="35"/>
      <c r="AX132" s="35"/>
      <c r="AY132" s="35"/>
      <c r="AZ132" s="53"/>
      <c r="BA132" s="35"/>
      <c r="BB132" s="53"/>
      <c r="BC132" s="154"/>
      <c r="BD132" s="181">
        <f>BD74/BD131</f>
        <v>0.19458802067497719</v>
      </c>
      <c r="BR132" s="35"/>
      <c r="BS132" s="35"/>
      <c r="BT132" s="35"/>
      <c r="BU132" s="35"/>
      <c r="BV132" s="35"/>
      <c r="BW132" s="35"/>
      <c r="BX132" s="35"/>
      <c r="BY132" s="33"/>
      <c r="BZ132" s="35"/>
      <c r="CA132" s="37"/>
      <c r="CB132" s="35"/>
      <c r="CC132" s="155"/>
      <c r="CJ132" s="33"/>
      <c r="CK132" s="33"/>
      <c r="CM132" s="35"/>
      <c r="CR132" s="33"/>
      <c r="CU132" s="37"/>
      <c r="CV132" s="37"/>
      <c r="CW132" s="37"/>
      <c r="CX132" s="156"/>
      <c r="DD132" s="35"/>
      <c r="DE132" s="157"/>
      <c r="DF132" s="156"/>
      <c r="DG132" s="156"/>
      <c r="DJ132" s="46"/>
      <c r="DK132" s="46"/>
      <c r="DL132" s="46"/>
      <c r="DM132" s="46"/>
      <c r="DN132" s="35"/>
      <c r="DO132" s="35"/>
      <c r="DP132" s="35"/>
      <c r="DR132" s="144"/>
    </row>
    <row r="133" spans="1:122" ht="29">
      <c r="A133" s="178" t="s">
        <v>390</v>
      </c>
      <c r="B133" s="178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  <c r="BP133" s="36"/>
      <c r="BQ133" s="36"/>
      <c r="BR133" s="36"/>
      <c r="BS133" s="36"/>
      <c r="BT133" s="36"/>
      <c r="BU133" s="36"/>
      <c r="BV133" s="36"/>
      <c r="BW133" s="36"/>
      <c r="BX133" s="36"/>
      <c r="BY133" s="36"/>
      <c r="BZ133" s="36"/>
      <c r="CA133" s="36"/>
      <c r="CB133" s="35"/>
      <c r="CC133" s="36"/>
      <c r="CD133" s="36"/>
      <c r="CE133" s="36"/>
      <c r="CF133" s="36"/>
      <c r="CG133" s="36"/>
      <c r="CH133" s="36"/>
      <c r="CI133" s="36"/>
      <c r="CJ133" s="36"/>
      <c r="CK133" s="36"/>
      <c r="CL133" s="36"/>
      <c r="CM133" s="36"/>
      <c r="CN133" s="36"/>
      <c r="CO133" s="36"/>
      <c r="CP133" s="36"/>
      <c r="CQ133" s="36"/>
      <c r="CR133" s="36"/>
      <c r="CS133" s="36"/>
      <c r="CT133" s="36"/>
      <c r="CU133" s="36"/>
      <c r="CV133" s="36"/>
      <c r="CW133" s="36"/>
      <c r="CX133" s="36"/>
      <c r="CY133" s="36"/>
      <c r="CZ133" s="36"/>
      <c r="DA133" s="36"/>
      <c r="DB133" s="36"/>
      <c r="DC133" s="36"/>
      <c r="DD133" s="36"/>
      <c r="DE133" s="36"/>
      <c r="DF133" s="36"/>
      <c r="DG133" s="36"/>
      <c r="DH133" s="36"/>
      <c r="DI133" s="36"/>
      <c r="DJ133" s="36"/>
      <c r="DK133" s="36"/>
      <c r="DL133" s="36"/>
      <c r="DM133" s="36"/>
      <c r="DN133" s="36"/>
      <c r="DO133" s="36"/>
      <c r="DP133" s="36"/>
      <c r="DQ133" s="36"/>
      <c r="DR133" s="36"/>
    </row>
    <row r="134" spans="1:122">
      <c r="A134" s="158"/>
      <c r="B134" s="158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  <c r="BP134" s="36"/>
      <c r="BQ134" s="36"/>
      <c r="BR134" s="36"/>
      <c r="BS134" s="36"/>
      <c r="BT134" s="36"/>
      <c r="BU134" s="36"/>
      <c r="BV134" s="36"/>
      <c r="BW134" s="36"/>
      <c r="BX134" s="36"/>
      <c r="BY134" s="36"/>
      <c r="BZ134" s="36"/>
      <c r="CA134" s="36"/>
      <c r="CB134" s="36"/>
      <c r="CC134" s="36"/>
      <c r="CD134" s="36"/>
      <c r="CE134" s="36"/>
      <c r="CF134" s="36"/>
      <c r="CG134" s="36"/>
      <c r="CH134" s="36"/>
      <c r="CI134" s="36"/>
      <c r="CJ134" s="36"/>
      <c r="CK134" s="36"/>
      <c r="CL134" s="36"/>
      <c r="CM134" s="36"/>
      <c r="CN134" s="36"/>
      <c r="CO134" s="36"/>
      <c r="CP134" s="36"/>
      <c r="CQ134" s="36"/>
      <c r="CR134" s="36"/>
      <c r="CS134" s="36"/>
      <c r="CT134" s="36"/>
      <c r="CU134" s="36"/>
      <c r="CV134" s="36"/>
      <c r="CW134" s="36"/>
      <c r="CX134" s="36"/>
      <c r="CY134" s="36"/>
      <c r="CZ134" s="36"/>
      <c r="DA134" s="36"/>
      <c r="DB134" s="36"/>
      <c r="DC134" s="36"/>
      <c r="DD134" s="36"/>
      <c r="DE134" s="36"/>
      <c r="DF134" s="36"/>
      <c r="DG134" s="36"/>
      <c r="DH134" s="36"/>
      <c r="DI134" s="36"/>
      <c r="DJ134" s="36"/>
      <c r="DK134" s="36"/>
      <c r="DL134" s="36"/>
      <c r="DM134" s="36"/>
      <c r="DN134" s="36"/>
      <c r="DO134" s="36"/>
      <c r="DP134" s="36"/>
      <c r="DQ134" s="36"/>
      <c r="DR134" s="36"/>
    </row>
    <row r="135" spans="1:122">
      <c r="A135" s="158"/>
      <c r="B135" s="158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6"/>
      <c r="BY135" s="36"/>
      <c r="BZ135" s="36"/>
      <c r="CA135" s="36"/>
      <c r="CB135" s="36"/>
      <c r="CC135" s="36"/>
      <c r="CD135" s="36"/>
      <c r="CE135" s="36"/>
      <c r="CF135" s="36"/>
      <c r="CG135" s="36"/>
      <c r="CH135" s="36"/>
      <c r="CI135" s="36"/>
      <c r="CJ135" s="36"/>
      <c r="CK135" s="36"/>
      <c r="CL135" s="36"/>
      <c r="CM135" s="36"/>
      <c r="CN135" s="36"/>
      <c r="CO135" s="36"/>
      <c r="CP135" s="36"/>
      <c r="CQ135" s="36"/>
      <c r="CR135" s="36"/>
      <c r="CS135" s="36"/>
      <c r="CT135" s="36"/>
      <c r="CU135" s="36"/>
      <c r="CV135" s="36"/>
      <c r="CW135" s="36"/>
      <c r="CX135" s="36"/>
      <c r="CY135" s="36"/>
      <c r="CZ135" s="36"/>
      <c r="DA135" s="36"/>
      <c r="DB135" s="36"/>
      <c r="DC135" s="36"/>
      <c r="DD135" s="36"/>
      <c r="DE135" s="36"/>
      <c r="DF135" s="36"/>
      <c r="DG135" s="36"/>
      <c r="DH135" s="36"/>
      <c r="DI135" s="36"/>
      <c r="DJ135" s="36"/>
      <c r="DK135" s="36"/>
      <c r="DL135" s="36"/>
      <c r="DM135" s="36"/>
      <c r="DN135" s="36"/>
      <c r="DO135" s="36"/>
      <c r="DP135" s="36"/>
      <c r="DQ135" s="36"/>
      <c r="DR135" s="36"/>
    </row>
    <row r="136" spans="1:122">
      <c r="A136" s="158"/>
      <c r="B136" s="158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6"/>
      <c r="BY136" s="36"/>
      <c r="BZ136" s="36"/>
      <c r="CA136" s="36"/>
      <c r="CB136" s="36"/>
      <c r="CC136" s="36"/>
      <c r="CD136" s="36"/>
      <c r="CE136" s="36"/>
      <c r="CF136" s="36"/>
      <c r="CG136" s="36"/>
      <c r="CH136" s="36"/>
      <c r="CI136" s="36"/>
      <c r="CJ136" s="36"/>
      <c r="CK136" s="36"/>
      <c r="CL136" s="36"/>
      <c r="CM136" s="36"/>
      <c r="CN136" s="36"/>
      <c r="CO136" s="36"/>
      <c r="CP136" s="36"/>
      <c r="CQ136" s="36"/>
      <c r="CR136" s="36"/>
      <c r="CS136" s="36"/>
      <c r="CT136" s="36"/>
      <c r="CU136" s="36"/>
      <c r="CV136" s="36"/>
      <c r="CW136" s="36"/>
      <c r="CX136" s="36"/>
      <c r="CY136" s="36"/>
      <c r="CZ136" s="36"/>
      <c r="DA136" s="36"/>
      <c r="DB136" s="36"/>
      <c r="DC136" s="36"/>
      <c r="DD136" s="36"/>
      <c r="DE136" s="36"/>
      <c r="DF136" s="36"/>
      <c r="DG136" s="36"/>
      <c r="DH136" s="36"/>
      <c r="DI136" s="36"/>
      <c r="DJ136" s="36"/>
      <c r="DK136" s="36"/>
      <c r="DL136" s="36"/>
      <c r="DM136" s="36"/>
      <c r="DN136" s="36"/>
      <c r="DO136" s="36"/>
      <c r="DP136" s="36"/>
      <c r="DQ136" s="36"/>
      <c r="DR136" s="36"/>
    </row>
    <row r="137" spans="1:122">
      <c r="A137" s="158"/>
      <c r="B137" s="158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6"/>
      <c r="BH137" s="36"/>
      <c r="BI137" s="36"/>
      <c r="BJ137" s="36"/>
      <c r="BK137" s="36"/>
      <c r="BL137" s="36"/>
      <c r="BM137" s="36"/>
      <c r="BN137" s="36"/>
      <c r="BO137" s="36"/>
      <c r="BP137" s="36"/>
      <c r="BQ137" s="36"/>
      <c r="BR137" s="36"/>
      <c r="BS137" s="36"/>
      <c r="BT137" s="36"/>
      <c r="BU137" s="36"/>
      <c r="BV137" s="36"/>
      <c r="BW137" s="36"/>
      <c r="BX137" s="36"/>
      <c r="BY137" s="36"/>
      <c r="BZ137" s="36"/>
      <c r="CA137" s="36"/>
      <c r="CB137" s="36"/>
      <c r="CC137" s="36"/>
      <c r="CD137" s="36"/>
      <c r="CE137" s="36"/>
      <c r="CF137" s="36"/>
      <c r="CG137" s="36"/>
      <c r="CH137" s="36"/>
      <c r="CI137" s="36"/>
      <c r="CJ137" s="36"/>
      <c r="CK137" s="36"/>
      <c r="CL137" s="36"/>
      <c r="CM137" s="36"/>
      <c r="CN137" s="36"/>
      <c r="CO137" s="36"/>
      <c r="CP137" s="36"/>
      <c r="CQ137" s="36"/>
      <c r="CR137" s="36"/>
      <c r="CS137" s="36"/>
      <c r="CT137" s="36"/>
      <c r="CU137" s="36"/>
      <c r="CV137" s="36"/>
      <c r="CW137" s="36"/>
      <c r="CX137" s="36"/>
      <c r="CY137" s="36"/>
      <c r="CZ137" s="36"/>
      <c r="DA137" s="36"/>
      <c r="DB137" s="36"/>
      <c r="DC137" s="36"/>
      <c r="DD137" s="36"/>
      <c r="DE137" s="36"/>
      <c r="DF137" s="36"/>
      <c r="DG137" s="36"/>
      <c r="DH137" s="36"/>
      <c r="DI137" s="36"/>
      <c r="DJ137" s="36"/>
      <c r="DK137" s="36"/>
      <c r="DL137" s="36"/>
      <c r="DM137" s="36"/>
      <c r="DN137" s="36"/>
      <c r="DO137" s="36"/>
      <c r="DP137" s="36"/>
      <c r="DQ137" s="36"/>
      <c r="DR137" s="36"/>
    </row>
    <row r="138" spans="1:122">
      <c r="A138" s="158"/>
      <c r="B138" s="158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  <c r="BP138" s="36"/>
      <c r="BQ138" s="36"/>
      <c r="BR138" s="36"/>
      <c r="BS138" s="36"/>
      <c r="BT138" s="36"/>
      <c r="BU138" s="36"/>
      <c r="BV138" s="36"/>
      <c r="BW138" s="36"/>
      <c r="BX138" s="36"/>
      <c r="BY138" s="36"/>
      <c r="BZ138" s="36"/>
      <c r="CA138" s="36"/>
      <c r="CB138" s="36"/>
      <c r="CC138" s="36"/>
      <c r="CD138" s="36"/>
      <c r="CE138" s="36"/>
      <c r="CF138" s="36"/>
      <c r="CG138" s="36"/>
      <c r="CH138" s="36"/>
      <c r="CI138" s="36"/>
      <c r="CJ138" s="36"/>
      <c r="CK138" s="36"/>
      <c r="CL138" s="36"/>
      <c r="CM138" s="36"/>
      <c r="CN138" s="36"/>
      <c r="CO138" s="36"/>
      <c r="CP138" s="36"/>
      <c r="CQ138" s="36"/>
      <c r="CR138" s="36"/>
      <c r="CS138" s="36"/>
      <c r="CT138" s="36"/>
      <c r="CU138" s="36"/>
      <c r="CV138" s="36"/>
      <c r="CW138" s="36"/>
      <c r="CX138" s="36"/>
      <c r="CY138" s="36"/>
      <c r="CZ138" s="36"/>
      <c r="DA138" s="36"/>
      <c r="DB138" s="36"/>
      <c r="DC138" s="36"/>
      <c r="DD138" s="36"/>
      <c r="DE138" s="36"/>
      <c r="DF138" s="36"/>
      <c r="DG138" s="36"/>
      <c r="DH138" s="36"/>
      <c r="DI138" s="36"/>
      <c r="DJ138" s="36"/>
      <c r="DK138" s="36"/>
      <c r="DL138" s="36"/>
      <c r="DM138" s="36"/>
      <c r="DN138" s="36"/>
      <c r="DO138" s="36"/>
      <c r="DP138" s="36"/>
      <c r="DQ138" s="36"/>
      <c r="DR138" s="36"/>
    </row>
    <row r="139" spans="1:122">
      <c r="A139" s="158"/>
      <c r="B139" s="158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/>
      <c r="BP139" s="36"/>
      <c r="BQ139" s="36"/>
      <c r="BR139" s="36"/>
      <c r="BS139" s="36"/>
      <c r="BT139" s="36"/>
      <c r="BU139" s="36"/>
      <c r="BV139" s="36"/>
      <c r="BW139" s="36"/>
      <c r="BX139" s="36"/>
      <c r="BY139" s="36"/>
      <c r="BZ139" s="36"/>
      <c r="CA139" s="36"/>
      <c r="CB139" s="36"/>
      <c r="CC139" s="36"/>
      <c r="CD139" s="36"/>
      <c r="CE139" s="36"/>
      <c r="CF139" s="36"/>
      <c r="CG139" s="36"/>
      <c r="CH139" s="36"/>
      <c r="CI139" s="36"/>
      <c r="CJ139" s="36"/>
      <c r="CK139" s="36"/>
      <c r="CL139" s="36"/>
      <c r="CM139" s="36"/>
      <c r="CN139" s="36"/>
      <c r="CO139" s="36"/>
      <c r="CP139" s="36"/>
      <c r="CQ139" s="36"/>
      <c r="CR139" s="36"/>
      <c r="CS139" s="36"/>
      <c r="CT139" s="36"/>
      <c r="CU139" s="36"/>
      <c r="CV139" s="36"/>
      <c r="CW139" s="36"/>
      <c r="CX139" s="36"/>
      <c r="CY139" s="36"/>
      <c r="CZ139" s="36"/>
      <c r="DA139" s="36"/>
      <c r="DB139" s="36"/>
      <c r="DC139" s="36"/>
      <c r="DD139" s="36"/>
      <c r="DE139" s="36"/>
      <c r="DF139" s="36"/>
      <c r="DG139" s="36"/>
      <c r="DH139" s="36"/>
      <c r="DI139" s="36"/>
      <c r="DJ139" s="36"/>
      <c r="DK139" s="36"/>
      <c r="DL139" s="36"/>
      <c r="DM139" s="36"/>
      <c r="DN139" s="36"/>
      <c r="DO139" s="36"/>
      <c r="DP139" s="36"/>
      <c r="DQ139" s="36"/>
      <c r="DR139" s="36"/>
    </row>
    <row r="140" spans="1:122">
      <c r="A140" s="158"/>
      <c r="B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158"/>
      <c r="AB140" s="158"/>
      <c r="AC140" s="158"/>
      <c r="AD140" s="158"/>
      <c r="AE140" s="158"/>
      <c r="AF140" s="158"/>
      <c r="AG140" s="158"/>
      <c r="AH140" s="158"/>
      <c r="AI140" s="153"/>
      <c r="AJ140" s="158"/>
      <c r="AK140" s="158"/>
      <c r="AL140" s="158"/>
      <c r="AM140" s="158"/>
      <c r="AN140" s="158"/>
      <c r="AO140" s="158"/>
      <c r="AP140" s="158"/>
      <c r="AQ140" s="158"/>
      <c r="AR140" s="158"/>
      <c r="AS140" s="158"/>
      <c r="AT140" s="158"/>
      <c r="AU140" s="158"/>
      <c r="AV140" s="158"/>
      <c r="AW140" s="158"/>
      <c r="AX140" s="158"/>
      <c r="AY140" s="158"/>
      <c r="AZ140" s="158"/>
      <c r="BA140" s="158"/>
      <c r="BB140" s="158"/>
      <c r="BC140" s="154"/>
      <c r="BD140" s="158"/>
      <c r="BR140" s="35"/>
      <c r="BS140" s="35"/>
      <c r="BT140" s="35"/>
      <c r="BU140" s="35"/>
      <c r="BV140" s="35"/>
      <c r="BW140" s="35"/>
      <c r="BX140" s="35"/>
      <c r="BY140" s="33"/>
      <c r="BZ140" s="35"/>
      <c r="CA140" s="37"/>
      <c r="CB140" s="36"/>
      <c r="CC140" s="155"/>
      <c r="CJ140" s="33"/>
      <c r="CK140" s="33"/>
      <c r="CM140" s="35"/>
      <c r="CR140" s="33"/>
      <c r="CU140" s="37"/>
      <c r="CV140" s="37"/>
      <c r="CW140" s="37"/>
      <c r="CX140" s="156"/>
      <c r="DD140" s="35"/>
      <c r="DE140" s="157"/>
      <c r="DF140" s="156"/>
      <c r="DG140" s="156"/>
      <c r="DJ140" s="46"/>
      <c r="DK140" s="46"/>
      <c r="DL140" s="46"/>
      <c r="DM140" s="46"/>
      <c r="DN140" s="35"/>
      <c r="DO140" s="35"/>
      <c r="DP140" s="35"/>
      <c r="DR140" s="144"/>
    </row>
    <row r="141" spans="1:122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8"/>
      <c r="AB141" s="158"/>
      <c r="AC141" s="158"/>
      <c r="AD141" s="158"/>
      <c r="AE141" s="158"/>
      <c r="AF141" s="158"/>
      <c r="AG141" s="158"/>
      <c r="AH141" s="158"/>
      <c r="AI141" s="153"/>
      <c r="AJ141" s="158"/>
      <c r="AK141" s="158"/>
      <c r="AL141" s="158"/>
      <c r="AM141" s="158"/>
      <c r="AN141" s="158"/>
      <c r="AO141" s="158"/>
      <c r="AP141" s="158"/>
      <c r="AQ141" s="158"/>
      <c r="AR141" s="158"/>
      <c r="AS141" s="158"/>
      <c r="AT141" s="158"/>
      <c r="AU141" s="158"/>
      <c r="AV141" s="158"/>
      <c r="AW141" s="158"/>
      <c r="AX141" s="158"/>
      <c r="AY141" s="158"/>
      <c r="AZ141" s="158"/>
      <c r="BA141" s="158"/>
      <c r="BB141" s="158"/>
      <c r="BC141" s="154"/>
      <c r="BD141" s="158"/>
      <c r="BR141" s="35"/>
      <c r="BS141" s="35"/>
      <c r="BT141" s="35"/>
      <c r="BU141" s="35"/>
      <c r="BV141" s="35"/>
      <c r="BW141" s="35"/>
      <c r="BX141" s="35"/>
      <c r="BY141" s="33"/>
      <c r="BZ141" s="35"/>
      <c r="CA141" s="37"/>
      <c r="CB141" s="35"/>
      <c r="CC141" s="155"/>
      <c r="CJ141" s="33"/>
      <c r="CK141" s="33"/>
      <c r="CM141" s="35"/>
      <c r="CR141" s="33"/>
      <c r="CU141" s="37"/>
      <c r="CV141" s="37"/>
      <c r="CW141" s="37"/>
      <c r="CX141" s="156"/>
      <c r="DD141" s="35"/>
      <c r="DE141" s="157"/>
      <c r="DF141" s="156"/>
      <c r="DG141" s="156"/>
      <c r="DJ141" s="46"/>
      <c r="DK141" s="46"/>
      <c r="DL141" s="46"/>
      <c r="DM141" s="46"/>
      <c r="DN141" s="35"/>
      <c r="DO141" s="35"/>
      <c r="DP141" s="35"/>
      <c r="DR141" s="144"/>
    </row>
    <row r="142" spans="1:122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  <c r="AA142" s="158"/>
      <c r="AB142" s="158"/>
      <c r="AC142" s="158"/>
      <c r="AD142" s="158"/>
      <c r="AE142" s="158"/>
      <c r="AF142" s="158"/>
      <c r="AG142" s="158"/>
      <c r="AH142" s="158"/>
      <c r="AI142" s="153"/>
      <c r="AJ142" s="158"/>
      <c r="AK142" s="158"/>
      <c r="AL142" s="158"/>
      <c r="AM142" s="158"/>
      <c r="AN142" s="158"/>
      <c r="AO142" s="158"/>
      <c r="AP142" s="158"/>
      <c r="AQ142" s="158"/>
      <c r="AR142" s="158"/>
      <c r="AS142" s="158"/>
      <c r="AT142" s="158"/>
      <c r="AU142" s="158"/>
      <c r="AV142" s="158"/>
      <c r="AW142" s="158"/>
      <c r="AX142" s="158"/>
      <c r="AY142" s="158"/>
      <c r="AZ142" s="158"/>
      <c r="BA142" s="158"/>
      <c r="BB142" s="158"/>
      <c r="BC142" s="154"/>
      <c r="BD142" s="158"/>
      <c r="BR142" s="35"/>
      <c r="BS142" s="35"/>
      <c r="BT142" s="35"/>
      <c r="BU142" s="35"/>
      <c r="BV142" s="35"/>
      <c r="BW142" s="35"/>
      <c r="BX142" s="35"/>
      <c r="BY142" s="33"/>
      <c r="BZ142" s="35"/>
      <c r="CA142" s="37"/>
      <c r="CB142" s="35"/>
      <c r="CC142" s="155"/>
      <c r="CJ142" s="33"/>
      <c r="CK142" s="33"/>
      <c r="CM142" s="35"/>
      <c r="CR142" s="33"/>
      <c r="CU142" s="37"/>
      <c r="CV142" s="37"/>
      <c r="CW142" s="37"/>
      <c r="CX142" s="156"/>
      <c r="DD142" s="35"/>
      <c r="DE142" s="157"/>
      <c r="DF142" s="156"/>
      <c r="DG142" s="156"/>
      <c r="DJ142" s="46"/>
      <c r="DK142" s="46"/>
      <c r="DL142" s="46"/>
      <c r="DM142" s="46"/>
      <c r="DN142" s="35"/>
      <c r="DO142" s="35"/>
      <c r="DP142" s="35"/>
      <c r="DR142" s="144"/>
    </row>
    <row r="143" spans="1:122">
      <c r="CB143" s="35"/>
    </row>
  </sheetData>
  <phoneticPr fontId="5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155"/>
  <sheetViews>
    <sheetView workbookViewId="0">
      <selection activeCell="E3" sqref="E3:E154"/>
    </sheetView>
  </sheetViews>
  <sheetFormatPr defaultRowHeight="12.5"/>
  <cols>
    <col min="2" max="2" width="18.26953125" style="8" customWidth="1"/>
    <col min="3" max="3" width="20.81640625" style="5" customWidth="1"/>
    <col min="4" max="4" width="11" customWidth="1"/>
    <col min="5" max="5" width="11.453125" customWidth="1"/>
    <col min="8" max="8" width="15.7265625" customWidth="1"/>
    <col min="9" max="9" width="12.453125" customWidth="1"/>
  </cols>
  <sheetData>
    <row r="1" spans="2:9" ht="58.5" thickBot="1">
      <c r="B1" s="8">
        <v>1</v>
      </c>
      <c r="H1" s="21" t="s">
        <v>176</v>
      </c>
      <c r="I1" s="4" t="s">
        <v>182</v>
      </c>
    </row>
    <row r="2" spans="2:9">
      <c r="C2" s="5" t="s">
        <v>179</v>
      </c>
      <c r="D2" s="4" t="s">
        <v>180</v>
      </c>
      <c r="F2" s="4" t="s">
        <v>181</v>
      </c>
      <c r="G2" s="4" t="s">
        <v>180</v>
      </c>
    </row>
    <row r="3" spans="2:9" ht="14.5">
      <c r="B3" s="1" t="s">
        <v>33</v>
      </c>
      <c r="C3" s="23">
        <v>305.89999999999998</v>
      </c>
      <c r="D3" s="10">
        <v>51082</v>
      </c>
      <c r="E3" s="29">
        <f>D3/C3</f>
        <v>166.9892121608369</v>
      </c>
      <c r="F3" s="12">
        <v>456</v>
      </c>
      <c r="G3" s="30">
        <f>D3/F3</f>
        <v>112.0219298245614</v>
      </c>
      <c r="H3" s="29">
        <v>565.11</v>
      </c>
      <c r="I3" s="29">
        <f>((H3)/(D3/1000))</f>
        <v>11.062800986648918</v>
      </c>
    </row>
    <row r="4" spans="2:9" ht="14.5">
      <c r="B4" s="2" t="s">
        <v>34</v>
      </c>
      <c r="C4" s="23">
        <v>4231.5</v>
      </c>
      <c r="D4" s="10">
        <v>25327</v>
      </c>
      <c r="E4" s="29">
        <f t="shared" ref="E4:E67" si="0">D4/C4</f>
        <v>5.9853479853479854</v>
      </c>
      <c r="F4" s="12">
        <v>231</v>
      </c>
      <c r="G4" s="30">
        <f t="shared" ref="G4:G67" si="1">D4/F4</f>
        <v>109.64069264069263</v>
      </c>
      <c r="H4" s="29">
        <v>1064.9399999999998</v>
      </c>
      <c r="I4" s="29">
        <f t="shared" ref="I4:I67" si="2">((H4)/(D4/1000))</f>
        <v>42.047617167449751</v>
      </c>
    </row>
    <row r="5" spans="2:9" ht="14.5">
      <c r="B5" s="8" t="s">
        <v>35</v>
      </c>
      <c r="C5" s="23">
        <v>8.3000000000000007</v>
      </c>
      <c r="D5" s="10">
        <v>44498</v>
      </c>
      <c r="E5" s="29">
        <f t="shared" si="0"/>
        <v>5361.2048192771081</v>
      </c>
      <c r="F5" s="12">
        <v>178</v>
      </c>
      <c r="G5" s="30">
        <f t="shared" si="1"/>
        <v>249.98876404494382</v>
      </c>
      <c r="H5" s="29">
        <v>97.62</v>
      </c>
      <c r="I5" s="29">
        <f t="shared" si="2"/>
        <v>2.1938064632118301</v>
      </c>
    </row>
    <row r="6" spans="2:9" ht="14.5">
      <c r="B6" s="22" t="s">
        <v>145</v>
      </c>
      <c r="C6" s="23">
        <v>32.5</v>
      </c>
      <c r="D6" s="10">
        <v>85446</v>
      </c>
      <c r="E6" s="29">
        <f t="shared" si="0"/>
        <v>2629.1076923076921</v>
      </c>
      <c r="F6" s="12">
        <v>279</v>
      </c>
      <c r="G6" s="30">
        <f t="shared" si="1"/>
        <v>306.25806451612902</v>
      </c>
      <c r="H6" s="29">
        <v>225</v>
      </c>
      <c r="I6" s="29">
        <f t="shared" si="2"/>
        <v>2.6332420476090164</v>
      </c>
    </row>
    <row r="7" spans="2:9" ht="14.5">
      <c r="B7" s="2" t="s">
        <v>36</v>
      </c>
      <c r="C7" s="23">
        <v>485.4</v>
      </c>
      <c r="D7" s="10">
        <v>41644</v>
      </c>
      <c r="E7" s="29">
        <f t="shared" si="0"/>
        <v>85.793160280181297</v>
      </c>
      <c r="F7" s="12">
        <v>274</v>
      </c>
      <c r="G7" s="30">
        <f t="shared" si="1"/>
        <v>151.98540145985402</v>
      </c>
      <c r="H7" s="29">
        <v>656.71999999999991</v>
      </c>
      <c r="I7" s="29">
        <f t="shared" si="2"/>
        <v>15.769858803188933</v>
      </c>
    </row>
    <row r="8" spans="2:9" ht="14.5">
      <c r="B8" s="1" t="s">
        <v>37</v>
      </c>
      <c r="C8" s="23">
        <v>21699.5</v>
      </c>
      <c r="D8" s="10">
        <v>2400</v>
      </c>
      <c r="E8" s="29">
        <f t="shared" si="0"/>
        <v>0.11060162676559368</v>
      </c>
      <c r="F8" s="12">
        <v>63</v>
      </c>
      <c r="G8" s="30">
        <f t="shared" si="1"/>
        <v>38.095238095238095</v>
      </c>
      <c r="H8" s="29">
        <v>1586.61</v>
      </c>
      <c r="I8" s="29">
        <f t="shared" si="2"/>
        <v>661.08749999999998</v>
      </c>
    </row>
    <row r="9" spans="2:9" ht="14.5">
      <c r="B9" s="1" t="s">
        <v>146</v>
      </c>
      <c r="C9" s="23">
        <v>76.8</v>
      </c>
      <c r="D9" s="10">
        <v>200357</v>
      </c>
      <c r="E9" s="29">
        <f t="shared" si="0"/>
        <v>2608.815104166667</v>
      </c>
      <c r="F9" s="12">
        <v>721</v>
      </c>
      <c r="G9" s="30">
        <f t="shared" si="1"/>
        <v>277.8876560332871</v>
      </c>
      <c r="H9" s="29">
        <v>596.85</v>
      </c>
      <c r="I9" s="29">
        <f t="shared" si="2"/>
        <v>2.9789326052995406</v>
      </c>
    </row>
    <row r="10" spans="2:9" ht="14.5">
      <c r="B10" s="3" t="s">
        <v>50</v>
      </c>
      <c r="C10" s="23">
        <v>3818</v>
      </c>
      <c r="D10" s="17">
        <v>41682</v>
      </c>
      <c r="E10" s="29">
        <f t="shared" si="0"/>
        <v>10.917234154007334</v>
      </c>
      <c r="F10" s="16">
        <v>381</v>
      </c>
      <c r="G10" s="30">
        <f t="shared" si="1"/>
        <v>109.4015748031496</v>
      </c>
      <c r="H10" s="29">
        <v>1334.8799999999999</v>
      </c>
      <c r="I10" s="29">
        <f t="shared" si="2"/>
        <v>32.025334676838916</v>
      </c>
    </row>
    <row r="11" spans="2:9" ht="14.5">
      <c r="B11" s="2" t="s">
        <v>51</v>
      </c>
      <c r="C11" s="23">
        <v>6279.9</v>
      </c>
      <c r="D11" s="10">
        <v>33468</v>
      </c>
      <c r="E11" s="29">
        <f t="shared" si="0"/>
        <v>5.3293842258634694</v>
      </c>
      <c r="F11" s="12">
        <v>360</v>
      </c>
      <c r="G11" s="30">
        <f t="shared" si="1"/>
        <v>92.966666666666669</v>
      </c>
      <c r="H11" s="29">
        <v>1434.6750000000002</v>
      </c>
      <c r="I11" s="29">
        <f t="shared" si="2"/>
        <v>42.867067049121552</v>
      </c>
    </row>
    <row r="12" spans="2:9" ht="14.5">
      <c r="B12" s="2" t="s">
        <v>52</v>
      </c>
      <c r="C12" s="23">
        <v>1602.1</v>
      </c>
      <c r="D12" s="10">
        <v>13032</v>
      </c>
      <c r="E12" s="29">
        <f t="shared" si="0"/>
        <v>8.1343237001435629</v>
      </c>
      <c r="F12" s="12">
        <v>135</v>
      </c>
      <c r="G12" s="30">
        <f t="shared" si="1"/>
        <v>96.533333333333331</v>
      </c>
      <c r="H12" s="29">
        <v>563.96</v>
      </c>
      <c r="I12" s="29">
        <f t="shared" si="2"/>
        <v>43.275015346838551</v>
      </c>
    </row>
    <row r="13" spans="2:9" ht="14.5">
      <c r="B13" s="1" t="s">
        <v>53</v>
      </c>
      <c r="C13" s="23">
        <v>2065.9</v>
      </c>
      <c r="D13" s="10">
        <v>8413</v>
      </c>
      <c r="E13" s="29">
        <f t="shared" si="0"/>
        <v>4.0723171499104502</v>
      </c>
      <c r="F13" s="12">
        <v>84</v>
      </c>
      <c r="G13" s="30">
        <f t="shared" si="1"/>
        <v>100.1547619047619</v>
      </c>
      <c r="H13" s="29">
        <v>1376.04</v>
      </c>
      <c r="I13" s="29">
        <f t="shared" si="2"/>
        <v>163.56115535480802</v>
      </c>
    </row>
    <row r="14" spans="2:9" ht="14.5">
      <c r="B14" s="1" t="s">
        <v>147</v>
      </c>
      <c r="C14" s="23">
        <v>340.3</v>
      </c>
      <c r="D14" s="10">
        <v>332424</v>
      </c>
      <c r="E14" s="29">
        <f t="shared" si="0"/>
        <v>976.85571554510727</v>
      </c>
      <c r="F14" s="12">
        <v>1427</v>
      </c>
      <c r="G14" s="30">
        <f t="shared" si="1"/>
        <v>232.95304835318851</v>
      </c>
      <c r="H14" s="29">
        <v>1350.62</v>
      </c>
      <c r="I14" s="29">
        <f t="shared" si="2"/>
        <v>4.0629437104420862</v>
      </c>
    </row>
    <row r="15" spans="2:9" ht="14.5">
      <c r="B15" s="1" t="s">
        <v>54</v>
      </c>
      <c r="C15" s="23">
        <v>8560.4</v>
      </c>
      <c r="D15" s="10">
        <v>5994</v>
      </c>
      <c r="E15" s="29">
        <f t="shared" si="0"/>
        <v>0.70020092519041166</v>
      </c>
      <c r="F15" s="12">
        <v>115</v>
      </c>
      <c r="G15" s="30">
        <f t="shared" si="1"/>
        <v>52.121739130434783</v>
      </c>
      <c r="H15" s="29">
        <v>3093.4700000000003</v>
      </c>
      <c r="I15" s="29">
        <f t="shared" si="2"/>
        <v>516.09442776109449</v>
      </c>
    </row>
    <row r="16" spans="2:9" ht="14.5">
      <c r="B16" s="3" t="s">
        <v>55</v>
      </c>
      <c r="C16" s="23">
        <v>1525.5</v>
      </c>
      <c r="D16" s="10">
        <v>7409</v>
      </c>
      <c r="E16" s="29">
        <f t="shared" si="0"/>
        <v>4.8567682726974759</v>
      </c>
      <c r="F16" s="12">
        <v>72</v>
      </c>
      <c r="G16" s="30">
        <f t="shared" si="1"/>
        <v>102.90277777777777</v>
      </c>
      <c r="H16" s="29">
        <v>730.30000000000007</v>
      </c>
      <c r="I16" s="29">
        <f t="shared" si="2"/>
        <v>98.56930759886626</v>
      </c>
    </row>
    <row r="17" spans="2:9" ht="14.5">
      <c r="B17" s="1" t="s">
        <v>138</v>
      </c>
      <c r="C17" s="6">
        <v>1432</v>
      </c>
      <c r="D17" s="10">
        <v>79688</v>
      </c>
      <c r="E17" s="29">
        <f t="shared" si="0"/>
        <v>55.648044692737429</v>
      </c>
      <c r="F17" s="12">
        <v>512</v>
      </c>
      <c r="G17" s="30">
        <f t="shared" si="1"/>
        <v>155.640625</v>
      </c>
      <c r="H17" s="29">
        <v>742.28</v>
      </c>
      <c r="I17" s="29">
        <f t="shared" si="2"/>
        <v>9.3148278285312713</v>
      </c>
    </row>
    <row r="18" spans="2:9" ht="14.5">
      <c r="B18" s="3" t="s">
        <v>112</v>
      </c>
      <c r="C18" s="23">
        <v>14612.3</v>
      </c>
      <c r="D18" s="10">
        <v>3076</v>
      </c>
      <c r="E18" s="29">
        <f t="shared" si="0"/>
        <v>0.21050758607474526</v>
      </c>
      <c r="F18" s="12">
        <v>66</v>
      </c>
      <c r="G18" s="30">
        <f t="shared" si="1"/>
        <v>46.606060606060609</v>
      </c>
      <c r="H18" s="29">
        <v>1605.2</v>
      </c>
      <c r="I18" s="29">
        <f t="shared" si="2"/>
        <v>521.84655396618984</v>
      </c>
    </row>
    <row r="19" spans="2:9" ht="14.5">
      <c r="B19" s="1" t="s">
        <v>113</v>
      </c>
      <c r="C19" s="23">
        <v>3945.2</v>
      </c>
      <c r="D19" s="10">
        <v>2422</v>
      </c>
      <c r="E19" s="29">
        <f t="shared" si="0"/>
        <v>0.61391057487579848</v>
      </c>
      <c r="F19" s="12">
        <v>42</v>
      </c>
      <c r="G19" s="30">
        <f t="shared" si="1"/>
        <v>57.666666666666664</v>
      </c>
      <c r="H19" s="29">
        <v>752.77</v>
      </c>
      <c r="I19" s="29">
        <f t="shared" si="2"/>
        <v>310.80511973575557</v>
      </c>
    </row>
    <row r="20" spans="2:9" ht="14.5">
      <c r="B20" s="1" t="s">
        <v>114</v>
      </c>
      <c r="C20" s="23">
        <v>2578.6</v>
      </c>
      <c r="D20" s="10">
        <v>2602</v>
      </c>
      <c r="E20" s="29">
        <f t="shared" si="0"/>
        <v>1.0090746916931668</v>
      </c>
      <c r="F20" s="12">
        <v>56</v>
      </c>
      <c r="G20" s="30">
        <f t="shared" si="1"/>
        <v>46.464285714285715</v>
      </c>
      <c r="H20" s="29">
        <v>721.1</v>
      </c>
      <c r="I20" s="29">
        <f t="shared" si="2"/>
        <v>277.13297463489624</v>
      </c>
    </row>
    <row r="21" spans="2:9" ht="14.5">
      <c r="B21" s="8" t="s">
        <v>115</v>
      </c>
      <c r="C21" s="23">
        <v>21.7</v>
      </c>
      <c r="D21" s="10">
        <v>44742</v>
      </c>
      <c r="E21" s="29">
        <f t="shared" si="0"/>
        <v>2061.8433179723502</v>
      </c>
      <c r="F21" s="12">
        <v>324</v>
      </c>
      <c r="G21" s="30">
        <f t="shared" si="1"/>
        <v>138.09259259259258</v>
      </c>
      <c r="H21" s="29">
        <v>96.86</v>
      </c>
      <c r="I21" s="29">
        <f t="shared" si="2"/>
        <v>2.1648562871574808</v>
      </c>
    </row>
    <row r="22" spans="2:9" ht="14.5">
      <c r="B22" s="1" t="s">
        <v>116</v>
      </c>
      <c r="C22" s="23">
        <v>41652</v>
      </c>
      <c r="D22" s="10">
        <v>2973</v>
      </c>
      <c r="E22" s="29">
        <f t="shared" si="0"/>
        <v>7.1377124747911261E-2</v>
      </c>
      <c r="F22" s="12">
        <v>81</v>
      </c>
      <c r="G22" s="30">
        <f t="shared" si="1"/>
        <v>36.703703703703702</v>
      </c>
      <c r="H22" s="29">
        <v>2453.8599999999997</v>
      </c>
      <c r="I22" s="29">
        <f t="shared" si="2"/>
        <v>825.381769256643</v>
      </c>
    </row>
    <row r="23" spans="2:9" ht="14.5">
      <c r="B23" s="3" t="s">
        <v>117</v>
      </c>
      <c r="C23" s="20">
        <v>19188.2</v>
      </c>
      <c r="D23" s="10">
        <v>1931</v>
      </c>
      <c r="E23" s="29">
        <f t="shared" si="0"/>
        <v>0.10063476511606091</v>
      </c>
      <c r="F23" s="12">
        <v>43</v>
      </c>
      <c r="G23" s="30">
        <f t="shared" si="1"/>
        <v>44.906976744186046</v>
      </c>
      <c r="H23" s="29">
        <v>1551.6999999999998</v>
      </c>
      <c r="I23" s="29">
        <f t="shared" si="2"/>
        <v>803.57327809425158</v>
      </c>
    </row>
    <row r="24" spans="2:9" ht="14.5">
      <c r="B24" s="8" t="s">
        <v>60</v>
      </c>
      <c r="C24" s="23">
        <v>178.3</v>
      </c>
      <c r="D24" s="10">
        <v>19048</v>
      </c>
      <c r="E24" s="29">
        <f t="shared" si="0"/>
        <v>106.83118339876611</v>
      </c>
      <c r="F24" s="12">
        <v>161</v>
      </c>
      <c r="G24" s="30">
        <f t="shared" si="1"/>
        <v>118.31055900621118</v>
      </c>
      <c r="H24" s="29">
        <v>250.96</v>
      </c>
      <c r="I24" s="29">
        <f t="shared" si="2"/>
        <v>13.175136497270056</v>
      </c>
    </row>
    <row r="25" spans="2:9" ht="14.5">
      <c r="B25" s="8" t="s">
        <v>61</v>
      </c>
      <c r="C25" s="23">
        <v>36053</v>
      </c>
      <c r="D25" s="10">
        <v>36053</v>
      </c>
      <c r="E25" s="29">
        <f t="shared" si="0"/>
        <v>1</v>
      </c>
      <c r="F25" s="12">
        <v>170</v>
      </c>
      <c r="G25" s="30">
        <f t="shared" si="1"/>
        <v>212.07647058823528</v>
      </c>
      <c r="H25" s="29">
        <v>85.460000000000008</v>
      </c>
      <c r="I25" s="29">
        <f t="shared" si="2"/>
        <v>2.3703991346073838</v>
      </c>
    </row>
    <row r="26" spans="2:9" ht="14.5">
      <c r="B26" s="2" t="s">
        <v>62</v>
      </c>
      <c r="C26" s="23">
        <v>566.6</v>
      </c>
      <c r="D26" s="10">
        <v>32119</v>
      </c>
      <c r="E26" s="29">
        <f t="shared" si="0"/>
        <v>56.687257324391105</v>
      </c>
      <c r="F26" s="12">
        <v>248</v>
      </c>
      <c r="G26" s="30">
        <f t="shared" si="1"/>
        <v>129.51209677419354</v>
      </c>
      <c r="H26" s="29">
        <v>637.71199999999999</v>
      </c>
      <c r="I26" s="29">
        <f t="shared" si="2"/>
        <v>19.854665462810175</v>
      </c>
    </row>
    <row r="27" spans="2:9" ht="14.5">
      <c r="B27" s="3" t="s">
        <v>63</v>
      </c>
      <c r="C27" s="23">
        <v>6026.8</v>
      </c>
      <c r="D27" s="10">
        <v>13776</v>
      </c>
      <c r="E27" s="29">
        <f t="shared" si="0"/>
        <v>2.285790137386341</v>
      </c>
      <c r="F27" s="12">
        <v>166</v>
      </c>
      <c r="G27" s="30">
        <f t="shared" si="1"/>
        <v>82.98795180722891</v>
      </c>
      <c r="H27" s="29">
        <v>1930.7139999999999</v>
      </c>
      <c r="I27" s="29">
        <f t="shared" si="2"/>
        <v>140.15055168408827</v>
      </c>
    </row>
    <row r="28" spans="2:9" ht="14.5">
      <c r="B28" s="3" t="s">
        <v>64</v>
      </c>
      <c r="C28" s="23">
        <v>201.3</v>
      </c>
      <c r="D28" s="10">
        <v>67084</v>
      </c>
      <c r="E28" s="29">
        <f t="shared" si="0"/>
        <v>333.25384997516142</v>
      </c>
      <c r="F28" s="12">
        <v>342</v>
      </c>
      <c r="G28" s="30">
        <f t="shared" si="1"/>
        <v>196.15204678362574</v>
      </c>
      <c r="H28" s="29">
        <v>558.87799999999993</v>
      </c>
      <c r="I28" s="29">
        <f t="shared" si="2"/>
        <v>8.3310178283942502</v>
      </c>
    </row>
    <row r="29" spans="2:9" ht="14.5">
      <c r="B29" s="8" t="s">
        <v>65</v>
      </c>
      <c r="C29" s="23">
        <v>312</v>
      </c>
      <c r="D29" s="10">
        <v>156572</v>
      </c>
      <c r="E29" s="29">
        <f t="shared" si="0"/>
        <v>501.83333333333331</v>
      </c>
      <c r="F29" s="12">
        <v>601</v>
      </c>
      <c r="G29" s="30">
        <f t="shared" si="1"/>
        <v>260.51913477537437</v>
      </c>
      <c r="H29" s="29">
        <v>713.63000000000011</v>
      </c>
      <c r="I29" s="29">
        <f t="shared" si="2"/>
        <v>4.557839204966406</v>
      </c>
    </row>
    <row r="30" spans="2:9" ht="14.5">
      <c r="B30" s="8" t="s">
        <v>66</v>
      </c>
      <c r="C30" s="23">
        <v>19.899999999999999</v>
      </c>
      <c r="D30" s="10">
        <v>87480</v>
      </c>
      <c r="E30" s="29">
        <f t="shared" si="0"/>
        <v>4395.9798994974881</v>
      </c>
      <c r="F30" s="12">
        <v>316</v>
      </c>
      <c r="G30" s="30">
        <f t="shared" si="1"/>
        <v>276.8354430379747</v>
      </c>
      <c r="H30" s="29">
        <v>207</v>
      </c>
      <c r="I30" s="29">
        <f t="shared" si="2"/>
        <v>2.3662551440329218</v>
      </c>
    </row>
    <row r="31" spans="2:9" ht="14.5">
      <c r="B31" s="8" t="s">
        <v>148</v>
      </c>
      <c r="C31" s="23">
        <v>33.6</v>
      </c>
      <c r="D31" s="10">
        <v>150626</v>
      </c>
      <c r="E31" s="29">
        <f t="shared" si="0"/>
        <v>4482.9166666666661</v>
      </c>
      <c r="F31" s="12">
        <v>514</v>
      </c>
      <c r="G31" s="30">
        <f t="shared" si="1"/>
        <v>293.04669260700388</v>
      </c>
      <c r="H31" s="29">
        <v>342.68299999999999</v>
      </c>
      <c r="I31" s="29">
        <f t="shared" si="2"/>
        <v>2.2750587547966483</v>
      </c>
    </row>
    <row r="32" spans="2:9" ht="14.5">
      <c r="B32" s="1" t="s">
        <v>118</v>
      </c>
      <c r="C32" s="23">
        <v>18939.5</v>
      </c>
      <c r="D32" s="10">
        <v>2795</v>
      </c>
      <c r="E32" s="29">
        <f t="shared" si="0"/>
        <v>0.14757517357902797</v>
      </c>
      <c r="F32" s="12">
        <v>92</v>
      </c>
      <c r="G32" s="30">
        <f t="shared" si="1"/>
        <v>30.380434782608695</v>
      </c>
      <c r="H32" s="29">
        <v>2619.6600000000003</v>
      </c>
      <c r="I32" s="29">
        <f t="shared" si="2"/>
        <v>937.2665474060824</v>
      </c>
    </row>
    <row r="33" spans="2:9" ht="14.5">
      <c r="B33" s="1" t="s">
        <v>119</v>
      </c>
      <c r="C33" s="23">
        <v>53533.8</v>
      </c>
      <c r="D33" s="10">
        <v>2065</v>
      </c>
      <c r="E33" s="29">
        <f t="shared" si="0"/>
        <v>3.8573760876306179E-2</v>
      </c>
      <c r="F33" s="12">
        <v>50</v>
      </c>
      <c r="G33" s="30">
        <f t="shared" si="1"/>
        <v>41.3</v>
      </c>
      <c r="H33" s="29">
        <v>2395.8200000000002</v>
      </c>
      <c r="I33" s="29">
        <f t="shared" si="2"/>
        <v>1160.2033898305085</v>
      </c>
    </row>
    <row r="34" spans="2:9" ht="14.5">
      <c r="B34" s="2" t="s">
        <v>120</v>
      </c>
      <c r="C34" s="23">
        <v>1966.4</v>
      </c>
      <c r="D34" s="10">
        <v>54979</v>
      </c>
      <c r="E34" s="29">
        <f t="shared" si="0"/>
        <v>27.959214808787632</v>
      </c>
      <c r="F34" s="12">
        <v>280</v>
      </c>
      <c r="G34" s="30">
        <f t="shared" si="1"/>
        <v>196.35357142857143</v>
      </c>
      <c r="H34" s="29">
        <v>1013.0899999999999</v>
      </c>
      <c r="I34" s="29">
        <f t="shared" si="2"/>
        <v>18.426853889666962</v>
      </c>
    </row>
    <row r="35" spans="2:9" ht="14.5">
      <c r="B35" s="2" t="s">
        <v>121</v>
      </c>
      <c r="C35" s="23">
        <v>10441.200000000001</v>
      </c>
      <c r="D35" s="10">
        <v>51003</v>
      </c>
      <c r="E35" s="29">
        <f t="shared" si="0"/>
        <v>4.8847833582346851</v>
      </c>
      <c r="F35" s="12">
        <v>542</v>
      </c>
      <c r="G35" s="30">
        <f t="shared" si="1"/>
        <v>94.101476014760152</v>
      </c>
      <c r="H35" s="29">
        <v>2456.2800000000007</v>
      </c>
      <c r="I35" s="29">
        <f t="shared" si="2"/>
        <v>48.159520028233644</v>
      </c>
    </row>
    <row r="36" spans="2:9" ht="14.5">
      <c r="B36" s="8" t="s">
        <v>122</v>
      </c>
      <c r="C36" s="6">
        <v>45604.800000000003</v>
      </c>
      <c r="D36" s="10">
        <v>5111</v>
      </c>
      <c r="E36" s="29">
        <f t="shared" si="0"/>
        <v>0.11207153632950917</v>
      </c>
      <c r="F36" s="12">
        <v>131</v>
      </c>
      <c r="G36" s="30">
        <f t="shared" si="1"/>
        <v>39.015267175572518</v>
      </c>
      <c r="H36" s="29">
        <v>2319.98</v>
      </c>
      <c r="I36" s="29">
        <f t="shared" si="2"/>
        <v>453.91899823909216</v>
      </c>
    </row>
    <row r="37" spans="2:9" ht="14.5">
      <c r="B37" s="2" t="s">
        <v>123</v>
      </c>
      <c r="C37" s="23">
        <v>1175.0999999999999</v>
      </c>
      <c r="D37" s="9">
        <v>72382</v>
      </c>
      <c r="E37" s="29">
        <f t="shared" si="0"/>
        <v>61.596459875755258</v>
      </c>
      <c r="F37" s="18">
        <v>438</v>
      </c>
      <c r="G37" s="30">
        <f t="shared" si="1"/>
        <v>165.25570776255708</v>
      </c>
      <c r="H37" s="29">
        <v>872.72700000000009</v>
      </c>
      <c r="I37" s="29">
        <f t="shared" si="2"/>
        <v>12.057237987344921</v>
      </c>
    </row>
    <row r="38" spans="2:9" ht="14.5">
      <c r="B38" s="1" t="s">
        <v>124</v>
      </c>
      <c r="C38" s="23">
        <v>8738.2000000000007</v>
      </c>
      <c r="D38" s="10">
        <v>1535</v>
      </c>
      <c r="E38" s="29">
        <f t="shared" si="0"/>
        <v>0.17566546886086379</v>
      </c>
      <c r="F38" s="12">
        <v>34</v>
      </c>
      <c r="G38" s="30">
        <f t="shared" si="1"/>
        <v>45.147058823529413</v>
      </c>
      <c r="H38" s="29">
        <v>1426.1899999999998</v>
      </c>
      <c r="I38" s="29">
        <f t="shared" si="2"/>
        <v>929.11400651465794</v>
      </c>
    </row>
    <row r="39" spans="2:9" ht="14.5">
      <c r="B39" s="1" t="s">
        <v>125</v>
      </c>
      <c r="C39" s="23">
        <v>2431.3000000000002</v>
      </c>
      <c r="D39" s="10">
        <v>4308</v>
      </c>
      <c r="E39" s="29">
        <f t="shared" si="0"/>
        <v>1.7718915806358737</v>
      </c>
      <c r="F39" s="12">
        <v>68</v>
      </c>
      <c r="G39" s="30">
        <f t="shared" si="1"/>
        <v>63.352941176470587</v>
      </c>
      <c r="H39" s="29">
        <v>1142.68</v>
      </c>
      <c r="I39" s="29">
        <f t="shared" si="2"/>
        <v>265.24605385329625</v>
      </c>
    </row>
    <row r="40" spans="2:9" ht="14.5">
      <c r="B40" s="1" t="s">
        <v>126</v>
      </c>
      <c r="C40" s="23">
        <v>5183.8</v>
      </c>
      <c r="D40" s="10">
        <v>10216</v>
      </c>
      <c r="E40" s="29">
        <f t="shared" si="0"/>
        <v>1.9707550445619044</v>
      </c>
      <c r="F40" s="12">
        <v>160</v>
      </c>
      <c r="G40" s="30">
        <f t="shared" si="1"/>
        <v>63.85</v>
      </c>
      <c r="H40" s="29">
        <v>1000.7400000000001</v>
      </c>
      <c r="I40" s="29">
        <f t="shared" si="2"/>
        <v>97.958104933437767</v>
      </c>
    </row>
    <row r="41" spans="2:9" ht="14.5">
      <c r="B41" s="3" t="s">
        <v>127</v>
      </c>
      <c r="C41" s="23">
        <v>9925.2999999999993</v>
      </c>
      <c r="D41" s="10">
        <v>4292</v>
      </c>
      <c r="E41" s="29">
        <f t="shared" si="0"/>
        <v>0.43243025399736029</v>
      </c>
      <c r="F41" s="12">
        <v>98</v>
      </c>
      <c r="G41" s="30">
        <f t="shared" si="1"/>
        <v>43.795918367346935</v>
      </c>
      <c r="H41" s="29">
        <v>1657.0400000000002</v>
      </c>
      <c r="I41" s="29">
        <f t="shared" si="2"/>
        <v>386.07642124883512</v>
      </c>
    </row>
    <row r="42" spans="2:9" ht="14.5">
      <c r="B42" s="1" t="s">
        <v>128</v>
      </c>
      <c r="C42" s="23">
        <v>1524</v>
      </c>
      <c r="D42" s="10">
        <v>7749</v>
      </c>
      <c r="E42" s="29">
        <f t="shared" si="0"/>
        <v>5.0846456692913389</v>
      </c>
      <c r="F42" s="12">
        <v>85.3</v>
      </c>
      <c r="G42" s="30">
        <f t="shared" si="1"/>
        <v>90.844079718640103</v>
      </c>
      <c r="H42" s="29">
        <v>617.58000000000004</v>
      </c>
      <c r="I42" s="29">
        <f t="shared" si="2"/>
        <v>79.698025551684097</v>
      </c>
    </row>
    <row r="43" spans="2:9" ht="14.5">
      <c r="B43" s="1" t="s">
        <v>129</v>
      </c>
      <c r="C43" s="23">
        <v>2329</v>
      </c>
      <c r="D43" s="10">
        <v>11455</v>
      </c>
      <c r="E43" s="29">
        <f t="shared" si="0"/>
        <v>4.9184199227136114</v>
      </c>
      <c r="F43" s="12">
        <v>108</v>
      </c>
      <c r="G43" s="30">
        <f t="shared" si="1"/>
        <v>106.06481481481481</v>
      </c>
      <c r="H43" s="29">
        <v>1322.9500000000003</v>
      </c>
      <c r="I43" s="29">
        <f t="shared" si="2"/>
        <v>115.49105194238327</v>
      </c>
    </row>
    <row r="44" spans="2:9" ht="14.5">
      <c r="B44" s="3" t="s">
        <v>130</v>
      </c>
      <c r="C44" s="23">
        <v>2809.6</v>
      </c>
      <c r="D44" s="10">
        <v>12574</v>
      </c>
      <c r="E44" s="29">
        <f t="shared" si="0"/>
        <v>4.4753701594533029</v>
      </c>
      <c r="F44" s="12">
        <v>167</v>
      </c>
      <c r="G44" s="30">
        <f t="shared" si="1"/>
        <v>75.293413173652695</v>
      </c>
      <c r="H44" s="29">
        <v>1271.58</v>
      </c>
      <c r="I44" s="29">
        <f t="shared" si="2"/>
        <v>101.127723874662</v>
      </c>
    </row>
    <row r="45" spans="2:9" ht="14.5">
      <c r="B45" s="1" t="s">
        <v>81</v>
      </c>
      <c r="C45" s="23">
        <v>143.19999999999999</v>
      </c>
      <c r="D45" s="10">
        <v>7437</v>
      </c>
      <c r="E45" s="29">
        <f t="shared" si="0"/>
        <v>51.934357541899445</v>
      </c>
      <c r="F45" s="12">
        <v>71.88</v>
      </c>
      <c r="G45" s="30">
        <f t="shared" si="1"/>
        <v>103.46410684474124</v>
      </c>
      <c r="H45" s="29">
        <v>172.57000000000002</v>
      </c>
      <c r="I45" s="29">
        <f t="shared" si="2"/>
        <v>23.204249025144549</v>
      </c>
    </row>
    <row r="46" spans="2:9" ht="14.5">
      <c r="B46" s="3" t="s">
        <v>82</v>
      </c>
      <c r="C46" s="6">
        <v>3425</v>
      </c>
      <c r="D46" s="10">
        <v>41573</v>
      </c>
      <c r="E46" s="29">
        <f t="shared" si="0"/>
        <v>12.138102189781021</v>
      </c>
      <c r="F46" s="12">
        <v>321</v>
      </c>
      <c r="G46" s="30">
        <f t="shared" si="1"/>
        <v>129.51090342679129</v>
      </c>
      <c r="H46" s="29">
        <v>1316.1699999999998</v>
      </c>
      <c r="I46" s="29">
        <f t="shared" si="2"/>
        <v>31.659249993986478</v>
      </c>
    </row>
    <row r="47" spans="2:9" ht="14.5">
      <c r="B47" s="2" t="s">
        <v>83</v>
      </c>
      <c r="C47" s="6">
        <v>2251.5</v>
      </c>
      <c r="D47" s="10">
        <v>9108</v>
      </c>
      <c r="E47" s="29">
        <f t="shared" si="0"/>
        <v>4.0453031312458361</v>
      </c>
      <c r="F47" s="12">
        <v>65</v>
      </c>
      <c r="G47" s="30">
        <f t="shared" si="1"/>
        <v>140.12307692307692</v>
      </c>
      <c r="H47" s="29">
        <v>724.22</v>
      </c>
      <c r="I47" s="29">
        <f t="shared" si="2"/>
        <v>79.514712340799292</v>
      </c>
    </row>
    <row r="48" spans="2:9" ht="14.5">
      <c r="B48" s="1" t="s">
        <v>84</v>
      </c>
      <c r="C48" s="7">
        <v>3427.7</v>
      </c>
      <c r="D48" s="10">
        <v>37643</v>
      </c>
      <c r="E48" s="29">
        <f t="shared" si="0"/>
        <v>10.981999591562856</v>
      </c>
      <c r="F48" s="12">
        <v>461</v>
      </c>
      <c r="G48" s="30">
        <f t="shared" si="1"/>
        <v>81.655097613882859</v>
      </c>
      <c r="H48" s="29">
        <v>1006.202</v>
      </c>
      <c r="I48" s="29">
        <f t="shared" si="2"/>
        <v>26.7301224663284</v>
      </c>
    </row>
    <row r="49" spans="2:9" ht="14.5">
      <c r="B49" s="1" t="s">
        <v>149</v>
      </c>
      <c r="C49" s="23">
        <v>101.6</v>
      </c>
      <c r="D49" s="10">
        <v>203109</v>
      </c>
      <c r="E49" s="29">
        <f t="shared" si="0"/>
        <v>1999.1043307086616</v>
      </c>
      <c r="F49" s="12">
        <v>725</v>
      </c>
      <c r="G49" s="30">
        <f t="shared" si="1"/>
        <v>280.1503448275862</v>
      </c>
      <c r="H49" s="29">
        <v>681.38999999999987</v>
      </c>
      <c r="I49" s="29">
        <f t="shared" si="2"/>
        <v>3.3547996396023803</v>
      </c>
    </row>
    <row r="50" spans="2:9" ht="14.5">
      <c r="B50" s="3" t="s">
        <v>85</v>
      </c>
      <c r="C50" s="23">
        <v>4720</v>
      </c>
      <c r="D50" s="10">
        <v>9759</v>
      </c>
      <c r="E50" s="29">
        <f t="shared" si="0"/>
        <v>2.0675847457627117</v>
      </c>
      <c r="F50" s="12">
        <v>115</v>
      </c>
      <c r="G50" s="30">
        <f t="shared" si="1"/>
        <v>84.860869565217385</v>
      </c>
      <c r="H50" s="29">
        <v>1869.17</v>
      </c>
      <c r="I50" s="29">
        <f t="shared" si="2"/>
        <v>191.53294394917512</v>
      </c>
    </row>
    <row r="51" spans="2:9" ht="14.5">
      <c r="B51" s="3" t="s">
        <v>86</v>
      </c>
      <c r="C51" s="23">
        <v>4835.8</v>
      </c>
      <c r="D51" s="10">
        <v>4440</v>
      </c>
      <c r="E51" s="29">
        <f t="shared" si="0"/>
        <v>0.91815211547210385</v>
      </c>
      <c r="F51" s="12">
        <v>178</v>
      </c>
      <c r="G51" s="30">
        <f t="shared" si="1"/>
        <v>24.943820224719101</v>
      </c>
      <c r="H51" s="29">
        <v>1361.41</v>
      </c>
      <c r="I51" s="29">
        <f t="shared" si="2"/>
        <v>306.62387387387389</v>
      </c>
    </row>
    <row r="52" spans="2:9" ht="14.5">
      <c r="B52" s="2" t="s">
        <v>87</v>
      </c>
      <c r="C52" s="23">
        <v>5486.9</v>
      </c>
      <c r="D52" s="10">
        <v>8966</v>
      </c>
      <c r="E52" s="29">
        <f t="shared" si="0"/>
        <v>1.6340738850717165</v>
      </c>
      <c r="F52" s="12">
        <v>122</v>
      </c>
      <c r="G52" s="30">
        <f t="shared" si="1"/>
        <v>73.491803278688522</v>
      </c>
      <c r="H52" s="29">
        <v>1165.32</v>
      </c>
      <c r="I52" s="29">
        <f t="shared" si="2"/>
        <v>129.97100156145439</v>
      </c>
    </row>
    <row r="53" spans="2:9" ht="14.5">
      <c r="B53" s="2" t="s">
        <v>88</v>
      </c>
      <c r="C53" s="23">
        <v>2952.3</v>
      </c>
      <c r="D53" s="10">
        <v>5064</v>
      </c>
      <c r="E53" s="29">
        <f t="shared" si="0"/>
        <v>1.7152728381262066</v>
      </c>
      <c r="F53" s="12">
        <v>84</v>
      </c>
      <c r="G53" s="30">
        <f t="shared" si="1"/>
        <v>60.285714285714285</v>
      </c>
      <c r="H53" s="29">
        <v>757.26</v>
      </c>
      <c r="I53" s="29">
        <f t="shared" si="2"/>
        <v>149.53791469194312</v>
      </c>
    </row>
    <row r="54" spans="2:9" ht="14.5">
      <c r="B54" s="2" t="s">
        <v>89</v>
      </c>
      <c r="C54" s="6">
        <v>1028</v>
      </c>
      <c r="D54" s="10">
        <v>171992</v>
      </c>
      <c r="E54" s="29">
        <f t="shared" si="0"/>
        <v>167.30739299610894</v>
      </c>
      <c r="F54" s="12">
        <v>1075</v>
      </c>
      <c r="G54" s="30">
        <f t="shared" si="1"/>
        <v>159.99255813953488</v>
      </c>
      <c r="H54" s="29">
        <v>1142.4499999999998</v>
      </c>
      <c r="I54" s="29">
        <f t="shared" si="2"/>
        <v>6.6424601144239261</v>
      </c>
    </row>
    <row r="55" spans="2:9" ht="14.5">
      <c r="B55" s="1" t="s">
        <v>90</v>
      </c>
      <c r="C55" s="23">
        <v>3220.3</v>
      </c>
      <c r="D55" s="10">
        <v>29376</v>
      </c>
      <c r="E55" s="29">
        <f t="shared" si="0"/>
        <v>9.1221314784336851</v>
      </c>
      <c r="F55" s="12">
        <v>259</v>
      </c>
      <c r="G55" s="30">
        <f t="shared" si="1"/>
        <v>113.42084942084942</v>
      </c>
      <c r="H55" s="29">
        <v>1189.83</v>
      </c>
      <c r="I55" s="29">
        <f t="shared" si="2"/>
        <v>40.503472222222221</v>
      </c>
    </row>
    <row r="56" spans="2:9" ht="14.5">
      <c r="B56" s="2" t="s">
        <v>132</v>
      </c>
      <c r="C56" s="23">
        <v>3375.5</v>
      </c>
      <c r="D56" s="10">
        <v>36499</v>
      </c>
      <c r="E56" s="29">
        <f t="shared" si="0"/>
        <v>10.812916604947414</v>
      </c>
      <c r="F56" s="12">
        <v>292</v>
      </c>
      <c r="G56" s="30">
        <f t="shared" si="1"/>
        <v>124.99657534246575</v>
      </c>
      <c r="H56" s="29">
        <v>1120.9000000000001</v>
      </c>
      <c r="I56" s="29">
        <f t="shared" si="2"/>
        <v>30.710430422751308</v>
      </c>
    </row>
    <row r="57" spans="2:9" ht="14.5">
      <c r="B57" s="1" t="s">
        <v>133</v>
      </c>
      <c r="C57" s="23">
        <v>5748.7</v>
      </c>
      <c r="D57" s="10">
        <v>10258</v>
      </c>
      <c r="E57" s="29">
        <f t="shared" si="0"/>
        <v>1.7844034303407728</v>
      </c>
      <c r="F57" s="12">
        <v>114</v>
      </c>
      <c r="G57" s="30">
        <f t="shared" si="1"/>
        <v>89.982456140350877</v>
      </c>
      <c r="H57" s="29">
        <v>2071.71</v>
      </c>
      <c r="I57" s="29">
        <f t="shared" si="2"/>
        <v>201.96042113472413</v>
      </c>
    </row>
    <row r="58" spans="2:9" ht="14.5">
      <c r="B58" s="2" t="s">
        <v>134</v>
      </c>
      <c r="C58" s="6">
        <v>3732</v>
      </c>
      <c r="D58" s="10">
        <v>48941</v>
      </c>
      <c r="E58" s="29">
        <f t="shared" si="0"/>
        <v>13.113879957127546</v>
      </c>
      <c r="F58" s="12">
        <v>248</v>
      </c>
      <c r="G58" s="30">
        <f t="shared" si="1"/>
        <v>197.34274193548387</v>
      </c>
      <c r="H58" s="29">
        <v>1724.18</v>
      </c>
      <c r="I58" s="29">
        <f t="shared" si="2"/>
        <v>35.229766453484807</v>
      </c>
    </row>
    <row r="59" spans="2:9" ht="14.5">
      <c r="B59" s="1" t="s">
        <v>135</v>
      </c>
      <c r="C59" s="23">
        <v>1640.3</v>
      </c>
      <c r="D59" s="10">
        <v>25811</v>
      </c>
      <c r="E59" s="29">
        <f t="shared" si="0"/>
        <v>15.735536182405658</v>
      </c>
      <c r="F59" s="12">
        <v>280</v>
      </c>
      <c r="G59" s="30">
        <f t="shared" si="1"/>
        <v>92.182142857142864</v>
      </c>
      <c r="H59" s="29">
        <v>1287.4199999999998</v>
      </c>
      <c r="I59" s="29">
        <f t="shared" si="2"/>
        <v>49.87873387315485</v>
      </c>
    </row>
    <row r="60" spans="2:9" ht="14.5">
      <c r="B60" s="1" t="s">
        <v>136</v>
      </c>
      <c r="C60" s="23">
        <v>2457.3000000000002</v>
      </c>
      <c r="D60" s="10">
        <v>3755</v>
      </c>
      <c r="E60" s="29">
        <f t="shared" si="0"/>
        <v>1.5280999470964065</v>
      </c>
      <c r="F60" s="12">
        <v>54</v>
      </c>
      <c r="G60" s="30">
        <f t="shared" si="1"/>
        <v>69.537037037037038</v>
      </c>
      <c r="H60" s="29">
        <v>779.41999999999985</v>
      </c>
      <c r="I60" s="29">
        <f t="shared" si="2"/>
        <v>207.56857523302261</v>
      </c>
    </row>
    <row r="61" spans="2:9" ht="14.5">
      <c r="B61" s="2" t="s">
        <v>137</v>
      </c>
      <c r="C61" s="23">
        <v>4992</v>
      </c>
      <c r="D61" s="10">
        <v>12826</v>
      </c>
      <c r="E61" s="29">
        <f t="shared" si="0"/>
        <v>2.5693108974358974</v>
      </c>
      <c r="F61" s="12">
        <v>174.9</v>
      </c>
      <c r="G61" s="30">
        <f t="shared" si="1"/>
        <v>73.333333333333329</v>
      </c>
      <c r="H61" s="29">
        <v>1469.9599999999998</v>
      </c>
      <c r="I61" s="29">
        <f t="shared" si="2"/>
        <v>114.60782784968032</v>
      </c>
    </row>
    <row r="62" spans="2:9" ht="14.5">
      <c r="B62" s="2" t="s">
        <v>0</v>
      </c>
      <c r="C62" s="23">
        <v>4394.3999999999996</v>
      </c>
      <c r="D62" s="10">
        <v>4619</v>
      </c>
      <c r="E62" s="29">
        <f t="shared" si="0"/>
        <v>1.0511105042781723</v>
      </c>
      <c r="F62" s="12">
        <v>65</v>
      </c>
      <c r="G62" s="30">
        <f t="shared" si="1"/>
        <v>71.061538461538461</v>
      </c>
      <c r="H62" s="29">
        <v>971.66000000000008</v>
      </c>
      <c r="I62" s="29">
        <f t="shared" si="2"/>
        <v>210.36155011907343</v>
      </c>
    </row>
    <row r="63" spans="2:9" ht="14.5">
      <c r="B63" s="2" t="s">
        <v>1</v>
      </c>
      <c r="C63" s="23">
        <v>9273.6</v>
      </c>
      <c r="D63" s="10">
        <v>5080</v>
      </c>
      <c r="E63" s="29">
        <f t="shared" si="0"/>
        <v>0.54779158040027598</v>
      </c>
      <c r="F63" s="12">
        <v>0</v>
      </c>
      <c r="G63" s="30" t="e">
        <f t="shared" si="1"/>
        <v>#DIV/0!</v>
      </c>
      <c r="H63" s="29">
        <v>2071.462</v>
      </c>
      <c r="I63" s="29">
        <f t="shared" si="2"/>
        <v>407.76811023622048</v>
      </c>
    </row>
    <row r="64" spans="2:9" ht="14.5">
      <c r="B64" s="1" t="s">
        <v>2</v>
      </c>
      <c r="C64" s="23">
        <v>1868.5</v>
      </c>
      <c r="D64" s="10">
        <v>3751</v>
      </c>
      <c r="E64" s="29">
        <f t="shared" si="0"/>
        <v>2.0074926411560075</v>
      </c>
      <c r="F64" s="12">
        <v>0</v>
      </c>
      <c r="G64" s="30" t="e">
        <f t="shared" si="1"/>
        <v>#DIV/0!</v>
      </c>
      <c r="H64" s="29">
        <v>844.24</v>
      </c>
      <c r="I64" s="29">
        <f t="shared" si="2"/>
        <v>225.07064782724606</v>
      </c>
    </row>
    <row r="65" spans="2:9" ht="14.5">
      <c r="B65" s="1" t="s">
        <v>154</v>
      </c>
      <c r="C65" s="23">
        <v>2775.8</v>
      </c>
      <c r="D65" s="10">
        <v>65527</v>
      </c>
      <c r="E65" s="29">
        <f t="shared" si="0"/>
        <v>23.606527847827653</v>
      </c>
      <c r="F65" s="12">
        <v>288</v>
      </c>
      <c r="G65" s="30">
        <f t="shared" si="1"/>
        <v>227.52430555555554</v>
      </c>
      <c r="H65" s="29">
        <v>1038.75</v>
      </c>
      <c r="I65" s="29">
        <f t="shared" si="2"/>
        <v>15.852244113113677</v>
      </c>
    </row>
    <row r="66" spans="2:9" ht="14.5">
      <c r="B66" s="1" t="s">
        <v>3</v>
      </c>
      <c r="C66" s="23">
        <v>11328.5</v>
      </c>
      <c r="D66" s="10">
        <v>2989</v>
      </c>
      <c r="E66" s="29">
        <f t="shared" si="0"/>
        <v>0.26384781745156022</v>
      </c>
      <c r="F66" s="12">
        <v>54</v>
      </c>
      <c r="G66" s="30">
        <f t="shared" si="1"/>
        <v>55.351851851851855</v>
      </c>
      <c r="H66" s="29">
        <v>941.05</v>
      </c>
      <c r="I66" s="29">
        <f t="shared" si="2"/>
        <v>314.83773837403811</v>
      </c>
    </row>
    <row r="67" spans="2:9" ht="14.5">
      <c r="B67" s="1" t="s">
        <v>153</v>
      </c>
      <c r="C67" s="23">
        <v>400.6</v>
      </c>
      <c r="D67" s="10">
        <v>187703</v>
      </c>
      <c r="E67" s="29">
        <f t="shared" si="0"/>
        <v>468.55466799800297</v>
      </c>
      <c r="F67" s="12">
        <v>539.91999999999996</v>
      </c>
      <c r="G67" s="30">
        <f t="shared" si="1"/>
        <v>347.64965180026672</v>
      </c>
      <c r="H67" s="29">
        <v>1005.95</v>
      </c>
      <c r="I67" s="29">
        <f t="shared" si="2"/>
        <v>5.3592643697756568</v>
      </c>
    </row>
    <row r="68" spans="2:9" ht="14.5">
      <c r="B68" s="1" t="s">
        <v>150</v>
      </c>
      <c r="C68" s="23">
        <v>40.200000000000003</v>
      </c>
      <c r="D68" s="10">
        <v>111100</v>
      </c>
      <c r="E68" s="29">
        <f t="shared" ref="E68:E131" si="3">D68/C68</f>
        <v>2763.6815920398008</v>
      </c>
      <c r="F68" s="12">
        <v>485</v>
      </c>
      <c r="G68" s="30">
        <f t="shared" ref="G68:G131" si="4">D68/F68</f>
        <v>229.0721649484536</v>
      </c>
      <c r="H68" s="29">
        <v>345.17</v>
      </c>
      <c r="I68" s="29">
        <f t="shared" ref="I68:I131" si="5">((H68)/(D68/1000))</f>
        <v>3.1068406840684073</v>
      </c>
    </row>
    <row r="69" spans="2:9" ht="14.5">
      <c r="B69" s="8" t="s">
        <v>97</v>
      </c>
      <c r="C69" s="19">
        <v>510</v>
      </c>
      <c r="D69" s="10">
        <v>168614</v>
      </c>
      <c r="E69" s="29">
        <f t="shared" si="3"/>
        <v>330.61568627450981</v>
      </c>
      <c r="F69" s="12">
        <v>571</v>
      </c>
      <c r="G69" s="30">
        <f t="shared" si="4"/>
        <v>295.29597197898426</v>
      </c>
      <c r="H69" s="29">
        <v>663.53</v>
      </c>
      <c r="I69" s="29">
        <f t="shared" si="5"/>
        <v>3.9352011102280948</v>
      </c>
    </row>
    <row r="70" spans="2:9" ht="14.5">
      <c r="B70" s="8" t="s">
        <v>98</v>
      </c>
      <c r="C70" s="23">
        <v>5.7</v>
      </c>
      <c r="D70" s="10">
        <v>14689</v>
      </c>
      <c r="E70" s="29">
        <f t="shared" si="3"/>
        <v>2577.0175438596489</v>
      </c>
      <c r="F70" s="12">
        <v>59</v>
      </c>
      <c r="G70" s="30">
        <f t="shared" si="4"/>
        <v>248.96610169491527</v>
      </c>
      <c r="H70" s="29">
        <v>65</v>
      </c>
      <c r="I70" s="29">
        <f t="shared" si="5"/>
        <v>4.4250799918306214</v>
      </c>
    </row>
    <row r="71" spans="2:9" ht="14.5">
      <c r="B71" s="8" t="s">
        <v>139</v>
      </c>
      <c r="C71" s="23">
        <v>22.7</v>
      </c>
      <c r="D71" s="10">
        <v>85886</v>
      </c>
      <c r="E71" s="29">
        <f t="shared" si="3"/>
        <v>3783.5242290748902</v>
      </c>
      <c r="F71" s="12">
        <v>315.62</v>
      </c>
      <c r="G71" s="30">
        <f t="shared" si="4"/>
        <v>272.11837019200306</v>
      </c>
      <c r="H71" s="29">
        <v>230.38</v>
      </c>
      <c r="I71" s="29">
        <f t="shared" si="5"/>
        <v>2.6823929394779125</v>
      </c>
    </row>
    <row r="72" spans="2:9" ht="14.5">
      <c r="B72" s="2" t="s">
        <v>99</v>
      </c>
      <c r="C72" s="23">
        <v>8605.7999999999993</v>
      </c>
      <c r="D72" s="10">
        <v>16846</v>
      </c>
      <c r="E72" s="29">
        <f t="shared" si="3"/>
        <v>1.9575170234028214</v>
      </c>
      <c r="F72" s="12">
        <v>210</v>
      </c>
      <c r="G72" s="30">
        <f t="shared" si="4"/>
        <v>80.219047619047615</v>
      </c>
      <c r="H72" s="29">
        <v>2139.3940000000002</v>
      </c>
      <c r="I72" s="29">
        <f t="shared" si="5"/>
        <v>126.99715065891014</v>
      </c>
    </row>
    <row r="73" spans="2:9" ht="14.5">
      <c r="B73" s="1" t="s">
        <v>100</v>
      </c>
      <c r="C73" s="23">
        <v>3373.1</v>
      </c>
      <c r="D73" s="10">
        <v>1519</v>
      </c>
      <c r="E73" s="29">
        <f t="shared" si="3"/>
        <v>0.45032759182947441</v>
      </c>
      <c r="F73" s="12">
        <v>42</v>
      </c>
      <c r="G73" s="30">
        <f t="shared" si="4"/>
        <v>36.166666666666664</v>
      </c>
      <c r="H73" s="29">
        <v>1101.22</v>
      </c>
      <c r="I73" s="29">
        <f t="shared" si="5"/>
        <v>724.9637919684003</v>
      </c>
    </row>
    <row r="74" spans="2:9" ht="14.5">
      <c r="B74" s="1" t="s">
        <v>101</v>
      </c>
      <c r="C74" s="23">
        <v>2030.2</v>
      </c>
      <c r="D74" s="10">
        <v>6297</v>
      </c>
      <c r="E74" s="29">
        <f t="shared" si="3"/>
        <v>3.1016648606048665</v>
      </c>
      <c r="F74" s="12">
        <v>60</v>
      </c>
      <c r="G74" s="30">
        <f t="shared" si="4"/>
        <v>104.95</v>
      </c>
      <c r="H74" s="29">
        <v>881.51</v>
      </c>
      <c r="I74" s="29">
        <f t="shared" si="5"/>
        <v>139.98888359536286</v>
      </c>
    </row>
    <row r="75" spans="2:9" ht="14.5">
      <c r="B75" s="2" t="s">
        <v>102</v>
      </c>
      <c r="C75" s="24">
        <v>3378.8</v>
      </c>
      <c r="D75" s="10">
        <v>29643</v>
      </c>
      <c r="E75" s="29">
        <f t="shared" si="3"/>
        <v>8.7732331005090565</v>
      </c>
      <c r="F75" s="12">
        <v>298</v>
      </c>
      <c r="G75" s="30">
        <f t="shared" si="4"/>
        <v>99.473154362416111</v>
      </c>
      <c r="H75" s="29">
        <v>1188.4000000000001</v>
      </c>
      <c r="I75" s="29">
        <f t="shared" si="5"/>
        <v>40.090409202847219</v>
      </c>
    </row>
    <row r="76" spans="2:9" ht="14.5">
      <c r="B76" s="2" t="s">
        <v>103</v>
      </c>
      <c r="C76" s="23">
        <v>258</v>
      </c>
      <c r="D76" s="10">
        <v>21314</v>
      </c>
      <c r="E76" s="29">
        <f t="shared" si="3"/>
        <v>82.612403100775197</v>
      </c>
      <c r="F76" s="12">
        <v>338</v>
      </c>
      <c r="G76" s="30">
        <f t="shared" si="4"/>
        <v>63.059171597633139</v>
      </c>
      <c r="H76" s="29">
        <v>262.51000000000005</v>
      </c>
      <c r="I76" s="29">
        <f t="shared" si="5"/>
        <v>12.316317913108756</v>
      </c>
    </row>
    <row r="77" spans="2:9" ht="14.5">
      <c r="B77" s="8" t="s">
        <v>140</v>
      </c>
      <c r="C77" s="23">
        <v>15.6</v>
      </c>
      <c r="D77" s="10">
        <v>61030</v>
      </c>
      <c r="E77" s="29">
        <f t="shared" si="3"/>
        <v>3912.1794871794873</v>
      </c>
      <c r="F77" s="12">
        <v>243</v>
      </c>
      <c r="G77" s="30">
        <f t="shared" si="4"/>
        <v>251.15226337448559</v>
      </c>
      <c r="H77" s="29">
        <v>163.63000000000002</v>
      </c>
      <c r="I77" s="29">
        <f t="shared" si="5"/>
        <v>2.6811404227429136</v>
      </c>
    </row>
    <row r="78" spans="2:9" ht="14.5">
      <c r="B78" s="8" t="s">
        <v>104</v>
      </c>
      <c r="C78" s="23">
        <v>85.4</v>
      </c>
      <c r="D78" s="10">
        <v>120978</v>
      </c>
      <c r="E78" s="29">
        <f t="shared" si="3"/>
        <v>1416.6042154566744</v>
      </c>
      <c r="F78" s="12">
        <v>424</v>
      </c>
      <c r="G78" s="30">
        <f t="shared" si="4"/>
        <v>285.32547169811323</v>
      </c>
      <c r="H78" s="29">
        <v>482.23</v>
      </c>
      <c r="I78" s="29">
        <f t="shared" si="5"/>
        <v>3.9860966456711142</v>
      </c>
    </row>
    <row r="79" spans="2:9" ht="14.5">
      <c r="B79" s="2" t="s">
        <v>105</v>
      </c>
      <c r="C79" s="23">
        <v>3589.1</v>
      </c>
      <c r="D79" s="10">
        <v>9531</v>
      </c>
      <c r="E79" s="29">
        <f t="shared" si="3"/>
        <v>2.6555403861692346</v>
      </c>
      <c r="F79" s="12">
        <v>101</v>
      </c>
      <c r="G79" s="30">
        <f t="shared" si="4"/>
        <v>94.366336633663366</v>
      </c>
      <c r="H79" s="29">
        <v>1216.1299999999999</v>
      </c>
      <c r="I79" s="29">
        <f t="shared" si="5"/>
        <v>127.59731402790891</v>
      </c>
    </row>
    <row r="80" spans="2:9" ht="14.5">
      <c r="B80" s="3" t="s">
        <v>106</v>
      </c>
      <c r="C80" s="23">
        <v>14973.2</v>
      </c>
      <c r="D80" s="10">
        <v>6775</v>
      </c>
      <c r="E80" s="29">
        <f t="shared" si="3"/>
        <v>0.45247508882536797</v>
      </c>
      <c r="F80" s="12">
        <v>132</v>
      </c>
      <c r="G80" s="30">
        <f t="shared" si="4"/>
        <v>51.325757575757578</v>
      </c>
      <c r="H80" s="29">
        <v>3981.5300000000007</v>
      </c>
      <c r="I80" s="29">
        <f t="shared" si="5"/>
        <v>587.67970479704809</v>
      </c>
    </row>
    <row r="81" spans="2:9" ht="14.5">
      <c r="B81" s="2" t="s">
        <v>107</v>
      </c>
      <c r="C81" s="23">
        <v>757</v>
      </c>
      <c r="D81" s="10">
        <v>202676</v>
      </c>
      <c r="E81" s="29">
        <f t="shared" si="3"/>
        <v>267.73579920739763</v>
      </c>
      <c r="F81" s="12">
        <v>932</v>
      </c>
      <c r="G81" s="30">
        <f t="shared" si="4"/>
        <v>217.46351931330472</v>
      </c>
      <c r="H81" s="29">
        <v>1332.9199999999998</v>
      </c>
      <c r="I81" s="29">
        <f t="shared" si="5"/>
        <v>6.5766050247685959</v>
      </c>
    </row>
    <row r="82" spans="2:9" ht="14.5">
      <c r="B82" s="1" t="s">
        <v>108</v>
      </c>
      <c r="C82" s="23">
        <v>10.5</v>
      </c>
      <c r="D82" s="10">
        <v>34807</v>
      </c>
      <c r="E82" s="29">
        <f t="shared" si="3"/>
        <v>3314.9523809523807</v>
      </c>
      <c r="F82" s="12">
        <v>185</v>
      </c>
      <c r="G82" s="30">
        <f t="shared" si="4"/>
        <v>188.14594594594595</v>
      </c>
      <c r="H82" s="29">
        <v>101.46000000000001</v>
      </c>
      <c r="I82" s="29">
        <f t="shared" si="5"/>
        <v>2.9149309047030769</v>
      </c>
    </row>
    <row r="83" spans="2:9" ht="14.5">
      <c r="B83" s="1" t="s">
        <v>109</v>
      </c>
      <c r="C83" s="23">
        <v>1167</v>
      </c>
      <c r="D83" s="10">
        <v>11595</v>
      </c>
      <c r="E83" s="29">
        <f t="shared" si="3"/>
        <v>9.9357326478149108</v>
      </c>
      <c r="F83" s="12">
        <v>135</v>
      </c>
      <c r="G83" s="30">
        <f t="shared" si="4"/>
        <v>85.888888888888886</v>
      </c>
      <c r="H83" s="29">
        <v>900.95999999999992</v>
      </c>
      <c r="I83" s="29">
        <f t="shared" si="5"/>
        <v>77.702457956015508</v>
      </c>
    </row>
    <row r="84" spans="2:9" ht="14.5">
      <c r="B84" s="8" t="s">
        <v>141</v>
      </c>
      <c r="C84" s="6">
        <v>10.32</v>
      </c>
      <c r="D84" s="10">
        <v>58136</v>
      </c>
      <c r="E84" s="29">
        <f t="shared" si="3"/>
        <v>5633.333333333333</v>
      </c>
      <c r="F84" s="12">
        <v>451</v>
      </c>
      <c r="G84" s="30">
        <f t="shared" si="4"/>
        <v>128.90465631929047</v>
      </c>
      <c r="H84" s="29">
        <v>151.38</v>
      </c>
      <c r="I84" s="29">
        <f t="shared" si="5"/>
        <v>2.6038943167744595</v>
      </c>
    </row>
    <row r="85" spans="2:9" ht="14.5">
      <c r="B85" s="2" t="s">
        <v>4</v>
      </c>
      <c r="C85" s="6">
        <v>1289.5999999999999</v>
      </c>
      <c r="D85" s="10">
        <v>44629</v>
      </c>
      <c r="E85" s="29">
        <f t="shared" si="3"/>
        <v>34.60685483870968</v>
      </c>
      <c r="F85" s="12">
        <v>417.44</v>
      </c>
      <c r="G85" s="30">
        <f t="shared" si="4"/>
        <v>106.91117286316596</v>
      </c>
      <c r="H85" s="29">
        <v>1216.0999999999999</v>
      </c>
      <c r="I85" s="29">
        <f t="shared" si="5"/>
        <v>27.249098120056466</v>
      </c>
    </row>
    <row r="86" spans="2:9" ht="14.5">
      <c r="B86" s="3" t="s">
        <v>5</v>
      </c>
      <c r="C86" s="23">
        <v>4513.8</v>
      </c>
      <c r="D86" s="10">
        <v>21249</v>
      </c>
      <c r="E86" s="29">
        <f t="shared" si="3"/>
        <v>4.7075634720191415</v>
      </c>
      <c r="F86" s="12">
        <v>188</v>
      </c>
      <c r="G86" s="30">
        <f t="shared" si="4"/>
        <v>113.02659574468085</v>
      </c>
      <c r="H86" s="29">
        <v>904.32500000000005</v>
      </c>
      <c r="I86" s="29">
        <f t="shared" si="5"/>
        <v>42.558473339921882</v>
      </c>
    </row>
    <row r="87" spans="2:9" ht="14.5">
      <c r="B87" s="1" t="s">
        <v>151</v>
      </c>
      <c r="C87" s="23">
        <v>305.5</v>
      </c>
      <c r="D87" s="10">
        <v>199928</v>
      </c>
      <c r="E87" s="29">
        <f t="shared" si="3"/>
        <v>654.42880523731583</v>
      </c>
      <c r="F87" s="12">
        <v>704</v>
      </c>
      <c r="G87" s="30">
        <f t="shared" si="4"/>
        <v>283.98863636363637</v>
      </c>
      <c r="H87" s="29">
        <v>875.67</v>
      </c>
      <c r="I87" s="29">
        <f t="shared" si="5"/>
        <v>4.3799267736385099</v>
      </c>
    </row>
    <row r="88" spans="2:9" ht="14.5">
      <c r="B88" s="2" t="s">
        <v>6</v>
      </c>
      <c r="C88" s="23">
        <v>5086.3999999999996</v>
      </c>
      <c r="D88" s="9">
        <v>7819</v>
      </c>
      <c r="E88" s="29">
        <f t="shared" si="3"/>
        <v>1.5372365523749607</v>
      </c>
      <c r="F88" s="18">
        <v>113</v>
      </c>
      <c r="G88" s="30">
        <f t="shared" si="4"/>
        <v>69.194690265486727</v>
      </c>
      <c r="H88" s="29">
        <v>1394.25</v>
      </c>
      <c r="I88" s="29">
        <f t="shared" si="5"/>
        <v>178.31564138636654</v>
      </c>
    </row>
    <row r="89" spans="2:9" ht="14.5">
      <c r="B89" s="1" t="s">
        <v>7</v>
      </c>
      <c r="C89" s="23">
        <v>2895.8</v>
      </c>
      <c r="D89" s="10">
        <v>3080</v>
      </c>
      <c r="E89" s="29">
        <f t="shared" si="3"/>
        <v>1.0636093652876579</v>
      </c>
      <c r="F89" s="12">
        <v>48</v>
      </c>
      <c r="G89" s="30">
        <f t="shared" si="4"/>
        <v>64.166666666666671</v>
      </c>
      <c r="H89" s="29">
        <v>1630.44</v>
      </c>
      <c r="I89" s="29">
        <f t="shared" si="5"/>
        <v>529.36363636363637</v>
      </c>
    </row>
    <row r="90" spans="2:9" ht="14.5">
      <c r="B90" s="2" t="s">
        <v>8</v>
      </c>
      <c r="C90" s="23">
        <v>391.7</v>
      </c>
      <c r="D90" s="10">
        <v>75170</v>
      </c>
      <c r="E90" s="29">
        <f t="shared" si="3"/>
        <v>191.90707173857544</v>
      </c>
      <c r="F90" s="12">
        <v>369</v>
      </c>
      <c r="G90" s="30">
        <f t="shared" si="4"/>
        <v>203.71273712737127</v>
      </c>
      <c r="H90" s="29">
        <v>687.26</v>
      </c>
      <c r="I90" s="29">
        <f t="shared" si="5"/>
        <v>9.1427431156046293</v>
      </c>
    </row>
    <row r="91" spans="2:9" ht="14.5">
      <c r="B91" s="8" t="s">
        <v>9</v>
      </c>
      <c r="C91" s="23">
        <v>14.4</v>
      </c>
      <c r="D91" s="10">
        <v>44786</v>
      </c>
      <c r="E91" s="29">
        <f t="shared" si="3"/>
        <v>3110.1388888888887</v>
      </c>
      <c r="F91" s="12">
        <v>338</v>
      </c>
      <c r="G91" s="30">
        <f t="shared" si="4"/>
        <v>132.50295857988166</v>
      </c>
      <c r="H91" s="29">
        <v>109.3</v>
      </c>
      <c r="I91" s="29">
        <f t="shared" si="5"/>
        <v>2.4404947974813558</v>
      </c>
    </row>
    <row r="92" spans="2:9" ht="14.5">
      <c r="B92" s="3" t="s">
        <v>10</v>
      </c>
      <c r="C92" s="23">
        <v>16.5</v>
      </c>
      <c r="D92" s="10">
        <v>83356</v>
      </c>
      <c r="E92" s="29">
        <f t="shared" si="3"/>
        <v>5051.878787878788</v>
      </c>
      <c r="F92" s="12">
        <v>520.44000000000005</v>
      </c>
      <c r="G92" s="30">
        <f t="shared" si="4"/>
        <v>160.1644762124356</v>
      </c>
      <c r="H92" s="29">
        <v>216.1</v>
      </c>
      <c r="I92" s="29">
        <f t="shared" si="5"/>
        <v>2.5924948414031386</v>
      </c>
    </row>
    <row r="93" spans="2:9" ht="14.5">
      <c r="B93" s="8" t="s">
        <v>96</v>
      </c>
      <c r="C93" s="25">
        <v>8757.9</v>
      </c>
      <c r="D93" s="10">
        <v>24017</v>
      </c>
      <c r="E93" s="29">
        <f t="shared" si="3"/>
        <v>2.7423240731225524</v>
      </c>
      <c r="F93" s="12">
        <v>300</v>
      </c>
      <c r="G93" s="30">
        <f t="shared" si="4"/>
        <v>80.056666666666672</v>
      </c>
      <c r="H93" s="29">
        <v>2246.9429999999998</v>
      </c>
      <c r="I93" s="29">
        <f t="shared" si="5"/>
        <v>93.556355914560513</v>
      </c>
    </row>
    <row r="94" spans="2:9" ht="14.5">
      <c r="B94" s="2" t="s">
        <v>11</v>
      </c>
      <c r="C94" s="23">
        <v>17928.8</v>
      </c>
      <c r="D94" s="10">
        <v>14092</v>
      </c>
      <c r="E94" s="29">
        <f t="shared" si="3"/>
        <v>0.78599794743652673</v>
      </c>
      <c r="F94" s="12">
        <v>222</v>
      </c>
      <c r="G94" s="30">
        <f t="shared" si="4"/>
        <v>63.477477477477478</v>
      </c>
      <c r="H94" s="29">
        <v>2899.4</v>
      </c>
      <c r="I94" s="29">
        <f t="shared" si="5"/>
        <v>205.74794209480555</v>
      </c>
    </row>
    <row r="95" spans="2:9" ht="14.5">
      <c r="B95" s="8" t="s">
        <v>12</v>
      </c>
      <c r="C95" s="23">
        <v>8.6999999999999993</v>
      </c>
      <c r="D95" s="10">
        <v>30276</v>
      </c>
      <c r="E95" s="29">
        <f t="shared" si="3"/>
        <v>3480.0000000000005</v>
      </c>
      <c r="F95" s="12">
        <v>174</v>
      </c>
      <c r="G95" s="30">
        <f t="shared" si="4"/>
        <v>174</v>
      </c>
      <c r="H95" s="29">
        <v>96.6</v>
      </c>
      <c r="I95" s="29">
        <f t="shared" si="5"/>
        <v>3.1906460562822034</v>
      </c>
    </row>
    <row r="96" spans="2:9" ht="14.5">
      <c r="B96" s="1" t="s">
        <v>13</v>
      </c>
      <c r="C96" s="23">
        <v>4344</v>
      </c>
      <c r="D96" s="10">
        <v>7466</v>
      </c>
      <c r="E96" s="29">
        <f t="shared" si="3"/>
        <v>1.7186924493554327</v>
      </c>
      <c r="F96" s="12">
        <v>91</v>
      </c>
      <c r="G96" s="30">
        <f t="shared" si="4"/>
        <v>82.043956043956044</v>
      </c>
      <c r="H96" s="29">
        <v>1422.9530000000002</v>
      </c>
      <c r="I96" s="29">
        <f t="shared" si="5"/>
        <v>190.59107956067507</v>
      </c>
    </row>
    <row r="97" spans="2:9" ht="14.5">
      <c r="B97" s="1" t="s">
        <v>14</v>
      </c>
      <c r="C97" s="23">
        <v>3507.1</v>
      </c>
      <c r="D97" s="10">
        <v>2528</v>
      </c>
      <c r="E97" s="29">
        <f t="shared" si="3"/>
        <v>0.72082347238459132</v>
      </c>
      <c r="F97" s="12">
        <v>39</v>
      </c>
      <c r="G97" s="30">
        <f t="shared" si="4"/>
        <v>64.820512820512818</v>
      </c>
      <c r="H97" s="29">
        <v>613.08999999999992</v>
      </c>
      <c r="I97" s="29">
        <f t="shared" si="5"/>
        <v>242.51977848101262</v>
      </c>
    </row>
    <row r="98" spans="2:9" ht="14.5">
      <c r="B98" s="2" t="s">
        <v>15</v>
      </c>
      <c r="C98" s="23">
        <v>3407.1</v>
      </c>
      <c r="D98" s="10">
        <v>17045</v>
      </c>
      <c r="E98" s="29">
        <f t="shared" si="3"/>
        <v>5.0027882950309648</v>
      </c>
      <c r="F98" s="12">
        <v>158</v>
      </c>
      <c r="G98" s="30">
        <f t="shared" si="4"/>
        <v>107.87974683544304</v>
      </c>
      <c r="H98" s="29">
        <v>621.99000000000012</v>
      </c>
      <c r="I98" s="29">
        <f t="shared" si="5"/>
        <v>36.491053094749198</v>
      </c>
    </row>
    <row r="99" spans="2:9" ht="14.5">
      <c r="B99" s="2" t="s">
        <v>16</v>
      </c>
      <c r="C99" s="23">
        <v>1492.8</v>
      </c>
      <c r="D99" s="10">
        <v>19655</v>
      </c>
      <c r="E99" s="29">
        <f t="shared" si="3"/>
        <v>13.166532690246518</v>
      </c>
      <c r="F99" s="12">
        <v>107.94</v>
      </c>
      <c r="G99" s="30">
        <f t="shared" si="4"/>
        <v>182.09190290902353</v>
      </c>
      <c r="H99" s="29">
        <v>708.13</v>
      </c>
      <c r="I99" s="29">
        <f t="shared" si="5"/>
        <v>36.027982701602646</v>
      </c>
    </row>
    <row r="100" spans="2:9" ht="14.5">
      <c r="B100" s="2" t="s">
        <v>17</v>
      </c>
      <c r="C100" s="23">
        <v>13027.8</v>
      </c>
      <c r="D100" s="10">
        <v>13764</v>
      </c>
      <c r="E100" s="29">
        <f t="shared" si="3"/>
        <v>1.0565099249297656</v>
      </c>
      <c r="F100" s="12">
        <v>162</v>
      </c>
      <c r="G100" s="30">
        <f t="shared" si="4"/>
        <v>84.962962962962962</v>
      </c>
      <c r="H100" s="29">
        <v>2316.58</v>
      </c>
      <c r="I100" s="29">
        <f t="shared" si="5"/>
        <v>168.30717814588783</v>
      </c>
    </row>
    <row r="101" spans="2:9" ht="14.5">
      <c r="B101" s="1" t="s">
        <v>18</v>
      </c>
      <c r="C101" s="6">
        <v>4116.8999999999996</v>
      </c>
      <c r="D101" s="10">
        <v>5961</v>
      </c>
      <c r="E101" s="29">
        <f t="shared" si="3"/>
        <v>1.4479341251912847</v>
      </c>
      <c r="F101" s="12">
        <v>119</v>
      </c>
      <c r="G101" s="30">
        <f t="shared" si="4"/>
        <v>50.092436974789919</v>
      </c>
      <c r="H101" s="29">
        <v>1555.5909999999999</v>
      </c>
      <c r="I101" s="29">
        <f t="shared" si="5"/>
        <v>260.96141586982048</v>
      </c>
    </row>
    <row r="102" spans="2:9" ht="14.5">
      <c r="B102" s="3" t="s">
        <v>19</v>
      </c>
      <c r="C102" s="23">
        <v>5224</v>
      </c>
      <c r="D102" s="10">
        <v>6854</v>
      </c>
      <c r="E102" s="29">
        <f t="shared" si="3"/>
        <v>1.3120214395099541</v>
      </c>
      <c r="F102" s="12">
        <v>80</v>
      </c>
      <c r="G102" s="30">
        <f t="shared" si="4"/>
        <v>85.674999999999997</v>
      </c>
      <c r="H102" s="29">
        <v>1571.7900000000002</v>
      </c>
      <c r="I102" s="29">
        <f t="shared" si="5"/>
        <v>229.32448205427491</v>
      </c>
    </row>
    <row r="103" spans="2:9" ht="14.5">
      <c r="B103" s="2" t="s">
        <v>20</v>
      </c>
      <c r="C103" s="23">
        <v>214</v>
      </c>
      <c r="D103" s="10">
        <v>160021</v>
      </c>
      <c r="E103" s="29">
        <f t="shared" si="3"/>
        <v>747.76168224299067</v>
      </c>
      <c r="F103" s="12">
        <v>867</v>
      </c>
      <c r="G103" s="30">
        <f t="shared" si="4"/>
        <v>184.56862745098039</v>
      </c>
      <c r="H103" s="29">
        <v>874.96</v>
      </c>
      <c r="I103" s="29">
        <f t="shared" si="5"/>
        <v>5.4677823535660952</v>
      </c>
    </row>
    <row r="104" spans="2:9" ht="14.5">
      <c r="B104" s="1" t="s">
        <v>21</v>
      </c>
      <c r="C104" s="23">
        <v>10.5</v>
      </c>
      <c r="D104" s="10">
        <v>71025</v>
      </c>
      <c r="E104" s="29">
        <f t="shared" si="3"/>
        <v>6764.2857142857147</v>
      </c>
      <c r="F104" s="12">
        <v>391</v>
      </c>
      <c r="G104" s="30">
        <f t="shared" si="4"/>
        <v>181.64961636828644</v>
      </c>
      <c r="H104" s="29">
        <v>152.5</v>
      </c>
      <c r="I104" s="29">
        <f t="shared" si="5"/>
        <v>2.1471312917986625</v>
      </c>
    </row>
    <row r="105" spans="2:9" ht="14.5">
      <c r="B105" s="3" t="s">
        <v>22</v>
      </c>
      <c r="C105" s="6">
        <v>3628</v>
      </c>
      <c r="D105" s="10">
        <v>5327</v>
      </c>
      <c r="E105" s="29">
        <f t="shared" si="3"/>
        <v>1.4683020948180816</v>
      </c>
      <c r="F105" s="12">
        <v>72</v>
      </c>
      <c r="G105" s="30">
        <f t="shared" si="4"/>
        <v>73.986111111111114</v>
      </c>
      <c r="H105" s="29">
        <v>951.66</v>
      </c>
      <c r="I105" s="29">
        <f t="shared" si="5"/>
        <v>178.6483949690257</v>
      </c>
    </row>
    <row r="106" spans="2:9" ht="14.5">
      <c r="B106" s="3" t="s">
        <v>23</v>
      </c>
      <c r="C106" s="23">
        <v>284.10000000000002</v>
      </c>
      <c r="D106" s="10">
        <v>41431</v>
      </c>
      <c r="E106" s="29">
        <f t="shared" si="3"/>
        <v>145.83245336149241</v>
      </c>
      <c r="F106" s="12">
        <v>377</v>
      </c>
      <c r="G106" s="30">
        <f t="shared" si="4"/>
        <v>109.89655172413794</v>
      </c>
      <c r="H106" s="29">
        <v>484.01900000000001</v>
      </c>
      <c r="I106" s="29">
        <f t="shared" si="5"/>
        <v>11.682532403272912</v>
      </c>
    </row>
    <row r="107" spans="2:9" ht="14.5">
      <c r="B107" s="1" t="s">
        <v>24</v>
      </c>
      <c r="C107" s="23">
        <v>5146.7</v>
      </c>
      <c r="D107" s="10">
        <v>15510</v>
      </c>
      <c r="E107" s="29">
        <f t="shared" si="3"/>
        <v>3.0135815182544157</v>
      </c>
      <c r="F107" s="12">
        <v>120</v>
      </c>
      <c r="G107" s="30">
        <f t="shared" si="4"/>
        <v>129.25</v>
      </c>
      <c r="H107" s="29">
        <v>1301.43</v>
      </c>
      <c r="I107" s="29">
        <f t="shared" si="5"/>
        <v>83.909090909090921</v>
      </c>
    </row>
    <row r="108" spans="2:9" ht="14.5">
      <c r="B108" s="3" t="s">
        <v>25</v>
      </c>
      <c r="C108" s="23">
        <v>5958.1</v>
      </c>
      <c r="D108" s="10">
        <v>15217</v>
      </c>
      <c r="E108" s="29">
        <f t="shared" si="3"/>
        <v>2.5540021147681307</v>
      </c>
      <c r="F108" s="12">
        <v>165</v>
      </c>
      <c r="G108" s="30">
        <f t="shared" si="4"/>
        <v>92.224242424242419</v>
      </c>
      <c r="H108" s="29">
        <v>2127.38</v>
      </c>
      <c r="I108" s="29">
        <f t="shared" si="5"/>
        <v>139.80285207333904</v>
      </c>
    </row>
    <row r="109" spans="2:9" ht="14.5">
      <c r="B109" s="1" t="s">
        <v>155</v>
      </c>
      <c r="C109" s="23">
        <v>61.4</v>
      </c>
      <c r="D109" s="10">
        <v>189932</v>
      </c>
      <c r="E109" s="29">
        <f t="shared" si="3"/>
        <v>3093.3550488599349</v>
      </c>
      <c r="F109" s="12">
        <v>790.5</v>
      </c>
      <c r="G109" s="30">
        <f t="shared" si="4"/>
        <v>240.26818469323214</v>
      </c>
      <c r="H109" s="29">
        <v>558.56899999999996</v>
      </c>
      <c r="I109" s="29">
        <f t="shared" si="5"/>
        <v>2.940889370932755</v>
      </c>
    </row>
    <row r="110" spans="2:9" ht="14.5">
      <c r="B110" s="1" t="s">
        <v>152</v>
      </c>
      <c r="C110" s="26">
        <v>404.8</v>
      </c>
      <c r="D110" s="10">
        <v>194134</v>
      </c>
      <c r="E110" s="29">
        <f t="shared" si="3"/>
        <v>479.58003952569169</v>
      </c>
      <c r="F110" s="12">
        <v>1055.5</v>
      </c>
      <c r="G110" s="30">
        <f t="shared" si="4"/>
        <v>183.92610137375652</v>
      </c>
      <c r="H110" s="29">
        <v>1071.98</v>
      </c>
      <c r="I110" s="29">
        <f t="shared" si="5"/>
        <v>5.5218560375822889</v>
      </c>
    </row>
    <row r="111" spans="2:9" ht="14.5">
      <c r="B111" s="8" t="s">
        <v>26</v>
      </c>
      <c r="C111" s="23">
        <v>90.4</v>
      </c>
      <c r="D111" s="10">
        <v>63338</v>
      </c>
      <c r="E111" s="29">
        <f t="shared" si="3"/>
        <v>700.6415929203539</v>
      </c>
      <c r="F111" s="12">
        <v>302</v>
      </c>
      <c r="G111" s="30">
        <f t="shared" si="4"/>
        <v>209.72847682119206</v>
      </c>
      <c r="H111" s="29">
        <v>254.47</v>
      </c>
      <c r="I111" s="29">
        <f t="shared" si="5"/>
        <v>4.0176513309545614</v>
      </c>
    </row>
    <row r="112" spans="2:9" ht="25">
      <c r="B112" s="2" t="s">
        <v>56</v>
      </c>
      <c r="C112" s="6">
        <v>3686</v>
      </c>
      <c r="D112" s="10">
        <v>77481</v>
      </c>
      <c r="E112" s="29">
        <f t="shared" si="3"/>
        <v>21.020347259902334</v>
      </c>
      <c r="F112" s="12">
        <v>492</v>
      </c>
      <c r="G112" s="30">
        <f t="shared" si="4"/>
        <v>157.48170731707316</v>
      </c>
      <c r="H112" s="29">
        <v>1321.8689999999999</v>
      </c>
      <c r="I112" s="29">
        <f t="shared" si="5"/>
        <v>17.060556781662601</v>
      </c>
    </row>
    <row r="113" spans="2:9" ht="14.5">
      <c r="B113" s="2" t="s">
        <v>57</v>
      </c>
      <c r="C113" s="23">
        <v>859</v>
      </c>
      <c r="D113" s="10">
        <v>69728</v>
      </c>
      <c r="E113" s="29">
        <f t="shared" si="3"/>
        <v>81.173457508731076</v>
      </c>
      <c r="F113" s="12">
        <v>419</v>
      </c>
      <c r="G113" s="30">
        <f t="shared" si="4"/>
        <v>166.41527446300717</v>
      </c>
      <c r="H113" s="29">
        <v>718.56</v>
      </c>
      <c r="I113" s="29">
        <f t="shared" si="5"/>
        <v>10.305185865075723</v>
      </c>
    </row>
    <row r="114" spans="2:9" ht="14.5">
      <c r="B114" s="1" t="s">
        <v>58</v>
      </c>
      <c r="C114" s="23">
        <v>172.4</v>
      </c>
      <c r="D114" s="10">
        <v>40858</v>
      </c>
      <c r="E114" s="29">
        <f t="shared" si="3"/>
        <v>236.9953596287703</v>
      </c>
      <c r="F114" s="12">
        <v>278</v>
      </c>
      <c r="G114" s="30">
        <f t="shared" si="4"/>
        <v>146.97122302158274</v>
      </c>
      <c r="H114" s="29">
        <v>310.65000000000003</v>
      </c>
      <c r="I114" s="29">
        <f t="shared" si="5"/>
        <v>7.6031621714229782</v>
      </c>
    </row>
    <row r="115" spans="2:9" ht="14.5">
      <c r="B115" s="8" t="s">
        <v>142</v>
      </c>
      <c r="C115" s="23">
        <v>36.299999999999997</v>
      </c>
      <c r="D115" s="10">
        <v>143776</v>
      </c>
      <c r="E115" s="29">
        <f t="shared" si="3"/>
        <v>3960.7713498622593</v>
      </c>
      <c r="F115" s="12">
        <v>530</v>
      </c>
      <c r="G115" s="30">
        <f t="shared" si="4"/>
        <v>271.27547169811322</v>
      </c>
      <c r="H115" s="29">
        <v>302.89999999999998</v>
      </c>
      <c r="I115" s="29">
        <f t="shared" si="5"/>
        <v>2.1067493879367905</v>
      </c>
    </row>
    <row r="116" spans="2:9" ht="14.5">
      <c r="B116" s="2" t="s">
        <v>59</v>
      </c>
      <c r="C116" s="23">
        <v>3051.4</v>
      </c>
      <c r="D116" s="10">
        <v>22983</v>
      </c>
      <c r="E116" s="29">
        <f t="shared" si="3"/>
        <v>7.5319525463721568</v>
      </c>
      <c r="F116" s="12">
        <v>244</v>
      </c>
      <c r="G116" s="30">
        <f t="shared" si="4"/>
        <v>94.192622950819668</v>
      </c>
      <c r="H116" s="29">
        <v>1084.45</v>
      </c>
      <c r="I116" s="29">
        <f t="shared" si="5"/>
        <v>47.184875777748772</v>
      </c>
    </row>
    <row r="117" spans="2:9" ht="14.5">
      <c r="B117" s="8" t="s">
        <v>143</v>
      </c>
      <c r="C117" s="23">
        <v>28.2</v>
      </c>
      <c r="D117" s="10">
        <v>108072</v>
      </c>
      <c r="E117" s="29">
        <f t="shared" si="3"/>
        <v>3832.3404255319151</v>
      </c>
      <c r="F117" s="12">
        <v>361</v>
      </c>
      <c r="G117" s="30">
        <f t="shared" si="4"/>
        <v>299.36842105263156</v>
      </c>
      <c r="H117" s="29">
        <v>284.25</v>
      </c>
      <c r="I117" s="29">
        <f t="shared" si="5"/>
        <v>2.6301909837885855</v>
      </c>
    </row>
    <row r="118" spans="2:9" ht="14.5">
      <c r="B118" s="1" t="s">
        <v>27</v>
      </c>
      <c r="C118" s="23">
        <v>40.5</v>
      </c>
      <c r="D118" s="10">
        <v>114598</v>
      </c>
      <c r="E118" s="29">
        <f t="shared" si="3"/>
        <v>2829.5802469135801</v>
      </c>
      <c r="F118" s="12">
        <v>441</v>
      </c>
      <c r="G118" s="30">
        <f t="shared" si="4"/>
        <v>259.85941043083898</v>
      </c>
      <c r="H118" s="29">
        <v>318.49</v>
      </c>
      <c r="I118" s="29">
        <f t="shared" si="5"/>
        <v>2.7791933541597587</v>
      </c>
    </row>
    <row r="119" spans="2:9" ht="14.5">
      <c r="B119" s="2" t="s">
        <v>28</v>
      </c>
      <c r="C119" s="23">
        <v>147.4</v>
      </c>
      <c r="D119" s="10">
        <v>68762</v>
      </c>
      <c r="E119" s="29">
        <f t="shared" si="3"/>
        <v>466.49932157394841</v>
      </c>
      <c r="F119" s="12">
        <v>344</v>
      </c>
      <c r="G119" s="30">
        <f t="shared" si="4"/>
        <v>199.88953488372093</v>
      </c>
      <c r="H119" s="29">
        <v>388.23</v>
      </c>
      <c r="I119" s="29">
        <f t="shared" si="5"/>
        <v>5.6459963351851314</v>
      </c>
    </row>
    <row r="120" spans="2:9" ht="14.5">
      <c r="B120" s="2" t="s">
        <v>29</v>
      </c>
      <c r="C120" s="23">
        <v>4530.6000000000004</v>
      </c>
      <c r="D120" s="10">
        <v>99016</v>
      </c>
      <c r="E120" s="29">
        <f t="shared" si="3"/>
        <v>21.854941950293558</v>
      </c>
      <c r="F120" s="12">
        <v>756</v>
      </c>
      <c r="G120" s="30">
        <f t="shared" si="4"/>
        <v>130.97354497354496</v>
      </c>
      <c r="H120" s="29">
        <v>1731.8969999999997</v>
      </c>
      <c r="I120" s="29">
        <f t="shared" si="5"/>
        <v>17.491082249333438</v>
      </c>
    </row>
    <row r="121" spans="2:9" ht="14.5">
      <c r="B121" s="2" t="s">
        <v>30</v>
      </c>
      <c r="C121" s="23">
        <v>4895.6000000000004</v>
      </c>
      <c r="D121" s="10">
        <v>23884</v>
      </c>
      <c r="E121" s="29">
        <f t="shared" si="3"/>
        <v>4.8786665577253041</v>
      </c>
      <c r="F121" s="12">
        <v>201</v>
      </c>
      <c r="G121" s="30">
        <f t="shared" si="4"/>
        <v>118.82587064676616</v>
      </c>
      <c r="H121" s="29">
        <v>845.43</v>
      </c>
      <c r="I121" s="29">
        <f t="shared" si="5"/>
        <v>35.397337129459046</v>
      </c>
    </row>
    <row r="122" spans="2:9" ht="14.5">
      <c r="B122" s="1" t="s">
        <v>31</v>
      </c>
      <c r="C122" s="23">
        <v>6029</v>
      </c>
      <c r="D122" s="10">
        <v>8069</v>
      </c>
      <c r="E122" s="29">
        <f t="shared" si="3"/>
        <v>1.3383645712390115</v>
      </c>
      <c r="F122" s="12">
        <v>129.4</v>
      </c>
      <c r="G122" s="30">
        <f t="shared" si="4"/>
        <v>62.357032457496132</v>
      </c>
      <c r="H122" s="29">
        <v>895.64</v>
      </c>
      <c r="I122" s="29">
        <f t="shared" si="5"/>
        <v>110.99764530920807</v>
      </c>
    </row>
    <row r="123" spans="2:9" ht="14.5">
      <c r="B123" s="1" t="s">
        <v>67</v>
      </c>
      <c r="C123" s="6">
        <v>13.9</v>
      </c>
      <c r="D123" s="10">
        <v>39481</v>
      </c>
      <c r="E123" s="29">
        <f t="shared" si="3"/>
        <v>2840.3597122302158</v>
      </c>
      <c r="F123" s="12">
        <v>137</v>
      </c>
      <c r="G123" s="30">
        <f t="shared" si="4"/>
        <v>288.18248175182481</v>
      </c>
      <c r="H123" s="29">
        <v>97.02000000000001</v>
      </c>
      <c r="I123" s="29">
        <f t="shared" si="5"/>
        <v>2.4573845647273376</v>
      </c>
    </row>
    <row r="124" spans="2:9" ht="14.5">
      <c r="B124" s="8" t="s">
        <v>144</v>
      </c>
      <c r="C124" s="6">
        <v>370</v>
      </c>
      <c r="D124" s="10">
        <v>225070</v>
      </c>
      <c r="E124" s="29">
        <f t="shared" si="3"/>
        <v>608.29729729729729</v>
      </c>
      <c r="F124" s="12">
        <v>1018</v>
      </c>
      <c r="G124" s="30">
        <f t="shared" si="4"/>
        <v>221.09037328094303</v>
      </c>
      <c r="H124" s="29">
        <v>817.99999999999989</v>
      </c>
      <c r="I124" s="29">
        <f t="shared" si="5"/>
        <v>3.6344248456035895</v>
      </c>
    </row>
    <row r="125" spans="2:9" ht="14.5">
      <c r="B125" s="3" t="s">
        <v>68</v>
      </c>
      <c r="C125" s="6">
        <v>26.7</v>
      </c>
      <c r="D125" s="10">
        <v>198331</v>
      </c>
      <c r="E125" s="29">
        <f t="shared" si="3"/>
        <v>7428.1273408239704</v>
      </c>
      <c r="F125" s="12">
        <v>1803.5</v>
      </c>
      <c r="G125" s="30">
        <f t="shared" si="4"/>
        <v>109.97005822012753</v>
      </c>
      <c r="H125" s="29">
        <v>329.37</v>
      </c>
      <c r="I125" s="29">
        <f t="shared" si="5"/>
        <v>1.6607086133786448</v>
      </c>
    </row>
    <row r="126" spans="2:9" ht="14.5">
      <c r="B126" s="2" t="s">
        <v>69</v>
      </c>
      <c r="C126" s="23">
        <v>9893.6</v>
      </c>
      <c r="D126" s="15">
        <v>60495</v>
      </c>
      <c r="E126" s="29">
        <f t="shared" si="3"/>
        <v>6.1145589067680115</v>
      </c>
      <c r="F126" s="14">
        <v>496</v>
      </c>
      <c r="G126" s="30">
        <f t="shared" si="4"/>
        <v>121.96572580645162</v>
      </c>
      <c r="H126" s="29">
        <v>3185.8499999999995</v>
      </c>
      <c r="I126" s="29">
        <f t="shared" si="5"/>
        <v>52.663030002479537</v>
      </c>
    </row>
    <row r="127" spans="2:9" ht="14.5">
      <c r="B127" s="1" t="s">
        <v>70</v>
      </c>
      <c r="C127" s="23">
        <v>2802.6</v>
      </c>
      <c r="D127" s="10">
        <v>6050</v>
      </c>
      <c r="E127" s="29">
        <f t="shared" si="3"/>
        <v>2.1587097694997501</v>
      </c>
      <c r="F127" s="12">
        <v>88</v>
      </c>
      <c r="G127" s="30">
        <f t="shared" si="4"/>
        <v>68.75</v>
      </c>
      <c r="H127" s="29">
        <v>1240.1599999999999</v>
      </c>
      <c r="I127" s="29">
        <f t="shared" si="5"/>
        <v>204.98512396694213</v>
      </c>
    </row>
    <row r="128" spans="2:9" ht="14.5">
      <c r="B128" s="2" t="s">
        <v>71</v>
      </c>
      <c r="C128" s="23">
        <v>7332.1</v>
      </c>
      <c r="D128" s="10">
        <v>6980</v>
      </c>
      <c r="E128" s="29">
        <f t="shared" si="3"/>
        <v>0.9519782872574023</v>
      </c>
      <c r="F128" s="12">
        <v>94</v>
      </c>
      <c r="G128" s="30">
        <f t="shared" si="4"/>
        <v>74.255319148936167</v>
      </c>
      <c r="H128" s="29">
        <v>1689.1879999999999</v>
      </c>
      <c r="I128" s="29">
        <f t="shared" si="5"/>
        <v>242.00401146131802</v>
      </c>
    </row>
    <row r="129" spans="2:9" ht="14.5">
      <c r="B129" s="1" t="s">
        <v>72</v>
      </c>
      <c r="C129" s="23">
        <v>4391</v>
      </c>
      <c r="D129" s="10">
        <v>3578</v>
      </c>
      <c r="E129" s="29">
        <f t="shared" si="3"/>
        <v>0.81484855386016852</v>
      </c>
      <c r="F129" s="12">
        <v>90</v>
      </c>
      <c r="G129" s="30">
        <f t="shared" si="4"/>
        <v>39.755555555555553</v>
      </c>
      <c r="H129" s="29">
        <v>556.44000000000005</v>
      </c>
      <c r="I129" s="29">
        <f t="shared" si="5"/>
        <v>155.51704863051987</v>
      </c>
    </row>
    <row r="130" spans="2:9" ht="14.5">
      <c r="B130" s="1" t="s">
        <v>73</v>
      </c>
      <c r="C130" s="23">
        <v>4566.5</v>
      </c>
      <c r="D130" s="10">
        <v>11375</v>
      </c>
      <c r="E130" s="29">
        <f t="shared" si="3"/>
        <v>2.4909668236067009</v>
      </c>
      <c r="F130" s="12">
        <v>130</v>
      </c>
      <c r="G130" s="30">
        <f t="shared" si="4"/>
        <v>87.5</v>
      </c>
      <c r="H130" s="29">
        <v>635.29999999999995</v>
      </c>
      <c r="I130" s="29">
        <f t="shared" si="5"/>
        <v>55.850549450549444</v>
      </c>
    </row>
    <row r="131" spans="2:9" ht="14.5">
      <c r="B131" s="2" t="s">
        <v>74</v>
      </c>
      <c r="C131" s="23">
        <v>1309.4000000000001</v>
      </c>
      <c r="D131" s="10">
        <v>91210</v>
      </c>
      <c r="E131" s="29">
        <f t="shared" si="3"/>
        <v>69.657858561173057</v>
      </c>
      <c r="F131" s="12">
        <v>675</v>
      </c>
      <c r="G131" s="30">
        <f t="shared" si="4"/>
        <v>135.12592592592591</v>
      </c>
      <c r="H131" s="29">
        <v>1245</v>
      </c>
      <c r="I131" s="29">
        <f t="shared" si="5"/>
        <v>13.649819098783029</v>
      </c>
    </row>
    <row r="132" spans="2:9" ht="14.5">
      <c r="B132" s="2" t="s">
        <v>75</v>
      </c>
      <c r="C132" s="23">
        <v>8100</v>
      </c>
      <c r="D132" s="10">
        <v>14658</v>
      </c>
      <c r="E132" s="29">
        <f t="shared" ref="E132:E154" si="6">D132/C132</f>
        <v>1.8096296296296297</v>
      </c>
      <c r="F132" s="12">
        <v>198</v>
      </c>
      <c r="G132" s="30">
        <f t="shared" ref="G132:G154" si="7">D132/F132</f>
        <v>74.030303030303031</v>
      </c>
      <c r="H132" s="29">
        <v>1769.4999999999998</v>
      </c>
      <c r="I132" s="29">
        <f t="shared" ref="I132:I154" si="8">((H132)/(D132/1000))</f>
        <v>120.71906126347386</v>
      </c>
    </row>
    <row r="133" spans="2:9" ht="14.5">
      <c r="B133" s="1" t="s">
        <v>76</v>
      </c>
      <c r="C133" s="23">
        <v>7228.8</v>
      </c>
      <c r="D133" s="10">
        <v>7761</v>
      </c>
      <c r="E133" s="29">
        <f t="shared" si="6"/>
        <v>1.0736221779548472</v>
      </c>
      <c r="F133" s="12">
        <v>133</v>
      </c>
      <c r="G133" s="30">
        <f t="shared" si="7"/>
        <v>58.353383458646618</v>
      </c>
      <c r="H133" s="29">
        <v>1985.3999999999999</v>
      </c>
      <c r="I133" s="29">
        <f t="shared" si="8"/>
        <v>255.81754928488596</v>
      </c>
    </row>
    <row r="134" spans="2:9" ht="14.5">
      <c r="B134" s="2" t="s">
        <v>77</v>
      </c>
      <c r="C134" s="23">
        <v>3229.8</v>
      </c>
      <c r="D134" s="10">
        <v>6408</v>
      </c>
      <c r="E134" s="29">
        <f t="shared" si="6"/>
        <v>1.98402377856214</v>
      </c>
      <c r="F134" s="12">
        <v>114</v>
      </c>
      <c r="G134" s="30">
        <f t="shared" si="7"/>
        <v>56.210526315789473</v>
      </c>
      <c r="H134" s="29">
        <v>961.1</v>
      </c>
      <c r="I134" s="29">
        <f t="shared" si="8"/>
        <v>149.98439450686641</v>
      </c>
    </row>
    <row r="135" spans="2:9" ht="14.5">
      <c r="B135" s="1" t="s">
        <v>78</v>
      </c>
      <c r="C135" s="23">
        <v>3356</v>
      </c>
      <c r="D135" s="10">
        <v>1147</v>
      </c>
      <c r="E135" s="29">
        <f t="shared" si="6"/>
        <v>0.34177592371871274</v>
      </c>
      <c r="F135" s="12">
        <v>35</v>
      </c>
      <c r="G135" s="30">
        <f t="shared" si="7"/>
        <v>32.771428571428572</v>
      </c>
      <c r="H135" s="29">
        <v>984.65</v>
      </c>
      <c r="I135" s="29">
        <f t="shared" si="8"/>
        <v>858.45684394071486</v>
      </c>
    </row>
    <row r="136" spans="2:9" ht="14.5">
      <c r="B136" s="1" t="s">
        <v>79</v>
      </c>
      <c r="C136" s="23">
        <v>4825.8999999999996</v>
      </c>
      <c r="D136" s="10">
        <v>62799</v>
      </c>
      <c r="E136" s="29">
        <f t="shared" si="6"/>
        <v>13.012909509107111</v>
      </c>
      <c r="F136" s="12">
        <v>451.35</v>
      </c>
      <c r="G136" s="30">
        <f t="shared" si="7"/>
        <v>139.13592555666332</v>
      </c>
      <c r="H136" s="29">
        <v>2291.114</v>
      </c>
      <c r="I136" s="29">
        <f t="shared" si="8"/>
        <v>36.483287950445074</v>
      </c>
    </row>
    <row r="137" spans="2:9" ht="14.5">
      <c r="B137" s="1" t="s">
        <v>80</v>
      </c>
      <c r="C137" s="23">
        <v>7520.8</v>
      </c>
      <c r="D137" s="10">
        <v>3990</v>
      </c>
      <c r="E137" s="29">
        <f t="shared" si="6"/>
        <v>0.53052866716306779</v>
      </c>
      <c r="F137" s="12">
        <v>74</v>
      </c>
      <c r="G137" s="30">
        <f t="shared" si="7"/>
        <v>53.918918918918919</v>
      </c>
      <c r="H137" s="29">
        <v>1571.83</v>
      </c>
      <c r="I137" s="29">
        <f t="shared" si="8"/>
        <v>393.9423558897243</v>
      </c>
    </row>
    <row r="138" spans="2:9" ht="14.5">
      <c r="B138" s="2" t="s">
        <v>38</v>
      </c>
      <c r="C138" s="23">
        <v>6266.9</v>
      </c>
      <c r="D138" s="10">
        <v>3098</v>
      </c>
      <c r="E138" s="29">
        <f t="shared" si="6"/>
        <v>0.49434329572835056</v>
      </c>
      <c r="F138" s="12">
        <v>68.36</v>
      </c>
      <c r="G138" s="30">
        <f t="shared" si="7"/>
        <v>45.318899941486251</v>
      </c>
      <c r="H138" s="29">
        <v>931.63000000000011</v>
      </c>
      <c r="I138" s="29">
        <f t="shared" si="8"/>
        <v>300.71981923821824</v>
      </c>
    </row>
    <row r="139" spans="2:9" ht="14.5">
      <c r="B139" s="3" t="s">
        <v>39</v>
      </c>
      <c r="C139" s="23">
        <v>22334.799999999999</v>
      </c>
      <c r="D139" s="10">
        <v>6840</v>
      </c>
      <c r="E139" s="29">
        <f t="shared" si="6"/>
        <v>0.30624854487168007</v>
      </c>
      <c r="F139" s="12">
        <v>129</v>
      </c>
      <c r="G139" s="30">
        <f t="shared" si="7"/>
        <v>53.02325581395349</v>
      </c>
      <c r="H139" s="29">
        <v>2374.922</v>
      </c>
      <c r="I139" s="29">
        <f t="shared" si="8"/>
        <v>347.21081871345029</v>
      </c>
    </row>
    <row r="140" spans="2:9" ht="14.5">
      <c r="B140" s="3" t="s">
        <v>40</v>
      </c>
      <c r="C140" s="6">
        <v>10763</v>
      </c>
      <c r="D140" s="10">
        <v>2921</v>
      </c>
      <c r="E140" s="29">
        <f t="shared" si="6"/>
        <v>0.27139273436774136</v>
      </c>
      <c r="F140" s="12">
        <v>73</v>
      </c>
      <c r="G140" s="30">
        <f t="shared" si="7"/>
        <v>40.013698630136986</v>
      </c>
      <c r="H140" s="29">
        <v>1323.96</v>
      </c>
      <c r="I140" s="29">
        <f t="shared" si="8"/>
        <v>453.25573433755568</v>
      </c>
    </row>
    <row r="141" spans="2:9" ht="14.5">
      <c r="B141" s="8" t="s">
        <v>41</v>
      </c>
      <c r="C141" s="23">
        <v>149.4</v>
      </c>
      <c r="D141" s="10">
        <v>155289</v>
      </c>
      <c r="E141" s="29">
        <f t="shared" si="6"/>
        <v>1039.4176706827309</v>
      </c>
      <c r="F141" s="12">
        <v>589</v>
      </c>
      <c r="G141" s="30">
        <f t="shared" si="7"/>
        <v>263.64855687606109</v>
      </c>
      <c r="H141" s="29">
        <v>486.96999999999997</v>
      </c>
      <c r="I141" s="29">
        <f t="shared" si="8"/>
        <v>3.1358950086612705</v>
      </c>
    </row>
    <row r="142" spans="2:9" ht="14.5">
      <c r="B142" s="3" t="s">
        <v>42</v>
      </c>
      <c r="C142" s="23">
        <v>12381.3</v>
      </c>
      <c r="D142" s="10">
        <v>9786</v>
      </c>
      <c r="E142" s="29">
        <f t="shared" si="6"/>
        <v>0.79038550071478764</v>
      </c>
      <c r="F142" s="12">
        <v>183</v>
      </c>
      <c r="G142" s="30">
        <f t="shared" si="7"/>
        <v>53.475409836065573</v>
      </c>
      <c r="H142" s="29">
        <v>2667.7100000000005</v>
      </c>
      <c r="I142" s="29">
        <f t="shared" si="8"/>
        <v>272.60474146740245</v>
      </c>
    </row>
    <row r="143" spans="2:9" ht="14.5">
      <c r="B143" s="8" t="s">
        <v>43</v>
      </c>
      <c r="C143" s="23">
        <v>9.1999999999999993</v>
      </c>
      <c r="D143" s="10">
        <v>71769</v>
      </c>
      <c r="E143" s="29">
        <f t="shared" si="6"/>
        <v>7800.9782608695659</v>
      </c>
      <c r="F143" s="12">
        <v>600.1</v>
      </c>
      <c r="G143" s="30">
        <f t="shared" si="7"/>
        <v>119.59506748875187</v>
      </c>
      <c r="H143" s="29">
        <v>123.46</v>
      </c>
      <c r="I143" s="29">
        <f t="shared" si="8"/>
        <v>1.7202413298220678</v>
      </c>
    </row>
    <row r="144" spans="2:9" ht="14.5">
      <c r="B144" s="3" t="s">
        <v>44</v>
      </c>
      <c r="C144" s="23">
        <v>3409.6</v>
      </c>
      <c r="D144" s="10">
        <v>3709</v>
      </c>
      <c r="E144" s="29">
        <f t="shared" si="6"/>
        <v>1.0878108869075551</v>
      </c>
      <c r="F144" s="12">
        <v>57</v>
      </c>
      <c r="G144" s="30">
        <f t="shared" si="7"/>
        <v>65.070175438596493</v>
      </c>
      <c r="H144" s="29">
        <v>1093.99</v>
      </c>
      <c r="I144" s="29">
        <f t="shared" si="8"/>
        <v>294.95551361552981</v>
      </c>
    </row>
    <row r="145" spans="2:9" ht="14.5">
      <c r="B145" s="3" t="s">
        <v>45</v>
      </c>
      <c r="C145" s="23">
        <v>4112.5</v>
      </c>
      <c r="D145" s="10">
        <v>9054</v>
      </c>
      <c r="E145" s="29">
        <f t="shared" si="6"/>
        <v>2.2015805471124619</v>
      </c>
      <c r="F145" s="12">
        <v>106</v>
      </c>
      <c r="G145" s="30">
        <f t="shared" si="7"/>
        <v>85.415094339622641</v>
      </c>
      <c r="H145" s="29">
        <v>1415.6</v>
      </c>
      <c r="I145" s="29">
        <f t="shared" si="8"/>
        <v>156.35078418378615</v>
      </c>
    </row>
    <row r="146" spans="2:9" ht="14.5">
      <c r="B146" s="2" t="s">
        <v>46</v>
      </c>
      <c r="C146" s="23">
        <v>26266.9</v>
      </c>
      <c r="D146" s="10">
        <v>6884</v>
      </c>
      <c r="E146" s="29">
        <f t="shared" si="6"/>
        <v>0.2620788901621432</v>
      </c>
      <c r="F146" s="12">
        <v>102</v>
      </c>
      <c r="G146" s="30">
        <f t="shared" si="7"/>
        <v>67.490196078431367</v>
      </c>
      <c r="H146" s="29">
        <v>2318.75</v>
      </c>
      <c r="I146" s="29">
        <f t="shared" si="8"/>
        <v>336.83178384660079</v>
      </c>
    </row>
    <row r="147" spans="2:9" ht="14.5">
      <c r="B147" s="1" t="s">
        <v>47</v>
      </c>
      <c r="C147" s="23">
        <v>22.4</v>
      </c>
      <c r="D147" s="10">
        <v>74166</v>
      </c>
      <c r="E147" s="29">
        <f t="shared" si="6"/>
        <v>3310.9821428571431</v>
      </c>
      <c r="F147" s="12">
        <v>395</v>
      </c>
      <c r="G147" s="30">
        <f t="shared" si="7"/>
        <v>187.76202531645569</v>
      </c>
      <c r="H147" s="29">
        <v>211.45000000000002</v>
      </c>
      <c r="I147" s="29">
        <f t="shared" si="8"/>
        <v>2.8510368632527037</v>
      </c>
    </row>
    <row r="148" spans="2:9" ht="14.5">
      <c r="B148" s="2" t="s">
        <v>48</v>
      </c>
      <c r="C148" s="23">
        <v>2688.9</v>
      </c>
      <c r="D148" s="9">
        <v>47584</v>
      </c>
      <c r="E148" s="29">
        <f t="shared" si="6"/>
        <v>17.696455799769421</v>
      </c>
      <c r="F148" s="18">
        <v>367</v>
      </c>
      <c r="G148" s="30">
        <f t="shared" si="7"/>
        <v>129.65667574931879</v>
      </c>
      <c r="H148" s="29">
        <v>1203.8679999999999</v>
      </c>
      <c r="I148" s="29">
        <f t="shared" si="8"/>
        <v>25.299848688634832</v>
      </c>
    </row>
    <row r="149" spans="2:9" ht="14.5">
      <c r="B149" s="8" t="s">
        <v>49</v>
      </c>
      <c r="C149" s="23">
        <v>2556.6</v>
      </c>
      <c r="D149" s="10">
        <v>47084</v>
      </c>
      <c r="E149" s="29">
        <f t="shared" si="6"/>
        <v>18.416647109442227</v>
      </c>
      <c r="F149" s="12">
        <v>221</v>
      </c>
      <c r="G149" s="30">
        <f t="shared" si="7"/>
        <v>213.0497737556561</v>
      </c>
      <c r="H149" s="29">
        <v>865.17399999999998</v>
      </c>
      <c r="I149" s="29">
        <f t="shared" si="8"/>
        <v>18.375116812505308</v>
      </c>
    </row>
    <row r="150" spans="2:9" ht="14.5">
      <c r="B150" s="2" t="s">
        <v>91</v>
      </c>
      <c r="C150" s="6">
        <v>715</v>
      </c>
      <c r="D150" s="10">
        <v>206794</v>
      </c>
      <c r="E150" s="29">
        <f t="shared" si="6"/>
        <v>289.22237762237762</v>
      </c>
      <c r="F150" s="12">
        <v>1009</v>
      </c>
      <c r="G150" s="30">
        <f t="shared" si="7"/>
        <v>204.94945490584738</v>
      </c>
      <c r="H150" s="29">
        <v>1014.8800000000001</v>
      </c>
      <c r="I150" s="29">
        <f t="shared" si="8"/>
        <v>4.9076859096492162</v>
      </c>
    </row>
    <row r="151" spans="2:9" ht="14.5">
      <c r="B151" s="8" t="s">
        <v>92</v>
      </c>
      <c r="C151" s="23">
        <v>12.2</v>
      </c>
      <c r="D151" s="10">
        <v>58619</v>
      </c>
      <c r="E151" s="29">
        <f t="shared" si="6"/>
        <v>4804.8360655737706</v>
      </c>
      <c r="F151" s="12">
        <v>367</v>
      </c>
      <c r="G151" s="30">
        <f t="shared" si="7"/>
        <v>159.72479564032699</v>
      </c>
      <c r="H151" s="29">
        <v>145.82</v>
      </c>
      <c r="I151" s="29">
        <f t="shared" si="8"/>
        <v>2.4875893481635645</v>
      </c>
    </row>
    <row r="152" spans="2:9" ht="14.5">
      <c r="B152" s="2" t="s">
        <v>93</v>
      </c>
      <c r="C152" s="27">
        <v>821.5</v>
      </c>
      <c r="D152" s="10">
        <v>159015</v>
      </c>
      <c r="E152" s="29">
        <f t="shared" si="6"/>
        <v>193.56664637857577</v>
      </c>
      <c r="F152" s="12">
        <v>906</v>
      </c>
      <c r="G152" s="30">
        <f t="shared" si="7"/>
        <v>175.51324503311258</v>
      </c>
      <c r="H152" s="29">
        <v>1039.3999999999999</v>
      </c>
      <c r="I152" s="29">
        <f t="shared" si="8"/>
        <v>6.5364902682136901</v>
      </c>
    </row>
    <row r="153" spans="2:9" ht="14.5">
      <c r="B153" s="1" t="s">
        <v>94</v>
      </c>
      <c r="C153" s="28">
        <v>3998.5</v>
      </c>
      <c r="D153" s="10">
        <v>16433</v>
      </c>
      <c r="E153" s="29">
        <f t="shared" si="6"/>
        <v>4.1097911716893831</v>
      </c>
      <c r="F153" s="12">
        <v>149</v>
      </c>
      <c r="G153" s="30">
        <f t="shared" si="7"/>
        <v>110.28859060402685</v>
      </c>
      <c r="H153" s="29">
        <v>1232.6899999999998</v>
      </c>
      <c r="I153" s="29">
        <f t="shared" si="8"/>
        <v>75.013083429684158</v>
      </c>
    </row>
    <row r="154" spans="2:9" ht="14.5">
      <c r="B154" s="1" t="s">
        <v>95</v>
      </c>
      <c r="C154" s="23">
        <v>2693.3</v>
      </c>
      <c r="D154" s="11">
        <v>12641</v>
      </c>
      <c r="E154" s="29">
        <f t="shared" si="6"/>
        <v>4.69349868191438</v>
      </c>
      <c r="F154" s="13">
        <v>111</v>
      </c>
      <c r="G154" s="30">
        <f t="shared" si="7"/>
        <v>113.88288288288288</v>
      </c>
      <c r="H154" s="29">
        <v>1171.54</v>
      </c>
      <c r="I154" s="29">
        <f t="shared" si="8"/>
        <v>92.677794478284937</v>
      </c>
    </row>
    <row r="155" spans="2:9">
      <c r="B155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metadata xmlns="http://www.objective.com/ecm/document/metadata/UNKNOWN" version="1.0.0">
  <systemFields>
    <field name="Objective-Id">
      <value order="0">A643867</value>
    </field>
    <field name="Objective-Title">
      <value order="0">OLG - TIME SERIES DATA 2017-18 - Workbook - Publication - 125 Councils</value>
    </field>
  </systemFields>
  <catalogues/>
</metadata>
</file>

<file path=customXml/itemProps1.xml><?xml version="1.0" encoding="utf-8"?>
<ds:datastoreItem xmlns:ds="http://schemas.openxmlformats.org/officeDocument/2006/customXml" ds:itemID="{5745109E-2DDF-40CB-AC2B-FF9B10C90820}">
  <ds:schemaRefs>
    <ds:schemaRef ds:uri="http://www.objective.com/ecm/document/metadata/UNKNOW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2017-18 DATA (Final)</vt:lpstr>
      <vt:lpstr>Sheet1</vt:lpstr>
      <vt:lpstr>'2017-18 DATA (Final)'!Print_Area</vt:lpstr>
    </vt:vector>
  </TitlesOfParts>
  <Company>Division of Local Government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SG03</dc:creator>
  <cp:lastModifiedBy>Anne</cp:lastModifiedBy>
  <cp:lastPrinted>2018-03-19T05:22:36Z</cp:lastPrinted>
  <dcterms:created xsi:type="dcterms:W3CDTF">2013-04-29T06:38:24Z</dcterms:created>
  <dcterms:modified xsi:type="dcterms:W3CDTF">2021-08-21T15:04:59Z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bjective-Id">
    <vt:lpwstr>A643867</vt:lpwstr>
  </property>
  <property fmtid="{D5CDD505-2E9C-101B-9397-08002B2CF9AE}" pid="3" name="Objective-Title">
    <vt:lpwstr>OLG - TIME SERIES DATA 2017-18 - Workbook - Publication - 125 Councils</vt:lpwstr>
  </property>
  <property fmtid="{D5CDD505-2E9C-101B-9397-08002B2CF9AE}" pid="4" name="Objective-Internal Document Type">
    <vt:lpwstr>Documentation</vt:lpwstr>
  </property>
  <property fmtid="{D5CDD505-2E9C-101B-9397-08002B2CF9AE}" pid="5" name="Objective-Team">
    <vt:lpwstr>Council Performance</vt:lpwstr>
  </property>
  <property fmtid="{D5CDD505-2E9C-101B-9397-08002B2CF9AE}" pid="6" name="Objective-Drafting Officer">
    <vt:lpwstr>Stephen Walker</vt:lpwstr>
  </property>
  <property fmtid="{D5CDD505-2E9C-101B-9397-08002B2CF9AE}" pid="7" name="Objective-Matter Description">
    <vt:lpwstr/>
  </property>
  <property fmtid="{D5CDD505-2E9C-101B-9397-08002B2CF9AE}" pid="8" name="Objective-Due Date">
    <vt:lpwstr/>
  </property>
</Properties>
</file>